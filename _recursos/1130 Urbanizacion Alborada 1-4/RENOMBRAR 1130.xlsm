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always" codeName="ThisWorkbook" defaultThemeVersion="124226"/>
  <bookViews>
    <workbookView xWindow="480" yWindow="300" windowWidth="15600" windowHeight="9210"/>
  </bookViews>
  <sheets>
    <sheet name="RENOMBRAR" sheetId="1" r:id="rId1"/>
    <sheet name="Cálculos" sheetId="2" r:id="rId2"/>
    <sheet name="Maestro" sheetId="3" r:id="rId3"/>
    <sheet name="Base" sheetId="4" r:id="rId4"/>
  </sheets>
  <externalReferences>
    <externalReference r:id="rId5"/>
  </externalReferences>
  <calcPr calcId="145621"/>
</workbook>
</file>

<file path=xl/calcChain.xml><?xml version="1.0" encoding="utf-8"?>
<calcChain xmlns="http://schemas.openxmlformats.org/spreadsheetml/2006/main">
  <c r="B1" i="2" l="1"/>
  <c r="A1" i="2"/>
  <c r="C4" i="4" l="1"/>
  <c r="A18" i="2"/>
  <c r="F310" i="2" l="1"/>
  <c r="G310" i="2" s="1"/>
  <c r="C310" i="1" s="1"/>
  <c r="F309" i="2" l="1"/>
  <c r="F308" i="2"/>
  <c r="B2" i="2" l="1"/>
  <c r="A2" i="2"/>
  <c r="A1" i="4" l="1"/>
  <c r="D1" i="4"/>
  <c r="D310" i="4" s="1"/>
  <c r="B310" i="1" l="1"/>
  <c r="A310" i="4"/>
  <c r="A310" i="1" s="1"/>
  <c r="D309" i="4"/>
  <c r="D308" i="4"/>
  <c r="D307" i="4"/>
  <c r="A307" i="4" s="1"/>
  <c r="D306" i="4"/>
  <c r="A306" i="4" s="1"/>
  <c r="D305" i="4"/>
  <c r="A305" i="4" s="1"/>
  <c r="D304" i="4"/>
  <c r="A304" i="4" s="1"/>
  <c r="D303" i="4"/>
  <c r="A303" i="4" s="1"/>
  <c r="D302" i="4"/>
  <c r="A302" i="4" s="1"/>
  <c r="D301" i="4"/>
  <c r="A301" i="4" s="1"/>
  <c r="D300" i="4"/>
  <c r="A300" i="4"/>
  <c r="D299" i="4"/>
  <c r="A299" i="4"/>
  <c r="D298" i="4"/>
  <c r="A298" i="4"/>
  <c r="D297" i="4"/>
  <c r="A297" i="4"/>
  <c r="D296" i="4"/>
  <c r="A296" i="4"/>
  <c r="D295" i="4"/>
  <c r="A295" i="4"/>
  <c r="D294" i="4"/>
  <c r="A294" i="4"/>
  <c r="D293" i="4"/>
  <c r="A293" i="4"/>
  <c r="D292" i="4"/>
  <c r="A292" i="4"/>
  <c r="D291" i="4"/>
  <c r="A291" i="4"/>
  <c r="D290" i="4"/>
  <c r="A290" i="4"/>
  <c r="D289" i="4"/>
  <c r="A289" i="4"/>
  <c r="D288" i="4"/>
  <c r="A288" i="4"/>
  <c r="D287" i="4"/>
  <c r="A287" i="4"/>
  <c r="D286" i="4"/>
  <c r="A286" i="4"/>
  <c r="D285" i="4"/>
  <c r="A285" i="4"/>
  <c r="D284" i="4"/>
  <c r="A284" i="4"/>
  <c r="D283" i="4"/>
  <c r="A283" i="4"/>
  <c r="D282" i="4"/>
  <c r="A282" i="4"/>
  <c r="D281" i="4"/>
  <c r="A281" i="4"/>
  <c r="D280" i="4"/>
  <c r="A280" i="4"/>
  <c r="D279" i="4"/>
  <c r="A279" i="4"/>
  <c r="D278" i="4"/>
  <c r="A278" i="4"/>
  <c r="D277" i="4"/>
  <c r="A277" i="4"/>
  <c r="D276" i="4"/>
  <c r="A276" i="4"/>
  <c r="D275" i="4"/>
  <c r="A275" i="4"/>
  <c r="D274" i="4"/>
  <c r="A274" i="4"/>
  <c r="D273" i="4"/>
  <c r="A273" i="4"/>
  <c r="D272" i="4"/>
  <c r="A272" i="4"/>
  <c r="D271" i="4"/>
  <c r="A271" i="4"/>
  <c r="D270" i="4"/>
  <c r="A270" i="4"/>
  <c r="D269" i="4"/>
  <c r="A269" i="4"/>
  <c r="D268" i="4"/>
  <c r="A268" i="4"/>
  <c r="D267" i="4"/>
  <c r="A267" i="4"/>
  <c r="D266" i="4"/>
  <c r="A266" i="4"/>
  <c r="D265" i="4"/>
  <c r="A265" i="4"/>
  <c r="D264" i="4"/>
  <c r="A264" i="4"/>
  <c r="D263" i="4"/>
  <c r="A263" i="4"/>
  <c r="D262" i="4"/>
  <c r="A262" i="4"/>
  <c r="D261" i="4"/>
  <c r="A261" i="4"/>
  <c r="D260" i="4"/>
  <c r="A260" i="4"/>
  <c r="D259" i="4"/>
  <c r="A259" i="4"/>
  <c r="D258" i="4"/>
  <c r="A258" i="4"/>
  <c r="D257" i="4"/>
  <c r="A257" i="4"/>
  <c r="D256" i="4"/>
  <c r="A256" i="4"/>
  <c r="D255" i="4"/>
  <c r="A255" i="4"/>
  <c r="D254" i="4"/>
  <c r="A254" i="4"/>
  <c r="D253" i="4"/>
  <c r="A253" i="4"/>
  <c r="D252" i="4"/>
  <c r="A252" i="4"/>
  <c r="D251" i="4"/>
  <c r="A251" i="4"/>
  <c r="D250" i="4"/>
  <c r="A250" i="4"/>
  <c r="D249" i="4"/>
  <c r="A249" i="4"/>
  <c r="D248" i="4"/>
  <c r="A248" i="4"/>
  <c r="D247" i="4"/>
  <c r="A247" i="4"/>
  <c r="D246" i="4"/>
  <c r="A246" i="4"/>
  <c r="D245" i="4"/>
  <c r="A245" i="4"/>
  <c r="D244" i="4"/>
  <c r="A244" i="4"/>
  <c r="D243" i="4"/>
  <c r="A243" i="4"/>
  <c r="D242" i="4"/>
  <c r="A242" i="4"/>
  <c r="D241" i="4"/>
  <c r="A241" i="4"/>
  <c r="D240" i="4"/>
  <c r="A240" i="4"/>
  <c r="D239" i="4"/>
  <c r="A239" i="4"/>
  <c r="D238" i="4"/>
  <c r="A238" i="4"/>
  <c r="D237" i="4"/>
  <c r="A237" i="4"/>
  <c r="D236" i="4"/>
  <c r="A236" i="4"/>
  <c r="D235" i="4"/>
  <c r="A235" i="4"/>
  <c r="D234" i="4"/>
  <c r="A234" i="4"/>
  <c r="D233" i="4"/>
  <c r="A233" i="4"/>
  <c r="D232" i="4"/>
  <c r="A232" i="4"/>
  <c r="D231" i="4"/>
  <c r="A231" i="4"/>
  <c r="D230" i="4"/>
  <c r="A230" i="4"/>
  <c r="D229" i="4"/>
  <c r="A229" i="4"/>
  <c r="D228" i="4"/>
  <c r="A228" i="4"/>
  <c r="D227" i="4"/>
  <c r="A227" i="4"/>
  <c r="D226" i="4"/>
  <c r="A226" i="4"/>
  <c r="D225" i="4"/>
  <c r="A225" i="4"/>
  <c r="D224" i="4"/>
  <c r="A224" i="4"/>
  <c r="D223" i="4"/>
  <c r="A223" i="4"/>
  <c r="D222" i="4"/>
  <c r="A222" i="4"/>
  <c r="D221" i="4"/>
  <c r="A221" i="4"/>
  <c r="D220" i="4"/>
  <c r="A220" i="4"/>
  <c r="D219" i="4"/>
  <c r="A219" i="4"/>
  <c r="D218" i="4"/>
  <c r="A218" i="4"/>
  <c r="D217" i="4"/>
  <c r="A217" i="4"/>
  <c r="D216" i="4"/>
  <c r="A216" i="4"/>
  <c r="D215" i="4"/>
  <c r="A215" i="4"/>
  <c r="D214" i="4"/>
  <c r="A214" i="4"/>
  <c r="D213" i="4"/>
  <c r="A213" i="4"/>
  <c r="D212" i="4"/>
  <c r="A212" i="4"/>
  <c r="D211" i="4"/>
  <c r="A211" i="4"/>
  <c r="D210" i="4"/>
  <c r="A210" i="4"/>
  <c r="D209" i="4"/>
  <c r="A209" i="4"/>
  <c r="D208" i="4"/>
  <c r="A208" i="4"/>
  <c r="D207" i="4"/>
  <c r="A207" i="4"/>
  <c r="D206" i="4"/>
  <c r="A206" i="4"/>
  <c r="D205" i="4"/>
  <c r="A205" i="4"/>
  <c r="D204" i="4"/>
  <c r="A204" i="4"/>
  <c r="D203" i="4"/>
  <c r="A203" i="4"/>
  <c r="D202" i="4"/>
  <c r="A202" i="4"/>
  <c r="D201" i="4"/>
  <c r="A201" i="4"/>
  <c r="D200" i="4"/>
  <c r="A200" i="4"/>
  <c r="D199" i="4"/>
  <c r="A199" i="4"/>
  <c r="D198" i="4"/>
  <c r="A198" i="4"/>
  <c r="D197" i="4"/>
  <c r="A197" i="4"/>
  <c r="D196" i="4"/>
  <c r="A196" i="4"/>
  <c r="D195" i="4"/>
  <c r="A195" i="4"/>
  <c r="D194" i="4"/>
  <c r="A194" i="4"/>
  <c r="D193" i="4"/>
  <c r="A193" i="4"/>
  <c r="D192" i="4"/>
  <c r="A192" i="4"/>
  <c r="D191" i="4"/>
  <c r="A191" i="4"/>
  <c r="D190" i="4"/>
  <c r="A190" i="4"/>
  <c r="D189" i="4"/>
  <c r="A189" i="4"/>
  <c r="D188" i="4"/>
  <c r="A188" i="4"/>
  <c r="D187" i="4"/>
  <c r="A187" i="4"/>
  <c r="D186" i="4"/>
  <c r="A186" i="4"/>
  <c r="D185" i="4"/>
  <c r="A185" i="4"/>
  <c r="D184" i="4"/>
  <c r="A184" i="4"/>
  <c r="D183" i="4"/>
  <c r="A183" i="4"/>
  <c r="D182" i="4"/>
  <c r="A182" i="4"/>
  <c r="D181" i="4"/>
  <c r="A181" i="4"/>
  <c r="D180" i="4"/>
  <c r="A180" i="4"/>
  <c r="D179" i="4"/>
  <c r="A179" i="4"/>
  <c r="D178" i="4"/>
  <c r="A178" i="4"/>
  <c r="D177" i="4"/>
  <c r="A177" i="4"/>
  <c r="D176" i="4"/>
  <c r="A176" i="4"/>
  <c r="D175" i="4"/>
  <c r="A175" i="4"/>
  <c r="D174" i="4"/>
  <c r="A174" i="4"/>
  <c r="D173" i="4"/>
  <c r="A173" i="4"/>
  <c r="D172" i="4"/>
  <c r="A172" i="4"/>
  <c r="D171" i="4"/>
  <c r="A171" i="4"/>
  <c r="D170" i="4"/>
  <c r="A170" i="4"/>
  <c r="D169" i="4"/>
  <c r="A169" i="4"/>
  <c r="D168" i="4"/>
  <c r="A168" i="4"/>
  <c r="D167" i="4"/>
  <c r="A167" i="4"/>
  <c r="D166" i="4"/>
  <c r="A166" i="4"/>
  <c r="D165" i="4"/>
  <c r="A165" i="4"/>
  <c r="D164" i="4"/>
  <c r="A164" i="4"/>
  <c r="D163" i="4"/>
  <c r="A163" i="4"/>
  <c r="D162" i="4"/>
  <c r="A162" i="4"/>
  <c r="D161" i="4"/>
  <c r="A161" i="4"/>
  <c r="D160" i="4"/>
  <c r="A160" i="4"/>
  <c r="D159" i="4"/>
  <c r="A159" i="4"/>
  <c r="D158" i="4"/>
  <c r="A158" i="4"/>
  <c r="D157" i="4"/>
  <c r="A157" i="4"/>
  <c r="D156" i="4"/>
  <c r="A156" i="4"/>
  <c r="D155" i="4"/>
  <c r="A155" i="4"/>
  <c r="D154" i="4"/>
  <c r="A154" i="4"/>
  <c r="D153" i="4"/>
  <c r="A153" i="4"/>
  <c r="D152" i="4"/>
  <c r="A152" i="4"/>
  <c r="D151" i="4"/>
  <c r="A151" i="4"/>
  <c r="D150" i="4"/>
  <c r="A150" i="4"/>
  <c r="D149" i="4"/>
  <c r="A149" i="4"/>
  <c r="D148" i="4"/>
  <c r="A148" i="4"/>
  <c r="D147" i="4"/>
  <c r="A147" i="4"/>
  <c r="D146" i="4"/>
  <c r="A146" i="4"/>
  <c r="D145" i="4"/>
  <c r="A145" i="4"/>
  <c r="D144" i="4"/>
  <c r="A144" i="4"/>
  <c r="D143" i="4"/>
  <c r="A143" i="4"/>
  <c r="D142" i="4"/>
  <c r="A142" i="4"/>
  <c r="D141" i="4"/>
  <c r="A141" i="4"/>
  <c r="D140" i="4"/>
  <c r="A140" i="4"/>
  <c r="D139" i="4"/>
  <c r="A139" i="4"/>
  <c r="D138" i="4"/>
  <c r="A138" i="4"/>
  <c r="D137" i="4"/>
  <c r="A137" i="4"/>
  <c r="D136" i="4"/>
  <c r="A136" i="4"/>
  <c r="D135" i="4"/>
  <c r="A135" i="4"/>
  <c r="D134" i="4"/>
  <c r="A134" i="4"/>
  <c r="D133" i="4"/>
  <c r="A133" i="4"/>
  <c r="D132" i="4"/>
  <c r="A132" i="4"/>
  <c r="D131" i="4"/>
  <c r="A131" i="4"/>
  <c r="D130" i="4"/>
  <c r="A130" i="4"/>
  <c r="D129" i="4"/>
  <c r="A129" i="4"/>
  <c r="D128" i="4"/>
  <c r="A128" i="4"/>
  <c r="D127" i="4"/>
  <c r="A127" i="4"/>
  <c r="D126" i="4"/>
  <c r="A126" i="4"/>
  <c r="D125" i="4"/>
  <c r="A125" i="4"/>
  <c r="D124" i="4"/>
  <c r="A124" i="4"/>
  <c r="D123" i="4"/>
  <c r="A123" i="4"/>
  <c r="D122" i="4"/>
  <c r="A122" i="4"/>
  <c r="D121" i="4"/>
  <c r="A121" i="4"/>
  <c r="D120" i="4"/>
  <c r="A120" i="4"/>
  <c r="D119" i="4"/>
  <c r="A119" i="4"/>
  <c r="D118" i="4"/>
  <c r="A118" i="4"/>
  <c r="D117" i="4"/>
  <c r="A117" i="4"/>
  <c r="D116" i="4"/>
  <c r="A116" i="4"/>
  <c r="D115" i="4"/>
  <c r="A115" i="4"/>
  <c r="D114" i="4"/>
  <c r="A114" i="4"/>
  <c r="D113" i="4"/>
  <c r="A113" i="4"/>
  <c r="D112" i="4"/>
  <c r="A112" i="4"/>
  <c r="D111" i="4"/>
  <c r="A111" i="4"/>
  <c r="D110" i="4"/>
  <c r="A110" i="4"/>
  <c r="D109" i="4"/>
  <c r="A109" i="4"/>
  <c r="D108" i="4"/>
  <c r="A108" i="4"/>
  <c r="D107" i="4"/>
  <c r="A107" i="4"/>
  <c r="D106" i="4"/>
  <c r="A106" i="4"/>
  <c r="D105" i="4"/>
  <c r="A105" i="4"/>
  <c r="D104" i="4"/>
  <c r="A104" i="4"/>
  <c r="D103" i="4"/>
  <c r="A103" i="4"/>
  <c r="D102" i="4"/>
  <c r="A102" i="4"/>
  <c r="D101" i="4"/>
  <c r="A101" i="4"/>
  <c r="D100" i="4"/>
  <c r="A100" i="4"/>
  <c r="D99" i="4"/>
  <c r="A99" i="4"/>
  <c r="D98" i="4"/>
  <c r="A98" i="4"/>
  <c r="D97" i="4"/>
  <c r="A97" i="4"/>
  <c r="D96" i="4"/>
  <c r="A96" i="4"/>
  <c r="D95" i="4"/>
  <c r="A95" i="4"/>
  <c r="D94" i="4"/>
  <c r="A94" i="4"/>
  <c r="D93" i="4"/>
  <c r="A93" i="4"/>
  <c r="D92" i="4"/>
  <c r="A92" i="4"/>
  <c r="D91" i="4"/>
  <c r="A91" i="4"/>
  <c r="D90" i="4"/>
  <c r="A90" i="4"/>
  <c r="D89" i="4"/>
  <c r="A89" i="4"/>
  <c r="D88" i="4"/>
  <c r="A88" i="4"/>
  <c r="D87" i="4"/>
  <c r="A87" i="4"/>
  <c r="D86" i="4"/>
  <c r="A86" i="4"/>
  <c r="D85" i="4"/>
  <c r="A85" i="4"/>
  <c r="D84" i="4"/>
  <c r="A84" i="4"/>
  <c r="D83" i="4"/>
  <c r="A83" i="4"/>
  <c r="D82" i="4"/>
  <c r="A82" i="4"/>
  <c r="D81" i="4"/>
  <c r="A81" i="4"/>
  <c r="D80" i="4"/>
  <c r="A80" i="4"/>
  <c r="D79" i="4"/>
  <c r="A79" i="4"/>
  <c r="D78" i="4"/>
  <c r="A78" i="4"/>
  <c r="D77" i="4"/>
  <c r="A77" i="4"/>
  <c r="D76" i="4"/>
  <c r="A76" i="4"/>
  <c r="D75" i="4"/>
  <c r="A75" i="4"/>
  <c r="D74" i="4"/>
  <c r="A74" i="4"/>
  <c r="D73" i="4"/>
  <c r="A73" i="4"/>
  <c r="D72" i="4"/>
  <c r="A72" i="4"/>
  <c r="D71" i="4"/>
  <c r="A71" i="4"/>
  <c r="D70" i="4"/>
  <c r="A70" i="4"/>
  <c r="D69" i="4"/>
  <c r="A69" i="4"/>
  <c r="D68" i="4"/>
  <c r="A68" i="4"/>
  <c r="D67" i="4"/>
  <c r="A67" i="4"/>
  <c r="D66" i="4"/>
  <c r="A66" i="4"/>
  <c r="D65" i="4"/>
  <c r="A65" i="4"/>
  <c r="D64" i="4"/>
  <c r="A64" i="4"/>
  <c r="D63" i="4"/>
  <c r="A63" i="4"/>
  <c r="D62" i="4"/>
  <c r="A62" i="4"/>
  <c r="D61" i="4"/>
  <c r="A61" i="4"/>
  <c r="D60" i="4"/>
  <c r="A60" i="4"/>
  <c r="D59" i="4"/>
  <c r="A59" i="4"/>
  <c r="D58" i="4"/>
  <c r="A58" i="4"/>
  <c r="D57" i="4"/>
  <c r="A57" i="4"/>
  <c r="D56" i="4"/>
  <c r="A56" i="4"/>
  <c r="D55" i="4"/>
  <c r="A55" i="4"/>
  <c r="D54" i="4"/>
  <c r="A54" i="4"/>
  <c r="D53" i="4"/>
  <c r="A53" i="4"/>
  <c r="D52" i="4"/>
  <c r="A52" i="4"/>
  <c r="D51" i="4"/>
  <c r="A51" i="4"/>
  <c r="D50" i="4"/>
  <c r="A50" i="4"/>
  <c r="D49" i="4"/>
  <c r="A49" i="4"/>
  <c r="D48" i="4"/>
  <c r="A48" i="4"/>
  <c r="D47" i="4"/>
  <c r="A47" i="4"/>
  <c r="D46" i="4"/>
  <c r="A46" i="4"/>
  <c r="D45" i="4"/>
  <c r="A45" i="4"/>
  <c r="D44" i="4"/>
  <c r="A44" i="4"/>
  <c r="D43" i="4"/>
  <c r="A43" i="4"/>
  <c r="D42" i="4"/>
  <c r="A42" i="4"/>
  <c r="D41" i="4"/>
  <c r="A41" i="4"/>
  <c r="D40" i="4"/>
  <c r="A40" i="4"/>
  <c r="D39" i="4"/>
  <c r="A39" i="4"/>
  <c r="D38" i="4"/>
  <c r="A38" i="4"/>
  <c r="D37" i="4"/>
  <c r="A37" i="4"/>
  <c r="D36" i="4"/>
  <c r="A36" i="4"/>
  <c r="D35" i="4"/>
  <c r="A35" i="4"/>
  <c r="D34" i="4"/>
  <c r="A34" i="4"/>
  <c r="D33" i="4"/>
  <c r="A33" i="4"/>
  <c r="D32" i="4"/>
  <c r="A32" i="4"/>
  <c r="D31" i="4"/>
  <c r="A31" i="4"/>
  <c r="D30" i="4"/>
  <c r="A30" i="4"/>
  <c r="D29" i="4"/>
  <c r="A29" i="4"/>
  <c r="D28" i="4"/>
  <c r="A28" i="4"/>
  <c r="D27" i="4"/>
  <c r="A27" i="4"/>
  <c r="D26" i="4"/>
  <c r="A26" i="4"/>
  <c r="D25" i="4"/>
  <c r="A25" i="4"/>
  <c r="D24" i="4"/>
  <c r="A24" i="4"/>
  <c r="D23" i="4"/>
  <c r="A23" i="4"/>
  <c r="D22" i="4"/>
  <c r="A22" i="4"/>
  <c r="D21" i="4"/>
  <c r="A21" i="4"/>
  <c r="D20" i="4"/>
  <c r="A20" i="4"/>
  <c r="D19" i="4"/>
  <c r="A19" i="4"/>
  <c r="D18" i="4"/>
  <c r="A18" i="4"/>
  <c r="D17" i="4"/>
  <c r="A17" i="4"/>
  <c r="D16" i="4"/>
  <c r="A16" i="4"/>
  <c r="D15" i="4"/>
  <c r="A15" i="4"/>
  <c r="D14" i="4"/>
  <c r="A14" i="4"/>
  <c r="D13" i="4"/>
  <c r="A13" i="4"/>
  <c r="D12" i="4"/>
  <c r="A12" i="4"/>
  <c r="D11" i="4"/>
  <c r="A11" i="4"/>
  <c r="D10" i="4"/>
  <c r="A10" i="4"/>
  <c r="D9" i="4"/>
  <c r="A9" i="4"/>
  <c r="D8" i="4"/>
  <c r="A8" i="4"/>
  <c r="D7" i="4"/>
  <c r="A7" i="4"/>
  <c r="D6" i="4"/>
  <c r="A6" i="4"/>
  <c r="D5" i="4"/>
  <c r="A5" i="4"/>
  <c r="D4" i="4"/>
  <c r="A4" i="4"/>
  <c r="D3" i="4"/>
  <c r="A3" i="4"/>
  <c r="D2" i="4"/>
  <c r="A2" i="4"/>
  <c r="A308" i="4" l="1"/>
  <c r="A308" i="1" s="1"/>
  <c r="B308" i="1"/>
  <c r="B309" i="1"/>
  <c r="A309" i="4"/>
  <c r="A309" i="1" s="1"/>
  <c r="F307" i="2"/>
  <c r="F306" i="2"/>
  <c r="F305" i="2"/>
  <c r="G305" i="2" s="1"/>
  <c r="F304" i="2"/>
  <c r="F303" i="2"/>
  <c r="F302" i="2"/>
  <c r="G302" i="2" s="1"/>
  <c r="F301" i="2"/>
  <c r="H310" i="2" l="1"/>
  <c r="D310" i="1" s="1"/>
  <c r="G308" i="2"/>
  <c r="C308" i="1" s="1"/>
  <c r="G309" i="2"/>
  <c r="C309" i="1" s="1"/>
  <c r="A302" i="1"/>
  <c r="A304" i="1"/>
  <c r="B306" i="1"/>
  <c r="A306" i="1"/>
  <c r="B305" i="1"/>
  <c r="B307" i="1"/>
  <c r="A307" i="1"/>
  <c r="A305" i="1"/>
  <c r="B302" i="1"/>
  <c r="A303" i="1"/>
  <c r="B304" i="1"/>
  <c r="B303" i="1"/>
  <c r="A301" i="1"/>
  <c r="B301" i="1"/>
  <c r="H308" i="2" l="1"/>
  <c r="D308" i="1" s="1"/>
  <c r="H309" i="2"/>
  <c r="D309" i="1" s="1"/>
  <c r="G303" i="2"/>
  <c r="C303" i="1" s="1"/>
  <c r="G307" i="2"/>
  <c r="G304" i="2"/>
  <c r="C304" i="1" s="1"/>
  <c r="G306" i="2"/>
  <c r="C306" i="1" s="1"/>
  <c r="C302" i="1"/>
  <c r="G301" i="2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F300" i="2"/>
  <c r="E300" i="2"/>
  <c r="D300" i="2"/>
  <c r="F299" i="2"/>
  <c r="E299" i="2"/>
  <c r="D299" i="2"/>
  <c r="F298" i="2"/>
  <c r="E298" i="2"/>
  <c r="G298" i="2" s="1"/>
  <c r="D298" i="2"/>
  <c r="F297" i="2"/>
  <c r="E297" i="2"/>
  <c r="D297" i="2"/>
  <c r="F296" i="2"/>
  <c r="E296" i="2"/>
  <c r="D296" i="2"/>
  <c r="F295" i="2"/>
  <c r="E295" i="2"/>
  <c r="D295" i="2"/>
  <c r="F294" i="2"/>
  <c r="E294" i="2"/>
  <c r="G294" i="2" s="1"/>
  <c r="D294" i="2"/>
  <c r="F293" i="2"/>
  <c r="E293" i="2"/>
  <c r="D293" i="2"/>
  <c r="F292" i="2"/>
  <c r="E292" i="2"/>
  <c r="D292" i="2"/>
  <c r="F291" i="2"/>
  <c r="E291" i="2"/>
  <c r="D291" i="2"/>
  <c r="F290" i="2"/>
  <c r="E290" i="2"/>
  <c r="G290" i="2" s="1"/>
  <c r="D290" i="2"/>
  <c r="F289" i="2"/>
  <c r="E289" i="2"/>
  <c r="D289" i="2"/>
  <c r="F288" i="2"/>
  <c r="E288" i="2"/>
  <c r="D288" i="2"/>
  <c r="F287" i="2"/>
  <c r="E287" i="2"/>
  <c r="D287" i="2"/>
  <c r="F286" i="2"/>
  <c r="E286" i="2"/>
  <c r="G286" i="2" s="1"/>
  <c r="D286" i="2"/>
  <c r="F285" i="2"/>
  <c r="E285" i="2"/>
  <c r="D285" i="2"/>
  <c r="F284" i="2"/>
  <c r="E284" i="2"/>
  <c r="D284" i="2"/>
  <c r="F283" i="2"/>
  <c r="E283" i="2"/>
  <c r="D283" i="2"/>
  <c r="F282" i="2"/>
  <c r="E282" i="2"/>
  <c r="G282" i="2" s="1"/>
  <c r="D282" i="2"/>
  <c r="F281" i="2"/>
  <c r="E281" i="2"/>
  <c r="D281" i="2"/>
  <c r="F280" i="2"/>
  <c r="E280" i="2"/>
  <c r="D280" i="2"/>
  <c r="F279" i="2"/>
  <c r="E279" i="2"/>
  <c r="D279" i="2"/>
  <c r="F278" i="2"/>
  <c r="E278" i="2"/>
  <c r="D278" i="2"/>
  <c r="F277" i="2"/>
  <c r="E277" i="2"/>
  <c r="D277" i="2"/>
  <c r="F276" i="2"/>
  <c r="E276" i="2"/>
  <c r="D276" i="2"/>
  <c r="F275" i="2"/>
  <c r="E275" i="2"/>
  <c r="D275" i="2"/>
  <c r="F274" i="2"/>
  <c r="E274" i="2"/>
  <c r="D274" i="2"/>
  <c r="F273" i="2"/>
  <c r="E273" i="2"/>
  <c r="D273" i="2"/>
  <c r="F272" i="2"/>
  <c r="E272" i="2"/>
  <c r="D272" i="2"/>
  <c r="F271" i="2"/>
  <c r="E271" i="2"/>
  <c r="D271" i="2"/>
  <c r="F270" i="2"/>
  <c r="E270" i="2"/>
  <c r="D270" i="2"/>
  <c r="F269" i="2"/>
  <c r="E269" i="2"/>
  <c r="D269" i="2"/>
  <c r="F268" i="2"/>
  <c r="E268" i="2"/>
  <c r="D268" i="2"/>
  <c r="F267" i="2"/>
  <c r="E267" i="2"/>
  <c r="D267" i="2"/>
  <c r="F266" i="2"/>
  <c r="E266" i="2"/>
  <c r="D266" i="2"/>
  <c r="F265" i="2"/>
  <c r="E265" i="2"/>
  <c r="D265" i="2"/>
  <c r="F264" i="2"/>
  <c r="E264" i="2"/>
  <c r="D264" i="2"/>
  <c r="F263" i="2"/>
  <c r="E263" i="2"/>
  <c r="D263" i="2"/>
  <c r="F262" i="2"/>
  <c r="E262" i="2"/>
  <c r="D262" i="2"/>
  <c r="F261" i="2"/>
  <c r="E261" i="2"/>
  <c r="D261" i="2"/>
  <c r="F260" i="2"/>
  <c r="E260" i="2"/>
  <c r="D260" i="2"/>
  <c r="F259" i="2"/>
  <c r="E259" i="2"/>
  <c r="D259" i="2"/>
  <c r="F258" i="2"/>
  <c r="E258" i="2"/>
  <c r="D258" i="2"/>
  <c r="F257" i="2"/>
  <c r="E257" i="2"/>
  <c r="D257" i="2"/>
  <c r="F256" i="2"/>
  <c r="E256" i="2"/>
  <c r="D256" i="2"/>
  <c r="F255" i="2"/>
  <c r="E255" i="2"/>
  <c r="D255" i="2"/>
  <c r="F254" i="2"/>
  <c r="E254" i="2"/>
  <c r="D254" i="2"/>
  <c r="F253" i="2"/>
  <c r="E253" i="2"/>
  <c r="D253" i="2"/>
  <c r="F252" i="2"/>
  <c r="E252" i="2"/>
  <c r="D252" i="2"/>
  <c r="F251" i="2"/>
  <c r="E251" i="2"/>
  <c r="D251" i="2"/>
  <c r="F250" i="2"/>
  <c r="E250" i="2"/>
  <c r="D250" i="2"/>
  <c r="F249" i="2"/>
  <c r="E249" i="2"/>
  <c r="D249" i="2"/>
  <c r="F248" i="2"/>
  <c r="E248" i="2"/>
  <c r="D248" i="2"/>
  <c r="F247" i="2"/>
  <c r="E247" i="2"/>
  <c r="D247" i="2"/>
  <c r="F246" i="2"/>
  <c r="E246" i="2"/>
  <c r="D246" i="2"/>
  <c r="F245" i="2"/>
  <c r="E245" i="2"/>
  <c r="D245" i="2"/>
  <c r="F244" i="2"/>
  <c r="E244" i="2"/>
  <c r="D244" i="2"/>
  <c r="F243" i="2"/>
  <c r="E243" i="2"/>
  <c r="D243" i="2"/>
  <c r="F242" i="2"/>
  <c r="E242" i="2"/>
  <c r="D242" i="2"/>
  <c r="F241" i="2"/>
  <c r="E241" i="2"/>
  <c r="D241" i="2"/>
  <c r="F240" i="2"/>
  <c r="E240" i="2"/>
  <c r="D240" i="2"/>
  <c r="F239" i="2"/>
  <c r="E239" i="2"/>
  <c r="D239" i="2"/>
  <c r="F238" i="2"/>
  <c r="E238" i="2"/>
  <c r="D238" i="2"/>
  <c r="F237" i="2"/>
  <c r="E237" i="2"/>
  <c r="D237" i="2"/>
  <c r="F236" i="2"/>
  <c r="E236" i="2"/>
  <c r="D236" i="2"/>
  <c r="F235" i="2"/>
  <c r="E235" i="2"/>
  <c r="D235" i="2"/>
  <c r="F234" i="2"/>
  <c r="E234" i="2"/>
  <c r="D234" i="2"/>
  <c r="F233" i="2"/>
  <c r="E233" i="2"/>
  <c r="D233" i="2"/>
  <c r="F232" i="2"/>
  <c r="E232" i="2"/>
  <c r="D232" i="2"/>
  <c r="F231" i="2"/>
  <c r="E231" i="2"/>
  <c r="D231" i="2"/>
  <c r="F230" i="2"/>
  <c r="E230" i="2"/>
  <c r="D230" i="2"/>
  <c r="F229" i="2"/>
  <c r="E229" i="2"/>
  <c r="D229" i="2"/>
  <c r="F228" i="2"/>
  <c r="E228" i="2"/>
  <c r="D228" i="2"/>
  <c r="F227" i="2"/>
  <c r="E227" i="2"/>
  <c r="D227" i="2"/>
  <c r="F226" i="2"/>
  <c r="E226" i="2"/>
  <c r="D226" i="2"/>
  <c r="F225" i="2"/>
  <c r="E225" i="2"/>
  <c r="D225" i="2"/>
  <c r="F224" i="2"/>
  <c r="E224" i="2"/>
  <c r="D224" i="2"/>
  <c r="F223" i="2"/>
  <c r="E223" i="2"/>
  <c r="D223" i="2"/>
  <c r="F222" i="2"/>
  <c r="E222" i="2"/>
  <c r="D222" i="2"/>
  <c r="F221" i="2"/>
  <c r="E221" i="2"/>
  <c r="D221" i="2"/>
  <c r="F220" i="2"/>
  <c r="E220" i="2"/>
  <c r="D220" i="2"/>
  <c r="F219" i="2"/>
  <c r="E219" i="2"/>
  <c r="D219" i="2"/>
  <c r="F218" i="2"/>
  <c r="E218" i="2"/>
  <c r="D218" i="2"/>
  <c r="F217" i="2"/>
  <c r="E217" i="2"/>
  <c r="D217" i="2"/>
  <c r="F216" i="2"/>
  <c r="E216" i="2"/>
  <c r="D216" i="2"/>
  <c r="F215" i="2"/>
  <c r="E215" i="2"/>
  <c r="D215" i="2"/>
  <c r="F214" i="2"/>
  <c r="E214" i="2"/>
  <c r="D214" i="2"/>
  <c r="F213" i="2"/>
  <c r="E213" i="2"/>
  <c r="D213" i="2"/>
  <c r="F212" i="2"/>
  <c r="E212" i="2"/>
  <c r="D212" i="2"/>
  <c r="F211" i="2"/>
  <c r="E211" i="2"/>
  <c r="D211" i="2"/>
  <c r="F210" i="2"/>
  <c r="E210" i="2"/>
  <c r="D210" i="2"/>
  <c r="F209" i="2"/>
  <c r="E209" i="2"/>
  <c r="D209" i="2"/>
  <c r="F208" i="2"/>
  <c r="E208" i="2"/>
  <c r="D208" i="2"/>
  <c r="F207" i="2"/>
  <c r="E207" i="2"/>
  <c r="D207" i="2"/>
  <c r="F206" i="2"/>
  <c r="E206" i="2"/>
  <c r="D206" i="2"/>
  <c r="F205" i="2"/>
  <c r="E205" i="2"/>
  <c r="D205" i="2"/>
  <c r="F204" i="2"/>
  <c r="E204" i="2"/>
  <c r="D204" i="2"/>
  <c r="F203" i="2"/>
  <c r="E203" i="2"/>
  <c r="D203" i="2"/>
  <c r="F202" i="2"/>
  <c r="E202" i="2"/>
  <c r="D202" i="2"/>
  <c r="F201" i="2"/>
  <c r="E201" i="2"/>
  <c r="D201" i="2"/>
  <c r="F200" i="2"/>
  <c r="E200" i="2"/>
  <c r="D200" i="2"/>
  <c r="F199" i="2"/>
  <c r="E199" i="2"/>
  <c r="D199" i="2"/>
  <c r="F198" i="2"/>
  <c r="E198" i="2"/>
  <c r="D198" i="2"/>
  <c r="F197" i="2"/>
  <c r="E197" i="2"/>
  <c r="D197" i="2"/>
  <c r="F196" i="2"/>
  <c r="E196" i="2"/>
  <c r="D196" i="2"/>
  <c r="F195" i="2"/>
  <c r="E195" i="2"/>
  <c r="D195" i="2"/>
  <c r="F194" i="2"/>
  <c r="E194" i="2"/>
  <c r="D194" i="2"/>
  <c r="F193" i="2"/>
  <c r="E193" i="2"/>
  <c r="D193" i="2"/>
  <c r="F192" i="2"/>
  <c r="E192" i="2"/>
  <c r="D192" i="2"/>
  <c r="F191" i="2"/>
  <c r="E191" i="2"/>
  <c r="D191" i="2"/>
  <c r="F190" i="2"/>
  <c r="E190" i="2"/>
  <c r="D190" i="2"/>
  <c r="F189" i="2"/>
  <c r="E189" i="2"/>
  <c r="D189" i="2"/>
  <c r="F188" i="2"/>
  <c r="E188" i="2"/>
  <c r="D188" i="2"/>
  <c r="F187" i="2"/>
  <c r="E187" i="2"/>
  <c r="D187" i="2"/>
  <c r="F186" i="2"/>
  <c r="E186" i="2"/>
  <c r="D186" i="2"/>
  <c r="F185" i="2"/>
  <c r="E185" i="2"/>
  <c r="D185" i="2"/>
  <c r="F184" i="2"/>
  <c r="E184" i="2"/>
  <c r="D184" i="2"/>
  <c r="F183" i="2"/>
  <c r="E183" i="2"/>
  <c r="D183" i="2"/>
  <c r="F182" i="2"/>
  <c r="E182" i="2"/>
  <c r="D182" i="2"/>
  <c r="F181" i="2"/>
  <c r="E181" i="2"/>
  <c r="D181" i="2"/>
  <c r="F180" i="2"/>
  <c r="E180" i="2"/>
  <c r="D180" i="2"/>
  <c r="F179" i="2"/>
  <c r="E179" i="2"/>
  <c r="D179" i="2"/>
  <c r="F178" i="2"/>
  <c r="E178" i="2"/>
  <c r="D178" i="2"/>
  <c r="F177" i="2"/>
  <c r="E177" i="2"/>
  <c r="D177" i="2"/>
  <c r="F176" i="2"/>
  <c r="E176" i="2"/>
  <c r="D176" i="2"/>
  <c r="F175" i="2"/>
  <c r="E175" i="2"/>
  <c r="D175" i="2"/>
  <c r="F174" i="2"/>
  <c r="E174" i="2"/>
  <c r="D174" i="2"/>
  <c r="F173" i="2"/>
  <c r="E173" i="2"/>
  <c r="D173" i="2"/>
  <c r="F172" i="2"/>
  <c r="E172" i="2"/>
  <c r="D172" i="2"/>
  <c r="F171" i="2"/>
  <c r="E171" i="2"/>
  <c r="D171" i="2"/>
  <c r="F170" i="2"/>
  <c r="E170" i="2"/>
  <c r="D170" i="2"/>
  <c r="F169" i="2"/>
  <c r="E169" i="2"/>
  <c r="D169" i="2"/>
  <c r="F168" i="2"/>
  <c r="E168" i="2"/>
  <c r="D168" i="2"/>
  <c r="F167" i="2"/>
  <c r="E167" i="2"/>
  <c r="D167" i="2"/>
  <c r="F166" i="2"/>
  <c r="E166" i="2"/>
  <c r="D166" i="2"/>
  <c r="F165" i="2"/>
  <c r="E165" i="2"/>
  <c r="D165" i="2"/>
  <c r="F164" i="2"/>
  <c r="E164" i="2"/>
  <c r="D164" i="2"/>
  <c r="F163" i="2"/>
  <c r="E163" i="2"/>
  <c r="D163" i="2"/>
  <c r="F162" i="2"/>
  <c r="E162" i="2"/>
  <c r="D162" i="2"/>
  <c r="H304" i="2" l="1"/>
  <c r="D304" i="1" s="1"/>
  <c r="G288" i="2"/>
  <c r="C288" i="1" s="1"/>
  <c r="G296" i="2"/>
  <c r="H296" i="2" s="1"/>
  <c r="D296" i="1" s="1"/>
  <c r="G284" i="2"/>
  <c r="H284" i="2" s="1"/>
  <c r="D284" i="1" s="1"/>
  <c r="G292" i="2"/>
  <c r="H292" i="2" s="1"/>
  <c r="D292" i="1" s="1"/>
  <c r="G300" i="2"/>
  <c r="H300" i="2" s="1"/>
  <c r="D300" i="1" s="1"/>
  <c r="G283" i="2"/>
  <c r="C283" i="1" s="1"/>
  <c r="G285" i="2"/>
  <c r="H285" i="2" s="1"/>
  <c r="D285" i="1" s="1"/>
  <c r="G287" i="2"/>
  <c r="H287" i="2" s="1"/>
  <c r="D287" i="1" s="1"/>
  <c r="G289" i="2"/>
  <c r="H289" i="2" s="1"/>
  <c r="D289" i="1" s="1"/>
  <c r="G291" i="2"/>
  <c r="H291" i="2" s="1"/>
  <c r="D291" i="1" s="1"/>
  <c r="G293" i="2"/>
  <c r="H293" i="2" s="1"/>
  <c r="D293" i="1" s="1"/>
  <c r="G295" i="2"/>
  <c r="H295" i="2" s="1"/>
  <c r="D295" i="1" s="1"/>
  <c r="G297" i="2"/>
  <c r="H297" i="2" s="1"/>
  <c r="D297" i="1" s="1"/>
  <c r="G299" i="2"/>
  <c r="H299" i="2" s="1"/>
  <c r="D299" i="1" s="1"/>
  <c r="G162" i="2"/>
  <c r="C162" i="1" s="1"/>
  <c r="G164" i="2"/>
  <c r="H164" i="2" s="1"/>
  <c r="D164" i="1" s="1"/>
  <c r="G166" i="2"/>
  <c r="C166" i="1" s="1"/>
  <c r="G168" i="2"/>
  <c r="H168" i="2" s="1"/>
  <c r="D168" i="1" s="1"/>
  <c r="G170" i="2"/>
  <c r="C170" i="1" s="1"/>
  <c r="G172" i="2"/>
  <c r="H172" i="2" s="1"/>
  <c r="D172" i="1" s="1"/>
  <c r="G174" i="2"/>
  <c r="H174" i="2" s="1"/>
  <c r="D174" i="1" s="1"/>
  <c r="G176" i="2"/>
  <c r="H176" i="2" s="1"/>
  <c r="D176" i="1" s="1"/>
  <c r="G178" i="2"/>
  <c r="C178" i="1" s="1"/>
  <c r="G180" i="2"/>
  <c r="H180" i="2" s="1"/>
  <c r="D180" i="1" s="1"/>
  <c r="G182" i="2"/>
  <c r="C182" i="1" s="1"/>
  <c r="G184" i="2"/>
  <c r="H184" i="2" s="1"/>
  <c r="D184" i="1" s="1"/>
  <c r="G186" i="2"/>
  <c r="C186" i="1" s="1"/>
  <c r="G188" i="2"/>
  <c r="H188" i="2" s="1"/>
  <c r="D188" i="1" s="1"/>
  <c r="G190" i="2"/>
  <c r="H190" i="2" s="1"/>
  <c r="D190" i="1" s="1"/>
  <c r="G192" i="2"/>
  <c r="H192" i="2" s="1"/>
  <c r="D192" i="1" s="1"/>
  <c r="G194" i="2"/>
  <c r="C194" i="1" s="1"/>
  <c r="G196" i="2"/>
  <c r="H196" i="2" s="1"/>
  <c r="D196" i="1" s="1"/>
  <c r="G198" i="2"/>
  <c r="C198" i="1" s="1"/>
  <c r="G200" i="2"/>
  <c r="H200" i="2" s="1"/>
  <c r="D200" i="1" s="1"/>
  <c r="G202" i="2"/>
  <c r="C202" i="1" s="1"/>
  <c r="G204" i="2"/>
  <c r="H204" i="2" s="1"/>
  <c r="D204" i="1" s="1"/>
  <c r="G206" i="2"/>
  <c r="H206" i="2" s="1"/>
  <c r="D206" i="1" s="1"/>
  <c r="G208" i="2"/>
  <c r="H208" i="2" s="1"/>
  <c r="D208" i="1" s="1"/>
  <c r="G210" i="2"/>
  <c r="C210" i="1" s="1"/>
  <c r="G212" i="2"/>
  <c r="H212" i="2" s="1"/>
  <c r="D212" i="1" s="1"/>
  <c r="G214" i="2"/>
  <c r="C214" i="1" s="1"/>
  <c r="G216" i="2"/>
  <c r="H216" i="2" s="1"/>
  <c r="D216" i="1" s="1"/>
  <c r="G218" i="2"/>
  <c r="C218" i="1" s="1"/>
  <c r="G220" i="2"/>
  <c r="H220" i="2" s="1"/>
  <c r="D220" i="1" s="1"/>
  <c r="G222" i="2"/>
  <c r="H222" i="2" s="1"/>
  <c r="D222" i="1" s="1"/>
  <c r="G224" i="2"/>
  <c r="H224" i="2" s="1"/>
  <c r="D224" i="1" s="1"/>
  <c r="G226" i="2"/>
  <c r="C226" i="1" s="1"/>
  <c r="G228" i="2"/>
  <c r="H228" i="2" s="1"/>
  <c r="D228" i="1" s="1"/>
  <c r="G230" i="2"/>
  <c r="C230" i="1" s="1"/>
  <c r="G232" i="2"/>
  <c r="H232" i="2" s="1"/>
  <c r="D232" i="1" s="1"/>
  <c r="G234" i="2"/>
  <c r="C234" i="1" s="1"/>
  <c r="G236" i="2"/>
  <c r="H236" i="2" s="1"/>
  <c r="D236" i="1" s="1"/>
  <c r="G238" i="2"/>
  <c r="H238" i="2" s="1"/>
  <c r="D238" i="1" s="1"/>
  <c r="G240" i="2"/>
  <c r="H240" i="2" s="1"/>
  <c r="D240" i="1" s="1"/>
  <c r="G242" i="2"/>
  <c r="C242" i="1" s="1"/>
  <c r="G244" i="2"/>
  <c r="H244" i="2" s="1"/>
  <c r="D244" i="1" s="1"/>
  <c r="G246" i="2"/>
  <c r="C246" i="1" s="1"/>
  <c r="G248" i="2"/>
  <c r="H248" i="2" s="1"/>
  <c r="D248" i="1" s="1"/>
  <c r="G250" i="2"/>
  <c r="C250" i="1" s="1"/>
  <c r="G252" i="2"/>
  <c r="H252" i="2" s="1"/>
  <c r="D252" i="1" s="1"/>
  <c r="G254" i="2"/>
  <c r="H254" i="2" s="1"/>
  <c r="D254" i="1" s="1"/>
  <c r="G256" i="2"/>
  <c r="H256" i="2" s="1"/>
  <c r="D256" i="1" s="1"/>
  <c r="G258" i="2"/>
  <c r="C258" i="1" s="1"/>
  <c r="G260" i="2"/>
  <c r="H260" i="2" s="1"/>
  <c r="D260" i="1" s="1"/>
  <c r="G262" i="2"/>
  <c r="C262" i="1" s="1"/>
  <c r="G264" i="2"/>
  <c r="H264" i="2" s="1"/>
  <c r="D264" i="1" s="1"/>
  <c r="G266" i="2"/>
  <c r="C266" i="1" s="1"/>
  <c r="G268" i="2"/>
  <c r="H268" i="2" s="1"/>
  <c r="D268" i="1" s="1"/>
  <c r="G270" i="2"/>
  <c r="H270" i="2" s="1"/>
  <c r="D270" i="1" s="1"/>
  <c r="G272" i="2"/>
  <c r="H272" i="2" s="1"/>
  <c r="D272" i="1" s="1"/>
  <c r="G274" i="2"/>
  <c r="C274" i="1" s="1"/>
  <c r="G276" i="2"/>
  <c r="H276" i="2" s="1"/>
  <c r="D276" i="1" s="1"/>
  <c r="G278" i="2"/>
  <c r="C278" i="1" s="1"/>
  <c r="G280" i="2"/>
  <c r="H280" i="2" s="1"/>
  <c r="D280" i="1" s="1"/>
  <c r="G163" i="2"/>
  <c r="C163" i="1" s="1"/>
  <c r="G165" i="2"/>
  <c r="C165" i="1" s="1"/>
  <c r="G167" i="2"/>
  <c r="C167" i="1" s="1"/>
  <c r="G169" i="2"/>
  <c r="H169" i="2" s="1"/>
  <c r="D169" i="1" s="1"/>
  <c r="G171" i="2"/>
  <c r="C171" i="1" s="1"/>
  <c r="G173" i="2"/>
  <c r="C173" i="1" s="1"/>
  <c r="G175" i="2"/>
  <c r="C175" i="1" s="1"/>
  <c r="G177" i="2"/>
  <c r="H177" i="2" s="1"/>
  <c r="D177" i="1" s="1"/>
  <c r="G179" i="2"/>
  <c r="C179" i="1" s="1"/>
  <c r="G181" i="2"/>
  <c r="C181" i="1" s="1"/>
  <c r="G183" i="2"/>
  <c r="C183" i="1" s="1"/>
  <c r="G185" i="2"/>
  <c r="H185" i="2" s="1"/>
  <c r="D185" i="1" s="1"/>
  <c r="G187" i="2"/>
  <c r="C187" i="1" s="1"/>
  <c r="G189" i="2"/>
  <c r="C189" i="1" s="1"/>
  <c r="G191" i="2"/>
  <c r="C191" i="1" s="1"/>
  <c r="G193" i="2"/>
  <c r="H193" i="2" s="1"/>
  <c r="D193" i="1" s="1"/>
  <c r="G195" i="2"/>
  <c r="C195" i="1" s="1"/>
  <c r="G197" i="2"/>
  <c r="C197" i="1" s="1"/>
  <c r="G199" i="2"/>
  <c r="C199" i="1" s="1"/>
  <c r="G201" i="2"/>
  <c r="H201" i="2" s="1"/>
  <c r="D201" i="1" s="1"/>
  <c r="G203" i="2"/>
  <c r="C203" i="1" s="1"/>
  <c r="G205" i="2"/>
  <c r="C205" i="1" s="1"/>
  <c r="G207" i="2"/>
  <c r="C207" i="1" s="1"/>
  <c r="G209" i="2"/>
  <c r="H209" i="2" s="1"/>
  <c r="D209" i="1" s="1"/>
  <c r="G211" i="2"/>
  <c r="C211" i="1" s="1"/>
  <c r="G213" i="2"/>
  <c r="C213" i="1" s="1"/>
  <c r="G215" i="2"/>
  <c r="C215" i="1" s="1"/>
  <c r="G217" i="2"/>
  <c r="H217" i="2" s="1"/>
  <c r="D217" i="1" s="1"/>
  <c r="G219" i="2"/>
  <c r="C219" i="1" s="1"/>
  <c r="G221" i="2"/>
  <c r="C221" i="1" s="1"/>
  <c r="G223" i="2"/>
  <c r="C223" i="1" s="1"/>
  <c r="G225" i="2"/>
  <c r="H225" i="2" s="1"/>
  <c r="D225" i="1" s="1"/>
  <c r="G227" i="2"/>
  <c r="C227" i="1" s="1"/>
  <c r="G229" i="2"/>
  <c r="C229" i="1" s="1"/>
  <c r="G231" i="2"/>
  <c r="C231" i="1" s="1"/>
  <c r="G233" i="2"/>
  <c r="H233" i="2" s="1"/>
  <c r="D233" i="1" s="1"/>
  <c r="G235" i="2"/>
  <c r="C235" i="1" s="1"/>
  <c r="G237" i="2"/>
  <c r="C237" i="1" s="1"/>
  <c r="G239" i="2"/>
  <c r="C239" i="1" s="1"/>
  <c r="G241" i="2"/>
  <c r="H241" i="2" s="1"/>
  <c r="D241" i="1" s="1"/>
  <c r="G243" i="2"/>
  <c r="C243" i="1" s="1"/>
  <c r="G245" i="2"/>
  <c r="C245" i="1" s="1"/>
  <c r="G247" i="2"/>
  <c r="C247" i="1" s="1"/>
  <c r="G249" i="2"/>
  <c r="C249" i="1" s="1"/>
  <c r="G251" i="2"/>
  <c r="C251" i="1" s="1"/>
  <c r="G253" i="2"/>
  <c r="C253" i="1" s="1"/>
  <c r="G255" i="2"/>
  <c r="C255" i="1" s="1"/>
  <c r="G257" i="2"/>
  <c r="C257" i="1" s="1"/>
  <c r="G259" i="2"/>
  <c r="C259" i="1" s="1"/>
  <c r="G261" i="2"/>
  <c r="C261" i="1" s="1"/>
  <c r="G263" i="2"/>
  <c r="C263" i="1" s="1"/>
  <c r="G265" i="2"/>
  <c r="C265" i="1" s="1"/>
  <c r="G267" i="2"/>
  <c r="C267" i="1" s="1"/>
  <c r="G269" i="2"/>
  <c r="C269" i="1" s="1"/>
  <c r="G271" i="2"/>
  <c r="C271" i="1" s="1"/>
  <c r="G273" i="2"/>
  <c r="H273" i="2" s="1"/>
  <c r="D273" i="1" s="1"/>
  <c r="G275" i="2"/>
  <c r="C275" i="1" s="1"/>
  <c r="G277" i="2"/>
  <c r="C277" i="1" s="1"/>
  <c r="G279" i="2"/>
  <c r="C279" i="1" s="1"/>
  <c r="G281" i="2"/>
  <c r="C281" i="1" s="1"/>
  <c r="H286" i="2"/>
  <c r="D286" i="1" s="1"/>
  <c r="H294" i="2"/>
  <c r="D294" i="1" s="1"/>
  <c r="H303" i="2"/>
  <c r="D303" i="1" s="1"/>
  <c r="H301" i="2"/>
  <c r="D301" i="1" s="1"/>
  <c r="C301" i="1"/>
  <c r="H306" i="2"/>
  <c r="D306" i="1" s="1"/>
  <c r="H307" i="2"/>
  <c r="D307" i="1" s="1"/>
  <c r="C307" i="1"/>
  <c r="H282" i="2"/>
  <c r="D282" i="1" s="1"/>
  <c r="H290" i="2"/>
  <c r="D290" i="1" s="1"/>
  <c r="H298" i="2"/>
  <c r="D298" i="1" s="1"/>
  <c r="H302" i="2"/>
  <c r="D302" i="1" s="1"/>
  <c r="H305" i="2"/>
  <c r="D305" i="1" s="1"/>
  <c r="C305" i="1"/>
  <c r="C282" i="1"/>
  <c r="C286" i="1"/>
  <c r="C290" i="1"/>
  <c r="C294" i="1"/>
  <c r="C298" i="1"/>
  <c r="F161" i="2"/>
  <c r="E161" i="2"/>
  <c r="D161" i="2"/>
  <c r="F160" i="2"/>
  <c r="E160" i="2"/>
  <c r="D160" i="2"/>
  <c r="F159" i="2"/>
  <c r="E159" i="2"/>
  <c r="D159" i="2"/>
  <c r="F158" i="2"/>
  <c r="E158" i="2"/>
  <c r="D158" i="2"/>
  <c r="F157" i="2"/>
  <c r="E157" i="2"/>
  <c r="D157" i="2"/>
  <c r="F156" i="2"/>
  <c r="E156" i="2"/>
  <c r="D156" i="2"/>
  <c r="F155" i="2"/>
  <c r="E155" i="2"/>
  <c r="D155" i="2"/>
  <c r="F154" i="2"/>
  <c r="E154" i="2"/>
  <c r="D154" i="2"/>
  <c r="F153" i="2"/>
  <c r="E153" i="2"/>
  <c r="D153" i="2"/>
  <c r="F152" i="2"/>
  <c r="E152" i="2"/>
  <c r="D152" i="2"/>
  <c r="F151" i="2"/>
  <c r="E151" i="2"/>
  <c r="D151" i="2"/>
  <c r="F150" i="2"/>
  <c r="E150" i="2"/>
  <c r="D150" i="2"/>
  <c r="F149" i="2"/>
  <c r="E149" i="2"/>
  <c r="D149" i="2"/>
  <c r="F148" i="2"/>
  <c r="E148" i="2"/>
  <c r="D148" i="2"/>
  <c r="F147" i="2"/>
  <c r="E147" i="2"/>
  <c r="D147" i="2"/>
  <c r="F146" i="2"/>
  <c r="E146" i="2"/>
  <c r="D146" i="2"/>
  <c r="F145" i="2"/>
  <c r="E145" i="2"/>
  <c r="D145" i="2"/>
  <c r="F144" i="2"/>
  <c r="E144" i="2"/>
  <c r="D144" i="2"/>
  <c r="F143" i="2"/>
  <c r="E143" i="2"/>
  <c r="D143" i="2"/>
  <c r="F142" i="2"/>
  <c r="E142" i="2"/>
  <c r="D142" i="2"/>
  <c r="F141" i="2"/>
  <c r="E141" i="2"/>
  <c r="D141" i="2"/>
  <c r="F140" i="2"/>
  <c r="E140" i="2"/>
  <c r="D140" i="2"/>
  <c r="F139" i="2"/>
  <c r="E139" i="2"/>
  <c r="D139" i="2"/>
  <c r="F138" i="2"/>
  <c r="E138" i="2"/>
  <c r="D138" i="2"/>
  <c r="F137" i="2"/>
  <c r="E137" i="2"/>
  <c r="D137" i="2"/>
  <c r="F136" i="2"/>
  <c r="E136" i="2"/>
  <c r="D136" i="2"/>
  <c r="F135" i="2"/>
  <c r="E135" i="2"/>
  <c r="D135" i="2"/>
  <c r="F134" i="2"/>
  <c r="E134" i="2"/>
  <c r="D134" i="2"/>
  <c r="F133" i="2"/>
  <c r="E133" i="2"/>
  <c r="D133" i="2"/>
  <c r="F132" i="2"/>
  <c r="E132" i="2"/>
  <c r="D132" i="2"/>
  <c r="F131" i="2"/>
  <c r="E131" i="2"/>
  <c r="D131" i="2"/>
  <c r="F130" i="2"/>
  <c r="E130" i="2"/>
  <c r="D130" i="2"/>
  <c r="F129" i="2"/>
  <c r="E129" i="2"/>
  <c r="D129" i="2"/>
  <c r="F128" i="2"/>
  <c r="E128" i="2"/>
  <c r="D128" i="2"/>
  <c r="F127" i="2"/>
  <c r="E127" i="2"/>
  <c r="D127" i="2"/>
  <c r="F126" i="2"/>
  <c r="E126" i="2"/>
  <c r="D126" i="2"/>
  <c r="F125" i="2"/>
  <c r="E125" i="2"/>
  <c r="D125" i="2"/>
  <c r="F124" i="2"/>
  <c r="E124" i="2"/>
  <c r="D124" i="2"/>
  <c r="F123" i="2"/>
  <c r="E123" i="2"/>
  <c r="D123" i="2"/>
  <c r="F122" i="2"/>
  <c r="E122" i="2"/>
  <c r="D122" i="2"/>
  <c r="F121" i="2"/>
  <c r="E121" i="2"/>
  <c r="D121" i="2"/>
  <c r="F120" i="2"/>
  <c r="E120" i="2"/>
  <c r="D120" i="2"/>
  <c r="F119" i="2"/>
  <c r="E119" i="2"/>
  <c r="D119" i="2"/>
  <c r="F118" i="2"/>
  <c r="E118" i="2"/>
  <c r="D118" i="2"/>
  <c r="F117" i="2"/>
  <c r="E117" i="2"/>
  <c r="D117" i="2"/>
  <c r="F116" i="2"/>
  <c r="E116" i="2"/>
  <c r="D116" i="2"/>
  <c r="F115" i="2"/>
  <c r="E115" i="2"/>
  <c r="D115" i="2"/>
  <c r="F114" i="2"/>
  <c r="E114" i="2"/>
  <c r="D114" i="2"/>
  <c r="F113" i="2"/>
  <c r="E113" i="2"/>
  <c r="D113" i="2"/>
  <c r="F112" i="2"/>
  <c r="E112" i="2"/>
  <c r="D112" i="2"/>
  <c r="F111" i="2"/>
  <c r="E111" i="2"/>
  <c r="D111" i="2"/>
  <c r="H189" i="2" l="1"/>
  <c r="D189" i="1" s="1"/>
  <c r="H173" i="2"/>
  <c r="D173" i="1" s="1"/>
  <c r="H197" i="2"/>
  <c r="D197" i="1" s="1"/>
  <c r="H181" i="2"/>
  <c r="D181" i="1" s="1"/>
  <c r="H165" i="2"/>
  <c r="D165" i="1" s="1"/>
  <c r="C193" i="1"/>
  <c r="C185" i="1"/>
  <c r="C177" i="1"/>
  <c r="C169" i="1"/>
  <c r="H205" i="2"/>
  <c r="D205" i="1" s="1"/>
  <c r="H221" i="2"/>
  <c r="D221" i="1" s="1"/>
  <c r="H213" i="2"/>
  <c r="D213" i="1" s="1"/>
  <c r="C225" i="1"/>
  <c r="C209" i="1"/>
  <c r="C217" i="1"/>
  <c r="C201" i="1"/>
  <c r="H245" i="2"/>
  <c r="D245" i="1" s="1"/>
  <c r="H237" i="2"/>
  <c r="D237" i="1" s="1"/>
  <c r="H229" i="2"/>
  <c r="D229" i="1" s="1"/>
  <c r="C241" i="1"/>
  <c r="C233" i="1"/>
  <c r="C296" i="1"/>
  <c r="H214" i="2"/>
  <c r="D214" i="1" s="1"/>
  <c r="C222" i="1"/>
  <c r="H278" i="2"/>
  <c r="D278" i="1" s="1"/>
  <c r="H182" i="2"/>
  <c r="D182" i="1" s="1"/>
  <c r="H288" i="2"/>
  <c r="D288" i="1" s="1"/>
  <c r="C190" i="1"/>
  <c r="H246" i="2"/>
  <c r="D246" i="1" s="1"/>
  <c r="C254" i="1"/>
  <c r="C284" i="1"/>
  <c r="H283" i="2"/>
  <c r="D283" i="1" s="1"/>
  <c r="C300" i="1"/>
  <c r="H262" i="2"/>
  <c r="D262" i="1" s="1"/>
  <c r="H230" i="2"/>
  <c r="D230" i="1" s="1"/>
  <c r="H198" i="2"/>
  <c r="D198" i="1" s="1"/>
  <c r="H166" i="2"/>
  <c r="D166" i="1" s="1"/>
  <c r="C270" i="1"/>
  <c r="C238" i="1"/>
  <c r="C206" i="1"/>
  <c r="C174" i="1"/>
  <c r="C292" i="1"/>
  <c r="C299" i="1"/>
  <c r="C291" i="1"/>
  <c r="C295" i="1"/>
  <c r="C287" i="1"/>
  <c r="H274" i="2"/>
  <c r="D274" i="1" s="1"/>
  <c r="H266" i="2"/>
  <c r="D266" i="1" s="1"/>
  <c r="H258" i="2"/>
  <c r="D258" i="1" s="1"/>
  <c r="H250" i="2"/>
  <c r="D250" i="1" s="1"/>
  <c r="H242" i="2"/>
  <c r="D242" i="1" s="1"/>
  <c r="H234" i="2"/>
  <c r="D234" i="1" s="1"/>
  <c r="H226" i="2"/>
  <c r="D226" i="1" s="1"/>
  <c r="H218" i="2"/>
  <c r="D218" i="1" s="1"/>
  <c r="H210" i="2"/>
  <c r="D210" i="1" s="1"/>
  <c r="H202" i="2"/>
  <c r="D202" i="1" s="1"/>
  <c r="H194" i="2"/>
  <c r="D194" i="1" s="1"/>
  <c r="H186" i="2"/>
  <c r="D186" i="1" s="1"/>
  <c r="H178" i="2"/>
  <c r="D178" i="1" s="1"/>
  <c r="H170" i="2"/>
  <c r="D170" i="1" s="1"/>
  <c r="H162" i="2"/>
  <c r="D162" i="1" s="1"/>
  <c r="H265" i="2"/>
  <c r="D265" i="1" s="1"/>
  <c r="H281" i="2"/>
  <c r="D281" i="1" s="1"/>
  <c r="H249" i="2"/>
  <c r="D249" i="1" s="1"/>
  <c r="C273" i="1"/>
  <c r="G112" i="2"/>
  <c r="H112" i="2" s="1"/>
  <c r="D112" i="1" s="1"/>
  <c r="G114" i="2"/>
  <c r="H114" i="2" s="1"/>
  <c r="D114" i="1" s="1"/>
  <c r="G116" i="2"/>
  <c r="G118" i="2"/>
  <c r="H118" i="2" s="1"/>
  <c r="D118" i="1" s="1"/>
  <c r="G120" i="2"/>
  <c r="H120" i="2" s="1"/>
  <c r="D120" i="1" s="1"/>
  <c r="G122" i="2"/>
  <c r="H122" i="2" s="1"/>
  <c r="D122" i="1" s="1"/>
  <c r="G124" i="2"/>
  <c r="H124" i="2" s="1"/>
  <c r="D124" i="1" s="1"/>
  <c r="G126" i="2"/>
  <c r="H126" i="2" s="1"/>
  <c r="D126" i="1" s="1"/>
  <c r="G128" i="2"/>
  <c r="H128" i="2" s="1"/>
  <c r="D128" i="1" s="1"/>
  <c r="G130" i="2"/>
  <c r="H130" i="2" s="1"/>
  <c r="D130" i="1" s="1"/>
  <c r="G132" i="2"/>
  <c r="H132" i="2" s="1"/>
  <c r="D132" i="1" s="1"/>
  <c r="G134" i="2"/>
  <c r="H134" i="2" s="1"/>
  <c r="D134" i="1" s="1"/>
  <c r="G136" i="2"/>
  <c r="H136" i="2" s="1"/>
  <c r="D136" i="1" s="1"/>
  <c r="G138" i="2"/>
  <c r="H138" i="2" s="1"/>
  <c r="D138" i="1" s="1"/>
  <c r="G140" i="2"/>
  <c r="H140" i="2" s="1"/>
  <c r="D140" i="1" s="1"/>
  <c r="G142" i="2"/>
  <c r="H142" i="2" s="1"/>
  <c r="D142" i="1" s="1"/>
  <c r="G144" i="2"/>
  <c r="H144" i="2" s="1"/>
  <c r="D144" i="1" s="1"/>
  <c r="G146" i="2"/>
  <c r="H146" i="2" s="1"/>
  <c r="D146" i="1" s="1"/>
  <c r="G148" i="2"/>
  <c r="H148" i="2" s="1"/>
  <c r="D148" i="1" s="1"/>
  <c r="G150" i="2"/>
  <c r="H150" i="2" s="1"/>
  <c r="D150" i="1" s="1"/>
  <c r="G152" i="2"/>
  <c r="H152" i="2" s="1"/>
  <c r="D152" i="1" s="1"/>
  <c r="G154" i="2"/>
  <c r="H154" i="2" s="1"/>
  <c r="D154" i="1" s="1"/>
  <c r="G156" i="2"/>
  <c r="H156" i="2" s="1"/>
  <c r="D156" i="1" s="1"/>
  <c r="G158" i="2"/>
  <c r="H158" i="2" s="1"/>
  <c r="D158" i="1" s="1"/>
  <c r="H257" i="2"/>
  <c r="D257" i="1" s="1"/>
  <c r="G160" i="2"/>
  <c r="H160" i="2" s="1"/>
  <c r="D160" i="1" s="1"/>
  <c r="G111" i="2"/>
  <c r="H111" i="2" s="1"/>
  <c r="D111" i="1" s="1"/>
  <c r="G113" i="2"/>
  <c r="H113" i="2" s="1"/>
  <c r="D113" i="1" s="1"/>
  <c r="G115" i="2"/>
  <c r="H115" i="2" s="1"/>
  <c r="D115" i="1" s="1"/>
  <c r="G117" i="2"/>
  <c r="H117" i="2" s="1"/>
  <c r="D117" i="1" s="1"/>
  <c r="G119" i="2"/>
  <c r="H119" i="2" s="1"/>
  <c r="D119" i="1" s="1"/>
  <c r="G121" i="2"/>
  <c r="H121" i="2" s="1"/>
  <c r="D121" i="1" s="1"/>
  <c r="G123" i="2"/>
  <c r="H123" i="2" s="1"/>
  <c r="D123" i="1" s="1"/>
  <c r="G125" i="2"/>
  <c r="H125" i="2" s="1"/>
  <c r="D125" i="1" s="1"/>
  <c r="G127" i="2"/>
  <c r="H127" i="2" s="1"/>
  <c r="D127" i="1" s="1"/>
  <c r="G129" i="2"/>
  <c r="H129" i="2" s="1"/>
  <c r="D129" i="1" s="1"/>
  <c r="G131" i="2"/>
  <c r="H131" i="2" s="1"/>
  <c r="D131" i="1" s="1"/>
  <c r="G133" i="2"/>
  <c r="H133" i="2" s="1"/>
  <c r="D133" i="1" s="1"/>
  <c r="G135" i="2"/>
  <c r="H135" i="2" s="1"/>
  <c r="D135" i="1" s="1"/>
  <c r="G137" i="2"/>
  <c r="H137" i="2" s="1"/>
  <c r="D137" i="1" s="1"/>
  <c r="G139" i="2"/>
  <c r="H139" i="2" s="1"/>
  <c r="D139" i="1" s="1"/>
  <c r="G141" i="2"/>
  <c r="H141" i="2" s="1"/>
  <c r="D141" i="1" s="1"/>
  <c r="G143" i="2"/>
  <c r="H143" i="2" s="1"/>
  <c r="D143" i="1" s="1"/>
  <c r="G145" i="2"/>
  <c r="H145" i="2" s="1"/>
  <c r="D145" i="1" s="1"/>
  <c r="G147" i="2"/>
  <c r="H147" i="2" s="1"/>
  <c r="D147" i="1" s="1"/>
  <c r="G149" i="2"/>
  <c r="H149" i="2" s="1"/>
  <c r="D149" i="1" s="1"/>
  <c r="G151" i="2"/>
  <c r="H151" i="2" s="1"/>
  <c r="D151" i="1" s="1"/>
  <c r="G153" i="2"/>
  <c r="H153" i="2" s="1"/>
  <c r="D153" i="1" s="1"/>
  <c r="G155" i="2"/>
  <c r="H155" i="2" s="1"/>
  <c r="D155" i="1" s="1"/>
  <c r="G157" i="2"/>
  <c r="H157" i="2" s="1"/>
  <c r="D157" i="1" s="1"/>
  <c r="G159" i="2"/>
  <c r="H159" i="2" s="1"/>
  <c r="D159" i="1" s="1"/>
  <c r="G161" i="2"/>
  <c r="H161" i="2" s="1"/>
  <c r="D161" i="1" s="1"/>
  <c r="H277" i="2"/>
  <c r="D277" i="1" s="1"/>
  <c r="H269" i="2"/>
  <c r="D269" i="1" s="1"/>
  <c r="H261" i="2"/>
  <c r="D261" i="1" s="1"/>
  <c r="H253" i="2"/>
  <c r="D253" i="1" s="1"/>
  <c r="H279" i="2"/>
  <c r="D279" i="1" s="1"/>
  <c r="H275" i="2"/>
  <c r="D275" i="1" s="1"/>
  <c r="H271" i="2"/>
  <c r="D271" i="1" s="1"/>
  <c r="H267" i="2"/>
  <c r="D267" i="1" s="1"/>
  <c r="H263" i="2"/>
  <c r="D263" i="1" s="1"/>
  <c r="H259" i="2"/>
  <c r="D259" i="1" s="1"/>
  <c r="H255" i="2"/>
  <c r="D255" i="1" s="1"/>
  <c r="H251" i="2"/>
  <c r="D251" i="1" s="1"/>
  <c r="H247" i="2"/>
  <c r="D247" i="1" s="1"/>
  <c r="H243" i="2"/>
  <c r="D243" i="1" s="1"/>
  <c r="H239" i="2"/>
  <c r="D239" i="1" s="1"/>
  <c r="H235" i="2"/>
  <c r="D235" i="1" s="1"/>
  <c r="H231" i="2"/>
  <c r="D231" i="1" s="1"/>
  <c r="H227" i="2"/>
  <c r="D227" i="1" s="1"/>
  <c r="H223" i="2"/>
  <c r="D223" i="1" s="1"/>
  <c r="H219" i="2"/>
  <c r="D219" i="1" s="1"/>
  <c r="H215" i="2"/>
  <c r="D215" i="1" s="1"/>
  <c r="H211" i="2"/>
  <c r="D211" i="1" s="1"/>
  <c r="H207" i="2"/>
  <c r="D207" i="1" s="1"/>
  <c r="H203" i="2"/>
  <c r="D203" i="1" s="1"/>
  <c r="H199" i="2"/>
  <c r="D199" i="1" s="1"/>
  <c r="H195" i="2"/>
  <c r="D195" i="1" s="1"/>
  <c r="H191" i="2"/>
  <c r="D191" i="1" s="1"/>
  <c r="H187" i="2"/>
  <c r="D187" i="1" s="1"/>
  <c r="H183" i="2"/>
  <c r="D183" i="1" s="1"/>
  <c r="H179" i="2"/>
  <c r="D179" i="1" s="1"/>
  <c r="H175" i="2"/>
  <c r="D175" i="1" s="1"/>
  <c r="H171" i="2"/>
  <c r="D171" i="1" s="1"/>
  <c r="H167" i="2"/>
  <c r="D167" i="1" s="1"/>
  <c r="H163" i="2"/>
  <c r="D163" i="1" s="1"/>
  <c r="C116" i="1"/>
  <c r="C297" i="1"/>
  <c r="C293" i="1"/>
  <c r="C289" i="1"/>
  <c r="C285" i="1"/>
  <c r="C280" i="1"/>
  <c r="C276" i="1"/>
  <c r="C272" i="1"/>
  <c r="C268" i="1"/>
  <c r="C264" i="1"/>
  <c r="C260" i="1"/>
  <c r="C256" i="1"/>
  <c r="C252" i="1"/>
  <c r="C248" i="1"/>
  <c r="C244" i="1"/>
  <c r="C240" i="1"/>
  <c r="C236" i="1"/>
  <c r="C232" i="1"/>
  <c r="C228" i="1"/>
  <c r="C224" i="1"/>
  <c r="C220" i="1"/>
  <c r="C216" i="1"/>
  <c r="C212" i="1"/>
  <c r="C208" i="1"/>
  <c r="C204" i="1"/>
  <c r="C200" i="1"/>
  <c r="C196" i="1"/>
  <c r="C192" i="1"/>
  <c r="C188" i="1"/>
  <c r="C184" i="1"/>
  <c r="C180" i="1"/>
  <c r="C176" i="1"/>
  <c r="C172" i="1"/>
  <c r="C168" i="1"/>
  <c r="C164" i="1"/>
  <c r="F110" i="2"/>
  <c r="F109" i="2"/>
  <c r="F108" i="2"/>
  <c r="F107" i="2"/>
  <c r="F106" i="2"/>
  <c r="F105" i="2"/>
  <c r="F104" i="2"/>
  <c r="F103" i="2"/>
  <c r="F102" i="2"/>
  <c r="F101" i="2"/>
  <c r="F100" i="2"/>
  <c r="F99" i="2"/>
  <c r="E110" i="2"/>
  <c r="D110" i="2"/>
  <c r="E109" i="2"/>
  <c r="D109" i="2"/>
  <c r="E108" i="2"/>
  <c r="D108" i="2"/>
  <c r="E107" i="2"/>
  <c r="D107" i="2"/>
  <c r="E106" i="2"/>
  <c r="D106" i="2"/>
  <c r="E105" i="2"/>
  <c r="D105" i="2"/>
  <c r="E104" i="2"/>
  <c r="D104" i="2"/>
  <c r="E103" i="2"/>
  <c r="D103" i="2"/>
  <c r="E102" i="2"/>
  <c r="D102" i="2"/>
  <c r="E101" i="2"/>
  <c r="D101" i="2"/>
  <c r="E100" i="2"/>
  <c r="D100" i="2"/>
  <c r="G100" i="2" l="1"/>
  <c r="H100" i="2" s="1"/>
  <c r="D100" i="1" s="1"/>
  <c r="G101" i="2"/>
  <c r="H101" i="2" s="1"/>
  <c r="D101" i="1" s="1"/>
  <c r="G102" i="2"/>
  <c r="H102" i="2" s="1"/>
  <c r="D102" i="1" s="1"/>
  <c r="G103" i="2"/>
  <c r="H103" i="2" s="1"/>
  <c r="D103" i="1" s="1"/>
  <c r="G104" i="2"/>
  <c r="H104" i="2" s="1"/>
  <c r="D104" i="1" s="1"/>
  <c r="G105" i="2"/>
  <c r="H105" i="2" s="1"/>
  <c r="D105" i="1" s="1"/>
  <c r="G106" i="2"/>
  <c r="H106" i="2" s="1"/>
  <c r="D106" i="1" s="1"/>
  <c r="G107" i="2"/>
  <c r="H107" i="2" s="1"/>
  <c r="D107" i="1" s="1"/>
  <c r="G108" i="2"/>
  <c r="H108" i="2" s="1"/>
  <c r="D108" i="1" s="1"/>
  <c r="G109" i="2"/>
  <c r="H109" i="2" s="1"/>
  <c r="D109" i="1" s="1"/>
  <c r="G110" i="2"/>
  <c r="H110" i="2" s="1"/>
  <c r="D110" i="1" s="1"/>
  <c r="C152" i="1"/>
  <c r="C120" i="1"/>
  <c r="C147" i="1"/>
  <c r="C136" i="1"/>
  <c r="H116" i="2"/>
  <c r="D116" i="1" s="1"/>
  <c r="C155" i="1"/>
  <c r="C160" i="1"/>
  <c r="C144" i="1"/>
  <c r="C128" i="1"/>
  <c r="C125" i="1"/>
  <c r="C141" i="1"/>
  <c r="C114" i="1"/>
  <c r="C133" i="1"/>
  <c r="C117" i="1"/>
  <c r="C137" i="1"/>
  <c r="C129" i="1"/>
  <c r="C121" i="1"/>
  <c r="C113" i="1"/>
  <c r="C156" i="1"/>
  <c r="C148" i="1"/>
  <c r="C140" i="1"/>
  <c r="C132" i="1"/>
  <c r="C124" i="1"/>
  <c r="C112" i="1"/>
  <c r="C159" i="1"/>
  <c r="C151" i="1"/>
  <c r="C143" i="1"/>
  <c r="C139" i="1"/>
  <c r="C135" i="1"/>
  <c r="C131" i="1"/>
  <c r="C127" i="1"/>
  <c r="C123" i="1"/>
  <c r="C119" i="1"/>
  <c r="C115" i="1"/>
  <c r="C111" i="1"/>
  <c r="C158" i="1"/>
  <c r="C154" i="1"/>
  <c r="C150" i="1"/>
  <c r="C146" i="1"/>
  <c r="C142" i="1"/>
  <c r="C138" i="1"/>
  <c r="C134" i="1"/>
  <c r="C130" i="1"/>
  <c r="C126" i="1"/>
  <c r="C122" i="1"/>
  <c r="C118" i="1"/>
  <c r="C161" i="1"/>
  <c r="C157" i="1"/>
  <c r="C153" i="1"/>
  <c r="C149" i="1"/>
  <c r="C145" i="1"/>
  <c r="E99" i="2"/>
  <c r="D99" i="2"/>
  <c r="E98" i="2"/>
  <c r="D98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E97" i="2"/>
  <c r="D97" i="2"/>
  <c r="E96" i="2"/>
  <c r="D96" i="2"/>
  <c r="E95" i="2"/>
  <c r="D95" i="2"/>
  <c r="E94" i="2"/>
  <c r="D94" i="2"/>
  <c r="E93" i="2"/>
  <c r="D93" i="2"/>
  <c r="E92" i="2"/>
  <c r="D92" i="2"/>
  <c r="E91" i="2"/>
  <c r="D91" i="2"/>
  <c r="E90" i="2"/>
  <c r="D90" i="2"/>
  <c r="E89" i="2"/>
  <c r="D89" i="2"/>
  <c r="E88" i="2"/>
  <c r="D88" i="2"/>
  <c r="E87" i="2"/>
  <c r="D87" i="2"/>
  <c r="E86" i="2"/>
  <c r="D86" i="2"/>
  <c r="E85" i="2"/>
  <c r="D85" i="2"/>
  <c r="E84" i="2"/>
  <c r="D84" i="2"/>
  <c r="E83" i="2"/>
  <c r="D83" i="2"/>
  <c r="E82" i="2"/>
  <c r="D82" i="2"/>
  <c r="E81" i="2"/>
  <c r="D81" i="2"/>
  <c r="E80" i="2"/>
  <c r="D80" i="2"/>
  <c r="E79" i="2"/>
  <c r="D79" i="2"/>
  <c r="E78" i="2"/>
  <c r="D78" i="2"/>
  <c r="E77" i="2"/>
  <c r="D77" i="2"/>
  <c r="E76" i="2"/>
  <c r="D76" i="2"/>
  <c r="E75" i="2"/>
  <c r="D75" i="2"/>
  <c r="E74" i="2"/>
  <c r="D74" i="2"/>
  <c r="E73" i="2"/>
  <c r="D73" i="2"/>
  <c r="E72" i="2"/>
  <c r="D72" i="2"/>
  <c r="E71" i="2"/>
  <c r="D71" i="2"/>
  <c r="E70" i="2"/>
  <c r="D70" i="2"/>
  <c r="E69" i="2"/>
  <c r="D69" i="2"/>
  <c r="E68" i="2"/>
  <c r="D68" i="2"/>
  <c r="E67" i="2"/>
  <c r="D67" i="2"/>
  <c r="E66" i="2"/>
  <c r="D66" i="2"/>
  <c r="E65" i="2"/>
  <c r="D65" i="2"/>
  <c r="E64" i="2"/>
  <c r="D64" i="2"/>
  <c r="E63" i="2"/>
  <c r="D63" i="2"/>
  <c r="E62" i="2"/>
  <c r="D62" i="2"/>
  <c r="E61" i="2"/>
  <c r="D61" i="2"/>
  <c r="E60" i="2"/>
  <c r="D60" i="2"/>
  <c r="E59" i="2"/>
  <c r="D59" i="2"/>
  <c r="E58" i="2"/>
  <c r="D58" i="2"/>
  <c r="E57" i="2"/>
  <c r="D57" i="2"/>
  <c r="E56" i="2"/>
  <c r="D56" i="2"/>
  <c r="E55" i="2"/>
  <c r="D55" i="2"/>
  <c r="E54" i="2"/>
  <c r="D54" i="2"/>
  <c r="E53" i="2"/>
  <c r="D53" i="2"/>
  <c r="E52" i="2"/>
  <c r="D52" i="2"/>
  <c r="E51" i="2"/>
  <c r="D51" i="2"/>
  <c r="E50" i="2"/>
  <c r="D50" i="2"/>
  <c r="E49" i="2"/>
  <c r="D49" i="2"/>
  <c r="E48" i="2"/>
  <c r="D48" i="2"/>
  <c r="E47" i="2"/>
  <c r="D47" i="2"/>
  <c r="E46" i="2"/>
  <c r="D46" i="2"/>
  <c r="E45" i="2"/>
  <c r="D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C109" i="1" l="1"/>
  <c r="G45" i="2"/>
  <c r="H45" i="2" s="1"/>
  <c r="D45" i="1" s="1"/>
  <c r="G46" i="2"/>
  <c r="C46" i="1" s="1"/>
  <c r="G47" i="2"/>
  <c r="H47" i="2" s="1"/>
  <c r="D47" i="1" s="1"/>
  <c r="G48" i="2"/>
  <c r="H48" i="2" s="1"/>
  <c r="D48" i="1" s="1"/>
  <c r="G49" i="2"/>
  <c r="H49" i="2" s="1"/>
  <c r="D49" i="1" s="1"/>
  <c r="G50" i="2"/>
  <c r="H50" i="2" s="1"/>
  <c r="D50" i="1" s="1"/>
  <c r="G51" i="2"/>
  <c r="H51" i="2" s="1"/>
  <c r="D51" i="1" s="1"/>
  <c r="G52" i="2"/>
  <c r="H52" i="2" s="1"/>
  <c r="D52" i="1" s="1"/>
  <c r="G53" i="2"/>
  <c r="C53" i="1" s="1"/>
  <c r="G54" i="2"/>
  <c r="H54" i="2" s="1"/>
  <c r="D54" i="1" s="1"/>
  <c r="G55" i="2"/>
  <c r="H55" i="2" s="1"/>
  <c r="D55" i="1" s="1"/>
  <c r="G56" i="2"/>
  <c r="H56" i="2" s="1"/>
  <c r="D56" i="1" s="1"/>
  <c r="G57" i="2"/>
  <c r="H57" i="2" s="1"/>
  <c r="D57" i="1" s="1"/>
  <c r="G58" i="2"/>
  <c r="H58" i="2" s="1"/>
  <c r="D58" i="1" s="1"/>
  <c r="G59" i="2"/>
  <c r="H59" i="2" s="1"/>
  <c r="D59" i="1" s="1"/>
  <c r="G60" i="2"/>
  <c r="H60" i="2" s="1"/>
  <c r="D60" i="1" s="1"/>
  <c r="G61" i="2"/>
  <c r="C61" i="1" s="1"/>
  <c r="G62" i="2"/>
  <c r="H62" i="2" s="1"/>
  <c r="D62" i="1" s="1"/>
  <c r="G63" i="2"/>
  <c r="H63" i="2" s="1"/>
  <c r="D63" i="1" s="1"/>
  <c r="G64" i="2"/>
  <c r="H64" i="2" s="1"/>
  <c r="D64" i="1" s="1"/>
  <c r="G65" i="2"/>
  <c r="H65" i="2" s="1"/>
  <c r="D65" i="1" s="1"/>
  <c r="G66" i="2"/>
  <c r="H66" i="2" s="1"/>
  <c r="D66" i="1" s="1"/>
  <c r="G67" i="2"/>
  <c r="H67" i="2" s="1"/>
  <c r="D67" i="1" s="1"/>
  <c r="G68" i="2"/>
  <c r="H68" i="2" s="1"/>
  <c r="D68" i="1" s="1"/>
  <c r="G69" i="2"/>
  <c r="C69" i="1" s="1"/>
  <c r="G70" i="2"/>
  <c r="H70" i="2" s="1"/>
  <c r="D70" i="1" s="1"/>
  <c r="G71" i="2"/>
  <c r="H71" i="2" s="1"/>
  <c r="D71" i="1" s="1"/>
  <c r="G72" i="2"/>
  <c r="H72" i="2" s="1"/>
  <c r="D72" i="1" s="1"/>
  <c r="G73" i="2"/>
  <c r="H73" i="2" s="1"/>
  <c r="D73" i="1" s="1"/>
  <c r="G74" i="2"/>
  <c r="H74" i="2" s="1"/>
  <c r="D74" i="1" s="1"/>
  <c r="G75" i="2"/>
  <c r="H75" i="2" s="1"/>
  <c r="D75" i="1" s="1"/>
  <c r="G76" i="2"/>
  <c r="H76" i="2" s="1"/>
  <c r="D76" i="1" s="1"/>
  <c r="G77" i="2"/>
  <c r="C77" i="1" s="1"/>
  <c r="G78" i="2"/>
  <c r="H78" i="2" s="1"/>
  <c r="D78" i="1" s="1"/>
  <c r="G79" i="2"/>
  <c r="H79" i="2" s="1"/>
  <c r="D79" i="1" s="1"/>
  <c r="G80" i="2"/>
  <c r="H80" i="2" s="1"/>
  <c r="D80" i="1" s="1"/>
  <c r="G81" i="2"/>
  <c r="H81" i="2" s="1"/>
  <c r="D81" i="1" s="1"/>
  <c r="G82" i="2"/>
  <c r="H82" i="2" s="1"/>
  <c r="D82" i="1" s="1"/>
  <c r="G83" i="2"/>
  <c r="H83" i="2" s="1"/>
  <c r="D83" i="1" s="1"/>
  <c r="G84" i="2"/>
  <c r="H84" i="2" s="1"/>
  <c r="D84" i="1" s="1"/>
  <c r="G85" i="2"/>
  <c r="C85" i="1" s="1"/>
  <c r="G86" i="2"/>
  <c r="H86" i="2" s="1"/>
  <c r="D86" i="1" s="1"/>
  <c r="G87" i="2"/>
  <c r="H87" i="2" s="1"/>
  <c r="D87" i="1" s="1"/>
  <c r="G88" i="2"/>
  <c r="H88" i="2" s="1"/>
  <c r="D88" i="1" s="1"/>
  <c r="G89" i="2"/>
  <c r="H89" i="2" s="1"/>
  <c r="D89" i="1" s="1"/>
  <c r="G90" i="2"/>
  <c r="H90" i="2" s="1"/>
  <c r="D90" i="1" s="1"/>
  <c r="G91" i="2"/>
  <c r="H91" i="2" s="1"/>
  <c r="D91" i="1" s="1"/>
  <c r="G92" i="2"/>
  <c r="H92" i="2" s="1"/>
  <c r="D92" i="1" s="1"/>
  <c r="G93" i="2"/>
  <c r="C93" i="1" s="1"/>
  <c r="G94" i="2"/>
  <c r="H94" i="2" s="1"/>
  <c r="D94" i="1" s="1"/>
  <c r="G95" i="2"/>
  <c r="H95" i="2" s="1"/>
  <c r="D95" i="1" s="1"/>
  <c r="G96" i="2"/>
  <c r="H96" i="2" s="1"/>
  <c r="D96" i="1" s="1"/>
  <c r="G97" i="2"/>
  <c r="H97" i="2" s="1"/>
  <c r="D97" i="1" s="1"/>
  <c r="G98" i="2"/>
  <c r="H98" i="2" s="1"/>
  <c r="D98" i="1" s="1"/>
  <c r="G99" i="2"/>
  <c r="H99" i="2" s="1"/>
  <c r="D99" i="1" s="1"/>
  <c r="C110" i="1"/>
  <c r="C106" i="1"/>
  <c r="C102" i="1"/>
  <c r="C104" i="1"/>
  <c r="C100" i="1"/>
  <c r="C107" i="1"/>
  <c r="C105" i="1"/>
  <c r="C103" i="1"/>
  <c r="C101" i="1"/>
  <c r="C108" i="1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C97" i="1" l="1"/>
  <c r="H46" i="2"/>
  <c r="D46" i="1" s="1"/>
  <c r="G2" i="2"/>
  <c r="H2" i="2" s="1"/>
  <c r="D2" i="1" s="1"/>
  <c r="G4" i="2"/>
  <c r="H4" i="2" s="1"/>
  <c r="D4" i="1" s="1"/>
  <c r="G6" i="2"/>
  <c r="H6" i="2" s="1"/>
  <c r="G8" i="2"/>
  <c r="H8" i="2" s="1"/>
  <c r="D8" i="1" s="1"/>
  <c r="G10" i="2"/>
  <c r="H10" i="2" s="1"/>
  <c r="D10" i="1" s="1"/>
  <c r="G12" i="2"/>
  <c r="H12" i="2" s="1"/>
  <c r="D12" i="1" s="1"/>
  <c r="G14" i="2"/>
  <c r="C14" i="1" s="1"/>
  <c r="G16" i="2"/>
  <c r="H16" i="2" s="1"/>
  <c r="D16" i="1" s="1"/>
  <c r="G18" i="2"/>
  <c r="H18" i="2" s="1"/>
  <c r="D18" i="1" s="1"/>
  <c r="G20" i="2"/>
  <c r="H20" i="2" s="1"/>
  <c r="D20" i="1" s="1"/>
  <c r="G22" i="2"/>
  <c r="H22" i="2" s="1"/>
  <c r="D22" i="1" s="1"/>
  <c r="G24" i="2"/>
  <c r="H24" i="2" s="1"/>
  <c r="D24" i="1" s="1"/>
  <c r="G26" i="2"/>
  <c r="H26" i="2" s="1"/>
  <c r="D26" i="1" s="1"/>
  <c r="G28" i="2"/>
  <c r="H28" i="2" s="1"/>
  <c r="D28" i="1" s="1"/>
  <c r="G30" i="2"/>
  <c r="C30" i="1" s="1"/>
  <c r="G32" i="2"/>
  <c r="H32" i="2" s="1"/>
  <c r="D32" i="1" s="1"/>
  <c r="G34" i="2"/>
  <c r="H34" i="2" s="1"/>
  <c r="D34" i="1" s="1"/>
  <c r="G36" i="2"/>
  <c r="H36" i="2" s="1"/>
  <c r="D36" i="1" s="1"/>
  <c r="G38" i="2"/>
  <c r="C38" i="1" s="1"/>
  <c r="G40" i="2"/>
  <c r="H40" i="2" s="1"/>
  <c r="D40" i="1" s="1"/>
  <c r="G42" i="2"/>
  <c r="H42" i="2" s="1"/>
  <c r="D42" i="1" s="1"/>
  <c r="G44" i="2"/>
  <c r="H44" i="2" s="1"/>
  <c r="D44" i="1" s="1"/>
  <c r="G3" i="2"/>
  <c r="H3" i="2" s="1"/>
  <c r="D3" i="1" s="1"/>
  <c r="G5" i="2"/>
  <c r="H5" i="2" s="1"/>
  <c r="D5" i="1" s="1"/>
  <c r="G7" i="2"/>
  <c r="H7" i="2" s="1"/>
  <c r="D7" i="1" s="1"/>
  <c r="G9" i="2"/>
  <c r="H9" i="2" s="1"/>
  <c r="D9" i="1" s="1"/>
  <c r="G11" i="2"/>
  <c r="H11" i="2" s="1"/>
  <c r="D11" i="1" s="1"/>
  <c r="G13" i="2"/>
  <c r="H13" i="2" s="1"/>
  <c r="D13" i="1" s="1"/>
  <c r="G15" i="2"/>
  <c r="H15" i="2" s="1"/>
  <c r="D15" i="1" s="1"/>
  <c r="G17" i="2"/>
  <c r="H17" i="2" s="1"/>
  <c r="D17" i="1" s="1"/>
  <c r="G19" i="2"/>
  <c r="C19" i="1" s="1"/>
  <c r="G21" i="2"/>
  <c r="C21" i="1" s="1"/>
  <c r="G23" i="2"/>
  <c r="H23" i="2" s="1"/>
  <c r="D23" i="1" s="1"/>
  <c r="G25" i="2"/>
  <c r="C25" i="1" s="1"/>
  <c r="G27" i="2"/>
  <c r="H27" i="2" s="1"/>
  <c r="D27" i="1" s="1"/>
  <c r="G29" i="2"/>
  <c r="C29" i="1" s="1"/>
  <c r="G31" i="2"/>
  <c r="H31" i="2" s="1"/>
  <c r="D31" i="1" s="1"/>
  <c r="G33" i="2"/>
  <c r="C33" i="1" s="1"/>
  <c r="G35" i="2"/>
  <c r="C35" i="1" s="1"/>
  <c r="G37" i="2"/>
  <c r="H37" i="2" s="1"/>
  <c r="D37" i="1" s="1"/>
  <c r="G39" i="2"/>
  <c r="H39" i="2" s="1"/>
  <c r="D39" i="1" s="1"/>
  <c r="G41" i="2"/>
  <c r="C41" i="1" s="1"/>
  <c r="G43" i="2"/>
  <c r="H43" i="2" s="1"/>
  <c r="D43" i="1" s="1"/>
  <c r="C65" i="1"/>
  <c r="H77" i="2"/>
  <c r="D77" i="1" s="1"/>
  <c r="C81" i="1"/>
  <c r="C50" i="1"/>
  <c r="H93" i="2"/>
  <c r="D93" i="1" s="1"/>
  <c r="H61" i="2"/>
  <c r="D61" i="1" s="1"/>
  <c r="C89" i="1"/>
  <c r="C73" i="1"/>
  <c r="C57" i="1"/>
  <c r="H85" i="2"/>
  <c r="D85" i="1" s="1"/>
  <c r="H69" i="2"/>
  <c r="D69" i="1" s="1"/>
  <c r="H53" i="2"/>
  <c r="D53" i="1" s="1"/>
  <c r="C95" i="1"/>
  <c r="C91" i="1"/>
  <c r="C87" i="1"/>
  <c r="C83" i="1"/>
  <c r="C79" i="1"/>
  <c r="C75" i="1"/>
  <c r="C71" i="1"/>
  <c r="C67" i="1"/>
  <c r="C63" i="1"/>
  <c r="C59" i="1"/>
  <c r="C55" i="1"/>
  <c r="C51" i="1"/>
  <c r="C48" i="1"/>
  <c r="C92" i="1"/>
  <c r="C90" i="1"/>
  <c r="C88" i="1"/>
  <c r="C86" i="1"/>
  <c r="C84" i="1"/>
  <c r="C82" i="1"/>
  <c r="C80" i="1"/>
  <c r="C78" i="1"/>
  <c r="C76" i="1"/>
  <c r="C74" i="1"/>
  <c r="C72" i="1"/>
  <c r="C70" i="1"/>
  <c r="C68" i="1"/>
  <c r="C66" i="1"/>
  <c r="C64" i="1"/>
  <c r="C62" i="1"/>
  <c r="C60" i="1"/>
  <c r="C58" i="1"/>
  <c r="C56" i="1"/>
  <c r="C54" i="1"/>
  <c r="C52" i="1"/>
  <c r="C98" i="1"/>
  <c r="C96" i="1"/>
  <c r="C94" i="1"/>
  <c r="C49" i="1"/>
  <c r="C47" i="1"/>
  <c r="C45" i="1"/>
  <c r="C99" i="1"/>
  <c r="C22" i="1" l="1"/>
  <c r="C6" i="1"/>
  <c r="C26" i="1"/>
  <c r="C40" i="1"/>
  <c r="C18" i="1"/>
  <c r="H38" i="2"/>
  <c r="D38" i="1" s="1"/>
  <c r="D6" i="1"/>
  <c r="C37" i="1"/>
  <c r="C10" i="1"/>
  <c r="H30" i="2"/>
  <c r="D30" i="1" s="1"/>
  <c r="H14" i="2"/>
  <c r="D14" i="1" s="1"/>
  <c r="H33" i="2"/>
  <c r="D33" i="1" s="1"/>
  <c r="C17" i="1"/>
  <c r="C34" i="1"/>
  <c r="H41" i="2"/>
  <c r="D41" i="1" s="1"/>
  <c r="H25" i="2"/>
  <c r="D25" i="1" s="1"/>
  <c r="C13" i="1"/>
  <c r="C20" i="1"/>
  <c r="C8" i="1"/>
  <c r="C4" i="1"/>
  <c r="C9" i="1"/>
  <c r="H29" i="2"/>
  <c r="D29" i="1" s="1"/>
  <c r="H21" i="2"/>
  <c r="D21" i="1" s="1"/>
  <c r="C27" i="1"/>
  <c r="C5" i="1"/>
  <c r="C43" i="1"/>
  <c r="H35" i="2"/>
  <c r="D35" i="1" s="1"/>
  <c r="H19" i="2"/>
  <c r="D19" i="1" s="1"/>
  <c r="C15" i="1"/>
  <c r="C7" i="1"/>
  <c r="C2" i="1"/>
  <c r="C11" i="1"/>
  <c r="C23" i="1"/>
  <c r="C31" i="1"/>
  <c r="C39" i="1"/>
  <c r="C16" i="1"/>
  <c r="C28" i="1"/>
  <c r="C42" i="1"/>
  <c r="C12" i="1"/>
  <c r="C36" i="1"/>
  <c r="C44" i="1"/>
  <c r="C32" i="1"/>
  <c r="C24" i="1"/>
  <c r="C3" i="1"/>
</calcChain>
</file>

<file path=xl/sharedStrings.xml><?xml version="1.0" encoding="utf-8"?>
<sst xmlns="http://schemas.openxmlformats.org/spreadsheetml/2006/main" count="872" uniqueCount="448">
  <si>
    <t>RUTA</t>
  </si>
  <si>
    <t>RUTA COMPLETA DE NOMBRE NUEVO</t>
  </si>
  <si>
    <t>APTO</t>
  </si>
  <si>
    <t>NOM</t>
  </si>
  <si>
    <t xml:space="preserve"> - </t>
  </si>
  <si>
    <t>.pdf</t>
  </si>
  <si>
    <t>CODIGO</t>
  </si>
  <si>
    <t>COD</t>
  </si>
  <si>
    <t>BLOQ</t>
  </si>
  <si>
    <t>CLAVE</t>
  </si>
  <si>
    <t>CODIGO1</t>
  </si>
  <si>
    <t>UBICA</t>
  </si>
  <si>
    <t>NOMURB</t>
  </si>
  <si>
    <t>BEP_CEL</t>
  </si>
  <si>
    <t>TEL</t>
  </si>
  <si>
    <t>CODPROP</t>
  </si>
  <si>
    <t>NOMINQ</t>
  </si>
  <si>
    <t>DIREC</t>
  </si>
  <si>
    <t>ACTUAL</t>
  </si>
  <si>
    <t>MORA</t>
  </si>
  <si>
    <t>ADM_APTO</t>
  </si>
  <si>
    <t>ADM_PQ_UT</t>
  </si>
  <si>
    <t>COEF_URB</t>
  </si>
  <si>
    <t>COEF_MOD_A</t>
  </si>
  <si>
    <t>COEF_MOD_B</t>
  </si>
  <si>
    <t>COEF_APA</t>
  </si>
  <si>
    <t>COEF_LIBRE</t>
  </si>
  <si>
    <t>COEF_GAR</t>
  </si>
  <si>
    <t>COEF_GAR1</t>
  </si>
  <si>
    <t>COEF_UTIL</t>
  </si>
  <si>
    <t>COEF_PQUT</t>
  </si>
  <si>
    <t>ARAPA</t>
  </si>
  <si>
    <t>ARTERR</t>
  </si>
  <si>
    <t>ARGAR</t>
  </si>
  <si>
    <t>ARUTIL</t>
  </si>
  <si>
    <t>ARLIBRE</t>
  </si>
  <si>
    <t>ARTOTAL</t>
  </si>
  <si>
    <t>OTROSA</t>
  </si>
  <si>
    <t>OTROSVAL</t>
  </si>
  <si>
    <t>CC_NIT</t>
  </si>
  <si>
    <t>TEL_OFIC</t>
  </si>
  <si>
    <t>FAC</t>
  </si>
  <si>
    <t>VALOR</t>
  </si>
  <si>
    <t>IDENT</t>
  </si>
  <si>
    <t xml:space="preserve"> </t>
  </si>
  <si>
    <t xml:space="preserve"> de </t>
  </si>
  <si>
    <t>NOMBRE ACTUAL</t>
  </si>
  <si>
    <t>NOMBRE ANTERIOR</t>
  </si>
  <si>
    <t>\</t>
  </si>
  <si>
    <t xml:space="preserve">Mes de </t>
  </si>
  <si>
    <t xml:space="preserve">Facturas del mes de </t>
  </si>
  <si>
    <t xml:space="preserve">Listado de Pagos del mes de </t>
  </si>
  <si>
    <t xml:space="preserve">Listado de Pendientes del mes de </t>
  </si>
  <si>
    <t xml:space="preserve">Listado de Facturación del mes de </t>
  </si>
  <si>
    <t>.xlsx</t>
  </si>
  <si>
    <t>_</t>
  </si>
  <si>
    <t>Facturas del mes de</t>
  </si>
  <si>
    <t>Listado de Pagos del mes de</t>
  </si>
  <si>
    <t>Listado de Pendientes del mes de</t>
  </si>
  <si>
    <t>Listado de Facturación del mes de</t>
  </si>
  <si>
    <t xml:space="preserve">Factura del </t>
  </si>
  <si>
    <t>EMAIL</t>
  </si>
  <si>
    <t>EMAIL1</t>
  </si>
  <si>
    <t>EMAIL2</t>
  </si>
  <si>
    <t>EMAIL3</t>
  </si>
  <si>
    <t xml:space="preserve">Listado de Descuentos del mes de </t>
  </si>
  <si>
    <t>Listado de Descuentos del mes de</t>
  </si>
  <si>
    <t>Archivo para facturas</t>
  </si>
  <si>
    <t>Urbanización Alborada 1-4 PH</t>
  </si>
  <si>
    <t>C:\Users\USUARIO\Macros\FACTURAS Y LISTADOS\1130 - Urbanización Alborada 1-4 PH</t>
  </si>
  <si>
    <t>1130</t>
  </si>
  <si>
    <t>30</t>
  </si>
  <si>
    <t>1</t>
  </si>
  <si>
    <t>101</t>
  </si>
  <si>
    <t>30 1101</t>
  </si>
  <si>
    <t>URBANIZACION ALBORADA 1-4 PH</t>
  </si>
  <si>
    <t>GUSTAVO ALONSO RIOS JIMENEZ</t>
  </si>
  <si>
    <t>OLIB AMPARO BARRIENTOS</t>
  </si>
  <si>
    <t>REFERENCIA No.  1101</t>
  </si>
  <si>
    <t>102</t>
  </si>
  <si>
    <t>30 1102</t>
  </si>
  <si>
    <t>JAIRO ELIAS ORTIZ VALLEJO</t>
  </si>
  <si>
    <t>MARIA NORA CORREA</t>
  </si>
  <si>
    <t>REFERENCIA No.  1102</t>
  </si>
  <si>
    <t>103</t>
  </si>
  <si>
    <t>30 1103</t>
  </si>
  <si>
    <t>HERNAN DARIO AGUDELO MUÑOZ</t>
  </si>
  <si>
    <t>REFERENCIA No.  1103</t>
  </si>
  <si>
    <t>104</t>
  </si>
  <si>
    <t>30 1104</t>
  </si>
  <si>
    <t>JORGE HUMBERTO SANTANA RUEDA</t>
  </si>
  <si>
    <t>GLORIA INES SERNA M</t>
  </si>
  <si>
    <t>REFERENCIA No.  1104</t>
  </si>
  <si>
    <t>201</t>
  </si>
  <si>
    <t>30 1201</t>
  </si>
  <si>
    <t>MARTHA QUINTERO GIRALDO</t>
  </si>
  <si>
    <t>DANIEL LONDOÑO Q.</t>
  </si>
  <si>
    <t>REFERENCIA No.  1201</t>
  </si>
  <si>
    <t>202</t>
  </si>
  <si>
    <t>30 1202</t>
  </si>
  <si>
    <t>VICTORIA EUGENIA PEREZ PEREZ</t>
  </si>
  <si>
    <t>CARLOS MARIO AGUDELO B.</t>
  </si>
  <si>
    <t>REFERENCIA No.  1202</t>
  </si>
  <si>
    <t>203</t>
  </si>
  <si>
    <t>30 1203</t>
  </si>
  <si>
    <t>MARGARITA ROSA VELEZ GOMEZ</t>
  </si>
  <si>
    <t>REFERENCIA No.  1203</t>
  </si>
  <si>
    <t>204</t>
  </si>
  <si>
    <t>30 1204</t>
  </si>
  <si>
    <t>MARIA ELENA HOYOS TOBON</t>
  </si>
  <si>
    <t>CAETANO</t>
  </si>
  <si>
    <t>REFERENCIA No.  1204</t>
  </si>
  <si>
    <t>301</t>
  </si>
  <si>
    <t>30 1301</t>
  </si>
  <si>
    <t>MARTA NELLY CADAVID RESTREPO</t>
  </si>
  <si>
    <t>REFERENCIA No.  1301</t>
  </si>
  <si>
    <t>302</t>
  </si>
  <si>
    <t>30 1302</t>
  </si>
  <si>
    <t>ELKIN RAMIREZ</t>
  </si>
  <si>
    <t>GLORIA ELENA HERRERA TAMAYO</t>
  </si>
  <si>
    <t>REFERENCIA No.  1302</t>
  </si>
  <si>
    <t>REFERENCIA No.  1A303</t>
  </si>
  <si>
    <t>304</t>
  </si>
  <si>
    <t>30 1304</t>
  </si>
  <si>
    <t>MARTHA LIGIA MESA GOMEZ</t>
  </si>
  <si>
    <t>JAIRO DE JESUS MESA GOMEZ</t>
  </si>
  <si>
    <t>REFERENCIA No.  1304</t>
  </si>
  <si>
    <t>401</t>
  </si>
  <si>
    <t>30 1401</t>
  </si>
  <si>
    <t>CARLOS ANDRES LOPEZ VASQUEZ</t>
  </si>
  <si>
    <t>REFERENCIA No.  1401</t>
  </si>
  <si>
    <t>402</t>
  </si>
  <si>
    <t>30 1402</t>
  </si>
  <si>
    <t>LUZ MARINA BETANCUR ARANGO</t>
  </si>
  <si>
    <t>JAIRO ARMANDO ARANGO H.</t>
  </si>
  <si>
    <t>REFERENCIA No.  1402</t>
  </si>
  <si>
    <t>403</t>
  </si>
  <si>
    <t>30 1403</t>
  </si>
  <si>
    <t>GLORIA NANCY VERGARA</t>
  </si>
  <si>
    <t>HECTOR HERRERA</t>
  </si>
  <si>
    <t>REFERENCIA No.  1403</t>
  </si>
  <si>
    <t>404</t>
  </si>
  <si>
    <t>30 1404</t>
  </si>
  <si>
    <t>REFERENCIA No.  1404</t>
  </si>
  <si>
    <t>501</t>
  </si>
  <si>
    <t>30 1501</t>
  </si>
  <si>
    <t>REINA MARGARITA PEREZ PALACIO</t>
  </si>
  <si>
    <t>REFERENCIA No.  1501</t>
  </si>
  <si>
    <t>502</t>
  </si>
  <si>
    <t>30 1502</t>
  </si>
  <si>
    <t>LUZ MARINA BELEÑO CORDERO</t>
  </si>
  <si>
    <t>REFERENCIA No.  1502</t>
  </si>
  <si>
    <t>503</t>
  </si>
  <si>
    <t>30 1503</t>
  </si>
  <si>
    <t>DANIEL MUNERA</t>
  </si>
  <si>
    <t>REFERENCIA No.  1503</t>
  </si>
  <si>
    <t>504</t>
  </si>
  <si>
    <t>30 1504</t>
  </si>
  <si>
    <t>OSCAR DARIO GALLEGO BETANCUR</t>
  </si>
  <si>
    <t>REFERENCIA No.  1504</t>
  </si>
  <si>
    <t>2</t>
  </si>
  <si>
    <t>30 2101</t>
  </si>
  <si>
    <t>MARGARITA MARIA LONDOÑO RAMIRE</t>
  </si>
  <si>
    <t>REFERENCIA No.  2101</t>
  </si>
  <si>
    <t>30 2102</t>
  </si>
  <si>
    <t>REFERENCIA No.  2102</t>
  </si>
  <si>
    <t>30 2201</t>
  </si>
  <si>
    <t>ALICIA MARIA OTALVARO CASTRILL</t>
  </si>
  <si>
    <t>FRANCISCO TOBON</t>
  </si>
  <si>
    <t>REFERENCIA No.  2201</t>
  </si>
  <si>
    <t>30 2202</t>
  </si>
  <si>
    <t>JAEL CARO DE PATIÑO</t>
  </si>
  <si>
    <t>REFERENCIA No.  2202</t>
  </si>
  <si>
    <t>30 2301</t>
  </si>
  <si>
    <t>AMPARO PEREZ ALVAREZ</t>
  </si>
  <si>
    <t>HERNAN IGNACIO CALDERON M.</t>
  </si>
  <si>
    <t>REFERENCIA No.  2301</t>
  </si>
  <si>
    <t>30 2302</t>
  </si>
  <si>
    <t>WILLIAM FRANCO GONZALEZ</t>
  </si>
  <si>
    <t>MARTHA LUCIA ARENAS S.</t>
  </si>
  <si>
    <t>REFERENCIA No.  2302</t>
  </si>
  <si>
    <t>30 2401</t>
  </si>
  <si>
    <t>GUILLERMO PEREZ RESTREPO</t>
  </si>
  <si>
    <t>DENNIS ELENA VASQUEZ A.</t>
  </si>
  <si>
    <t>REFERENCIA No.  2401</t>
  </si>
  <si>
    <t>30 2402</t>
  </si>
  <si>
    <t>MARIA MERCEDES CIANCI L.</t>
  </si>
  <si>
    <t>REFERENCIA No.  2402</t>
  </si>
  <si>
    <t>30 2501</t>
  </si>
  <si>
    <t>BEATRIZ ELENA CARDONA</t>
  </si>
  <si>
    <t>REFERENCIA No.  2501</t>
  </si>
  <si>
    <t>30 2502</t>
  </si>
  <si>
    <t>ROCIO MUÑOZ BETANCUR</t>
  </si>
  <si>
    <t>REFERENCIA No.  2502</t>
  </si>
  <si>
    <t>3</t>
  </si>
  <si>
    <t>30 3101</t>
  </si>
  <si>
    <t>RODOLFO VELEZ</t>
  </si>
  <si>
    <t>REFERENCIA No.  3101</t>
  </si>
  <si>
    <t>30 3102</t>
  </si>
  <si>
    <t>CLARA INES ZULUAGA GARCIA</t>
  </si>
  <si>
    <t>DIANA CECILIA ZULUAGA GARCIA</t>
  </si>
  <si>
    <t>REFERENCIA No.  3102</t>
  </si>
  <si>
    <t>30 3103</t>
  </si>
  <si>
    <t>LUCIA DEL SOCORRO RUIZ SALAS</t>
  </si>
  <si>
    <t>REFERENCIA No.  3103</t>
  </si>
  <si>
    <t>30 3104</t>
  </si>
  <si>
    <t>LEON DARIO BEDOYA VILLEGAS</t>
  </si>
  <si>
    <t>LUZ DARY GIRALDO L.</t>
  </si>
  <si>
    <t>REFERENCIA No.  3104</t>
  </si>
  <si>
    <t>30 3201</t>
  </si>
  <si>
    <t>REFERENCIA No.  3201</t>
  </si>
  <si>
    <t>30 3202</t>
  </si>
  <si>
    <t>ANGELA MARIA OCAMPO SARMIENTO</t>
  </si>
  <si>
    <t>ADRIANA MARIA OCAMPO SARMIENTO</t>
  </si>
  <si>
    <t>REFERENCIA No.  3202</t>
  </si>
  <si>
    <t>30 3203</t>
  </si>
  <si>
    <t>LUZ ESTELLA OSPINA ECHAVARRIA</t>
  </si>
  <si>
    <t>REFERENCIA No.  3203</t>
  </si>
  <si>
    <t>30 3204</t>
  </si>
  <si>
    <t>BERNARDO GOMEZ HENAO</t>
  </si>
  <si>
    <t>REFERENCIA No.  3204</t>
  </si>
  <si>
    <t>30 3301</t>
  </si>
  <si>
    <t>ALBA JANNETH GONZALEZ</t>
  </si>
  <si>
    <t>MARIA MELBA SERNA</t>
  </si>
  <si>
    <t>REFERENCIA No.  3301</t>
  </si>
  <si>
    <t>30 3302</t>
  </si>
  <si>
    <t>MARIA DORALBA AGUIRRE</t>
  </si>
  <si>
    <t>JAIME SEPULVEDA</t>
  </si>
  <si>
    <t>REFERENCIA No.  3302</t>
  </si>
  <si>
    <t>303</t>
  </si>
  <si>
    <t>30 3303</t>
  </si>
  <si>
    <t>DIANA PATRICIA ORREGO ZAPATA</t>
  </si>
  <si>
    <t>CARLOS RAFAEL ALVAREZ A.</t>
  </si>
  <si>
    <t>REFERENCIA No.  3303</t>
  </si>
  <si>
    <t>30 3304</t>
  </si>
  <si>
    <t>FERNANDO ALBERTO MARIN MOLINA</t>
  </si>
  <si>
    <t>ALVARO MARIN MOLINA</t>
  </si>
  <si>
    <t>REFERENCIA No.  3304</t>
  </si>
  <si>
    <t>30 3401</t>
  </si>
  <si>
    <t>ALVARO PORRAS</t>
  </si>
  <si>
    <t>CARMEN CORREA SANCHEZ</t>
  </si>
  <si>
    <t>REFERENCIA No.  3401</t>
  </si>
  <si>
    <t>30 3402</t>
  </si>
  <si>
    <t>HECTOR IVAN HERRERA MUNERA</t>
  </si>
  <si>
    <t>REFERENCIA No.  3402</t>
  </si>
  <si>
    <t>30 3403</t>
  </si>
  <si>
    <t>ARTURO MARTINEZ GUTIERREZ</t>
  </si>
  <si>
    <t>MARIA DEL SOCORRO M.</t>
  </si>
  <si>
    <t>30 3404</t>
  </si>
  <si>
    <t>FERNANDO PRADA</t>
  </si>
  <si>
    <t>ILMA ROJAS DE PRADA</t>
  </si>
  <si>
    <t>REFERENCIA No.  3404</t>
  </si>
  <si>
    <t>30 3501</t>
  </si>
  <si>
    <t>RODRIGO HERRERA</t>
  </si>
  <si>
    <t>REFERENCIA No.  3501</t>
  </si>
  <si>
    <t>30 3502</t>
  </si>
  <si>
    <t>SANDRA EUGENIA OLAYA</t>
  </si>
  <si>
    <t>REFERENCIA No.  3502</t>
  </si>
  <si>
    <t>30 3503</t>
  </si>
  <si>
    <t>MARIA JULIA GARZON TABARES</t>
  </si>
  <si>
    <t>REFERENCIA No.  3503</t>
  </si>
  <si>
    <t>30 3504</t>
  </si>
  <si>
    <t>HUMBERTO ECHEVERRY</t>
  </si>
  <si>
    <t>REFERENCIA No.  3504</t>
  </si>
  <si>
    <t>4</t>
  </si>
  <si>
    <t>30 4101</t>
  </si>
  <si>
    <t>GUSTAVO ADOLFO ECHEVERRI VELAS</t>
  </si>
  <si>
    <t>REFERENCIA No.  4101</t>
  </si>
  <si>
    <t>30 4102</t>
  </si>
  <si>
    <t>GABRIEL ANGEL MONTOYA</t>
  </si>
  <si>
    <t>DORA NANCY CLAVIJO R.</t>
  </si>
  <si>
    <t>REFERENCIA No.  4102</t>
  </si>
  <si>
    <t>30 4103</t>
  </si>
  <si>
    <t>REFERENCIA No.  4103</t>
  </si>
  <si>
    <t>30 4104</t>
  </si>
  <si>
    <t>JUAN PABLO ECHEVERRI VELASQUEZ</t>
  </si>
  <si>
    <t>REFERENCIA No.  4104</t>
  </si>
  <si>
    <t>105</t>
  </si>
  <si>
    <t>30 4105</t>
  </si>
  <si>
    <t>HUGO DE JESUS OCHOA PULGARIN</t>
  </si>
  <si>
    <t>TERESITA CARDONA C.</t>
  </si>
  <si>
    <t>REFERENCIA No.  4105</t>
  </si>
  <si>
    <t>106</t>
  </si>
  <si>
    <t>30 4106</t>
  </si>
  <si>
    <t>REFERENCIA No.  4106</t>
  </si>
  <si>
    <t>107</t>
  </si>
  <si>
    <t>30 4107</t>
  </si>
  <si>
    <t>JUAN RICARDO ARANGO GOMEZ</t>
  </si>
  <si>
    <t>LUIS FERNANDO ARANGO GOMEZ</t>
  </si>
  <si>
    <t>REFERENCIA No.  4107</t>
  </si>
  <si>
    <t>108</t>
  </si>
  <si>
    <t>30 4108</t>
  </si>
  <si>
    <t>JAIME ECHEVERRY VELASQUEZ</t>
  </si>
  <si>
    <t>MARIA HELENA SIERRA P.</t>
  </si>
  <si>
    <t>REFERENCIA No.  4108</t>
  </si>
  <si>
    <t>30 4201</t>
  </si>
  <si>
    <t>LUIS JAVIER VALLEJO ZULUAGA</t>
  </si>
  <si>
    <t>DIANA MARIA CORREA</t>
  </si>
  <si>
    <t>REFERENCIA No.  4201</t>
  </si>
  <si>
    <t>30 4202</t>
  </si>
  <si>
    <t>MARIA BELARMINA SILVA LONDOÑO</t>
  </si>
  <si>
    <t>REFERENCIA No.  4202</t>
  </si>
  <si>
    <t>30 4203</t>
  </si>
  <si>
    <t>CARLOS EFREN MONTOYA RAMIREZ</t>
  </si>
  <si>
    <t>OLGA MARIA BEDOYA G.</t>
  </si>
  <si>
    <t>REFERENCIA No.  4203</t>
  </si>
  <si>
    <t>30 4204</t>
  </si>
  <si>
    <t>AUGUSTO BEDOYA ANGEL</t>
  </si>
  <si>
    <t>LUZ AMPARO GALEANO</t>
  </si>
  <si>
    <t>REFERENCIA No.  4204</t>
  </si>
  <si>
    <t>205</t>
  </si>
  <si>
    <t>30 4205</t>
  </si>
  <si>
    <t>REFERENCIA No.  4205</t>
  </si>
  <si>
    <t>206</t>
  </si>
  <si>
    <t>30 4206</t>
  </si>
  <si>
    <t>LUZ ELENA MEJIA OSORIO</t>
  </si>
  <si>
    <t>REFERENCIA No.  4206</t>
  </si>
  <si>
    <t>207</t>
  </si>
  <si>
    <t>30 4207</t>
  </si>
  <si>
    <t>MARIA GILMA MONSALVE DE VELEZ</t>
  </si>
  <si>
    <t>REFERENCIA No.  4207</t>
  </si>
  <si>
    <t>208</t>
  </si>
  <si>
    <t>30 4208</t>
  </si>
  <si>
    <t>LUIS HUMBERTO MOSCOSO</t>
  </si>
  <si>
    <t>MARTA ELENA CASTAÑO</t>
  </si>
  <si>
    <t>REFERENCIA No.  4208</t>
  </si>
  <si>
    <t>30 4301</t>
  </si>
  <si>
    <t>CELMIRA DEL SOCORRO TOBON VELA</t>
  </si>
  <si>
    <t>REFERENCIA No.  4301</t>
  </si>
  <si>
    <t>30 4302</t>
  </si>
  <si>
    <t>CARLOS MARIO ARANGO PUERTA</t>
  </si>
  <si>
    <t>MARTHA ELENA BOTERO B.</t>
  </si>
  <si>
    <t>REFERENCIA No.  4302</t>
  </si>
  <si>
    <t>30 4303</t>
  </si>
  <si>
    <t>ANA ABIGAIL LOPEZ ORTIZ</t>
  </si>
  <si>
    <t>REFERENCIA No.  4303</t>
  </si>
  <si>
    <t>30 4304</t>
  </si>
  <si>
    <t>SILVIO ANGEL</t>
  </si>
  <si>
    <t>MARIA STELLA RICO DE ANGEL</t>
  </si>
  <si>
    <t>REFERENCIA No.  4304</t>
  </si>
  <si>
    <t>305</t>
  </si>
  <si>
    <t>30 4305</t>
  </si>
  <si>
    <t>ANDRES ALBERTO RODRIGUEZ E</t>
  </si>
  <si>
    <t>ROSA STELLA HOYOS O</t>
  </si>
  <si>
    <t>REFERENCIA No.  4305</t>
  </si>
  <si>
    <t>306</t>
  </si>
  <si>
    <t>30 4306</t>
  </si>
  <si>
    <t>MARTHA LUCIA MOLINA GIRALDO</t>
  </si>
  <si>
    <t>REFERENCIA No.  4306</t>
  </si>
  <si>
    <t>307</t>
  </si>
  <si>
    <t>30 4307</t>
  </si>
  <si>
    <t>DEISY ALEXANDRA ARROYAVE</t>
  </si>
  <si>
    <t>REFERENCIA No.  4307</t>
  </si>
  <si>
    <t>308</t>
  </si>
  <si>
    <t>30 4308</t>
  </si>
  <si>
    <t>MARIA TERESA CANO</t>
  </si>
  <si>
    <t>REFERENCIA No.  4308</t>
  </si>
  <si>
    <t>30 4401</t>
  </si>
  <si>
    <t>MARIA HERRERA</t>
  </si>
  <si>
    <t>REFERENCIA No.  4401</t>
  </si>
  <si>
    <t>30 4402</t>
  </si>
  <si>
    <t>VICTORIA EUGENIA BOHORQUEZ HEN</t>
  </si>
  <si>
    <t>REFERENCIA No.  4402</t>
  </si>
  <si>
    <t>30 4403</t>
  </si>
  <si>
    <t>JOHN WILLIAM OCHOA</t>
  </si>
  <si>
    <t>CLAUDIA GONZALEZ</t>
  </si>
  <si>
    <t>REFERENCIA No.  4403</t>
  </si>
  <si>
    <t>30 4404</t>
  </si>
  <si>
    <t>LEON HUMBERTO ALVAREZ MESA</t>
  </si>
  <si>
    <t>ANDREA SANCHEZ</t>
  </si>
  <si>
    <t>REFERENCIA No.  4404</t>
  </si>
  <si>
    <t>405</t>
  </si>
  <si>
    <t>30 4405</t>
  </si>
  <si>
    <t>JORGE ALBERTO ARCILA Q</t>
  </si>
  <si>
    <t>MARIA ESTELA HERNANDEZ Z</t>
  </si>
  <si>
    <t>406</t>
  </si>
  <si>
    <t>30 4406</t>
  </si>
  <si>
    <t>MARTA MARINA MONTOYA ESTACIO</t>
  </si>
  <si>
    <t>REFERENCIA No.  4406</t>
  </si>
  <si>
    <t>407</t>
  </si>
  <si>
    <t>30 4407</t>
  </si>
  <si>
    <t>JOSE DARIO ALVAREZ VARGAS</t>
  </si>
  <si>
    <t>REFERENCIA No.  4407</t>
  </si>
  <si>
    <t>408</t>
  </si>
  <si>
    <t>30 4408</t>
  </si>
  <si>
    <t>MAURICIO RIOS RENDON</t>
  </si>
  <si>
    <t>ELIANA GARCIA PEREZ</t>
  </si>
  <si>
    <t>REFERENCIA No.  4408</t>
  </si>
  <si>
    <t>30 4501</t>
  </si>
  <si>
    <t>REFERENCIA No.  4501</t>
  </si>
  <si>
    <t>30 4502</t>
  </si>
  <si>
    <t>JUAN PABLO RESTREPO OSORIO</t>
  </si>
  <si>
    <t>REFERENCIA No.  4502</t>
  </si>
  <si>
    <t>30 4503</t>
  </si>
  <si>
    <t>MARTHA ELENA GUTIERREZ PALACIO</t>
  </si>
  <si>
    <t>REFERENCIA No.  4503</t>
  </si>
  <si>
    <t>30 4504</t>
  </si>
  <si>
    <t>CARLOS ARTURO LONDOÑO GIRALDO</t>
  </si>
  <si>
    <t>GUILLERMO LONDOÑO GIRALDO</t>
  </si>
  <si>
    <t>REFERENCIA No.  4504</t>
  </si>
  <si>
    <t>505</t>
  </si>
  <si>
    <t>30 4505</t>
  </si>
  <si>
    <t>REFERENCIA No.  4505</t>
  </si>
  <si>
    <t>506</t>
  </si>
  <si>
    <t>30 4506</t>
  </si>
  <si>
    <t>MARIBEL MORALES VARGAS</t>
  </si>
  <si>
    <t>JOHN FREDY RIOS GOMEZ</t>
  </si>
  <si>
    <t>REFERENCIA No.  4506</t>
  </si>
  <si>
    <t>507</t>
  </si>
  <si>
    <t>30 4507</t>
  </si>
  <si>
    <t>REFERENCIA No.  4507</t>
  </si>
  <si>
    <t>508</t>
  </si>
  <si>
    <t>30 4508</t>
  </si>
  <si>
    <t>LUIS HERNANDO LOPEZ POSSO</t>
  </si>
  <si>
    <t>LUZ AMPARO YEPES TILANO</t>
  </si>
  <si>
    <t>REFERENCIA No.  4508</t>
  </si>
  <si>
    <t>P4</t>
  </si>
  <si>
    <t>30P4502</t>
  </si>
  <si>
    <t>WILLIAM VILLAMIL</t>
  </si>
  <si>
    <t>REFERENCIA No. P4502</t>
  </si>
  <si>
    <t>B1</t>
  </si>
  <si>
    <t>30B1301</t>
  </si>
  <si>
    <t>INQUILINO REFERENCIA No.B1301</t>
  </si>
  <si>
    <t>B4</t>
  </si>
  <si>
    <t>JORGE GOMEZ-LUISA PELAEZ</t>
  </si>
  <si>
    <t>JOSE MARIA OCHOA-ADRIANA LOPEZ</t>
  </si>
  <si>
    <t>PABLO ALEJANDRO LONDOÑO L</t>
  </si>
  <si>
    <t>MARTHA ELENA AGUDELO L</t>
  </si>
  <si>
    <t>JOHN JAIRO GALLON R</t>
  </si>
  <si>
    <t>30 1303</t>
  </si>
  <si>
    <t>Marta Elena Gomez Hernandez</t>
  </si>
  <si>
    <t>43.911.493</t>
  </si>
  <si>
    <t>Marcela Pelaez Mejia</t>
  </si>
  <si>
    <t>Tarcisio de Jesus Ruiz Brand</t>
  </si>
  <si>
    <t>Javier Restrepo Uribe</t>
  </si>
  <si>
    <t>71.692.999</t>
  </si>
  <si>
    <t>Nelson Escudero</t>
  </si>
  <si>
    <t>71.720.138</t>
  </si>
  <si>
    <t>BICICLETA 1  $4.300</t>
  </si>
  <si>
    <t>30B4302</t>
  </si>
  <si>
    <t>NATALIA CORDOBA</t>
  </si>
  <si>
    <t>INQUILINO REFERENCIA No.B4302</t>
  </si>
  <si>
    <t>BICICLETA 2  $8.500</t>
  </si>
  <si>
    <t>BICICLETA 1 C-U 4300 REF 3-403</t>
  </si>
  <si>
    <t>BICICLETA 1 C-U 4300 REF 4-405</t>
  </si>
  <si>
    <t>BICICLETA 4 C-U $4.250</t>
  </si>
  <si>
    <t>Clara Ines Jaramillo Alvarez</t>
  </si>
  <si>
    <t>Javier Eduardo Reyes German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</si>
</sst>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3" borderId="0" xfId="0" applyFill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0" fontId="1" fillId="4" borderId="0" xfId="0" applyFont="1" applyFill="1"/>
    <xf numFmtId="0" fontId="0" fillId="5" borderId="0" xfId="0" applyFill="1"/>
    <xf numFmtId="0" fontId="1" fillId="0" borderId="0" xfId="0" applyFont="1" applyFill="1" applyAlignment="1">
      <alignment horizontal="center"/>
    </xf>
    <xf numFmtId="0" fontId="1" fillId="0" borderId="0" xfId="0" applyFont="1" applyFill="1"/>
    <xf numFmtId="0" fontId="0" fillId="0" borderId="0" xfId="0" applyFill="1"/>
    <xf numFmtId="0" fontId="1" fillId="6" borderId="0" xfId="0" applyFont="1" applyFill="1"/>
    <xf numFmtId="1" fontId="0" fillId="0" borderId="0" xfId="0" applyNumberFormat="1" applyFill="1" applyAlignment="1">
      <alignment horizontal="left"/>
    </xf>
    <xf numFmtId="1" fontId="1" fillId="0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Macros/FACTURAS%20Y%20LISTADOS/Macro%20para%20Creaci&#243;n%20de%20Factur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yectos"/>
      <sheetName val="Genérico"/>
    </sheetNames>
    <sheetDataSet>
      <sheetData sheetId="0">
        <row r="2">
          <cell r="E2" t="str">
            <v>Agosto</v>
          </cell>
          <cell r="H2">
            <v>2017</v>
          </cell>
        </row>
        <row r="4">
          <cell r="E4" t="str">
            <v>Julio</v>
          </cell>
          <cell r="H4">
            <v>2017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D310"/>
  <sheetViews>
    <sheetView tabSelected="1" workbookViewId="0">
      <selection activeCell="A2" sqref="A2:A320"/>
    </sheetView>
  </sheetViews>
  <sheetFormatPr baseColWidth="10" defaultRowHeight="15" x14ac:dyDescent="0.25"/>
  <cols>
    <col min="1" max="1" width="144.28515625" bestFit="1" customWidth="1"/>
    <col min="2" max="2" width="54.5703125" bestFit="1" customWidth="1"/>
    <col min="3" max="3" width="106.7109375" bestFit="1" customWidth="1"/>
    <col min="4" max="4" width="185" bestFit="1" customWidth="1"/>
  </cols>
  <sheetData>
    <row r="1" spans="1:4" x14ac:dyDescent="0.25">
      <c r="A1" s="1" t="s">
        <v>0</v>
      </c>
      <c r="B1" s="1" t="s">
        <v>47</v>
      </c>
      <c r="C1" s="1" t="s">
        <v>46</v>
      </c>
      <c r="D1" s="1" t="s">
        <v>1</v>
      </c>
    </row>
    <row r="2" spans="1:4" x14ac:dyDescent="0.25">
      <c r="A2" t="str">
        <f>Base!A2</f>
        <v>C:\Users\USUARIO\Macros\FACTURAS Y LISTADOS\1130 - Urbanización Alborada 1-4 PH\Urbanización Alborada 1-4 PH - Facturas del mes de_1.pdf</v>
      </c>
      <c r="B2" t="str">
        <f>Base!D2</f>
        <v>Urbanización Alborada 1-4 PH - Facturas del mes de_1.pdf</v>
      </c>
      <c r="C2" s="2" t="str">
        <f>Cálculos!G2</f>
        <v>Urbanización Alborada 1-4 PH - Factura del Mes de Agosto de 2017 1 - 101 - GUSTAVO ALONSO RIOS JIMENEZ.pdf</v>
      </c>
      <c r="D2" t="str">
        <f>Cálculos!H2</f>
        <v>C:\Users\USUARIO\Macros\FACTURAS Y LISTADOS\1130 - Urbanización Alborada 1-4 PH\Agosto de 2017\Urbanización Alborada 1-4 PH - Factura del Mes de Agosto de 2017 1 - 101 - GUSTAVO ALONSO RIOS JIMENEZ.pdf</v>
      </c>
    </row>
    <row r="3" spans="1:4" x14ac:dyDescent="0.25">
      <c r="A3" t="str">
        <f>Base!A3</f>
        <v>C:\Users\USUARIO\Macros\FACTURAS Y LISTADOS\1130 - Urbanización Alborada 1-4 PH\Urbanización Alborada 1-4 PH - Facturas del mes de_2.pdf</v>
      </c>
      <c r="B3" t="str">
        <f>Base!D3</f>
        <v>Urbanización Alborada 1-4 PH - Facturas del mes de_2.pdf</v>
      </c>
      <c r="C3" s="2" t="str">
        <f>Cálculos!G3</f>
        <v>Urbanización Alborada 1-4 PH - Factura del Mes de Agosto de 2017 1 - 102 - JAIRO ELIAS ORTIZ VALLEJO.pdf</v>
      </c>
      <c r="D3" t="str">
        <f>Cálculos!H3</f>
        <v>C:\Users\USUARIO\Macros\FACTURAS Y LISTADOS\1130 - Urbanización Alborada 1-4 PH\Agosto de 2017\Urbanización Alborada 1-4 PH - Factura del Mes de Agosto de 2017 1 - 102 - JAIRO ELIAS ORTIZ VALLEJO.pdf</v>
      </c>
    </row>
    <row r="4" spans="1:4" x14ac:dyDescent="0.25">
      <c r="A4" t="str">
        <f>Base!A4</f>
        <v>C:\Users\USUARIO\Macros\FACTURAS Y LISTADOS\1130 - Urbanización Alborada 1-4 PH\Urbanización Alborada 1-4 PH - Facturas del mes de_3.pdf</v>
      </c>
      <c r="B4" t="str">
        <f>Base!D4</f>
        <v>Urbanización Alborada 1-4 PH - Facturas del mes de_3.pdf</v>
      </c>
      <c r="C4" s="2" t="str">
        <f>Cálculos!G4</f>
        <v>Urbanización Alborada 1-4 PH - Factura del Mes de Agosto de 2017 1 - 103 - HERNAN DARIO AGUDELO MUÑOZ.pdf</v>
      </c>
      <c r="D4" t="str">
        <f>Cálculos!H4</f>
        <v>C:\Users\USUARIO\Macros\FACTURAS Y LISTADOS\1130 - Urbanización Alborada 1-4 PH\Agosto de 2017\Urbanización Alborada 1-4 PH - Factura del Mes de Agosto de 2017 1 - 103 - HERNAN DARIO AGUDELO MUÑOZ.pdf</v>
      </c>
    </row>
    <row r="5" spans="1:4" x14ac:dyDescent="0.25">
      <c r="A5" t="str">
        <f>Base!A5</f>
        <v>C:\Users\USUARIO\Macros\FACTURAS Y LISTADOS\1130 - Urbanización Alborada 1-4 PH\Urbanización Alborada 1-4 PH - Facturas del mes de_4.pdf</v>
      </c>
      <c r="B5" t="str">
        <f>Base!D5</f>
        <v>Urbanización Alborada 1-4 PH - Facturas del mes de_4.pdf</v>
      </c>
      <c r="C5" s="2" t="str">
        <f>Cálculos!G5</f>
        <v>Urbanización Alborada 1-4 PH - Factura del Mes de Agosto de 2017 1 - 104 - JORGE HUMBERTO SANTANA RUEDA.pdf</v>
      </c>
      <c r="D5" t="str">
        <f>Cálculos!H5</f>
        <v>C:\Users\USUARIO\Macros\FACTURAS Y LISTADOS\1130 - Urbanización Alborada 1-4 PH\Agosto de 2017\Urbanización Alborada 1-4 PH - Factura del Mes de Agosto de 2017 1 - 104 - JORGE HUMBERTO SANTANA RUEDA.pdf</v>
      </c>
    </row>
    <row r="6" spans="1:4" x14ac:dyDescent="0.25">
      <c r="A6" t="str">
        <f>Base!A6</f>
        <v>C:\Users\USUARIO\Macros\FACTURAS Y LISTADOS\1130 - Urbanización Alborada 1-4 PH\Urbanización Alborada 1-4 PH - Facturas del mes de_5.pdf</v>
      </c>
      <c r="B6" t="str">
        <f>Base!D6</f>
        <v>Urbanización Alborada 1-4 PH - Facturas del mes de_5.pdf</v>
      </c>
      <c r="C6" s="2" t="str">
        <f>Cálculos!G6</f>
        <v>Urbanización Alborada 1-4 PH - Factura del Mes de Agosto de 2017 1 - 201 - MARTHA QUINTERO GIRALDO.pdf</v>
      </c>
      <c r="D6" t="str">
        <f>Cálculos!H6</f>
        <v>C:\Users\USUARIO\Macros\FACTURAS Y LISTADOS\1130 - Urbanización Alborada 1-4 PH\Agosto de 2017\Urbanización Alborada 1-4 PH - Factura del Mes de Agosto de 2017 1 - 201 - MARTHA QUINTERO GIRALDO.pdf</v>
      </c>
    </row>
    <row r="7" spans="1:4" x14ac:dyDescent="0.25">
      <c r="A7" t="str">
        <f>Base!A7</f>
        <v>C:\Users\USUARIO\Macros\FACTURAS Y LISTADOS\1130 - Urbanización Alborada 1-4 PH\Urbanización Alborada 1-4 PH - Facturas del mes de_6.pdf</v>
      </c>
      <c r="B7" t="str">
        <f>Base!D7</f>
        <v>Urbanización Alborada 1-4 PH - Facturas del mes de_6.pdf</v>
      </c>
      <c r="C7" s="2" t="str">
        <f>Cálculos!G7</f>
        <v>Urbanización Alborada 1-4 PH - Factura del Mes de Agosto de 2017 1 - 202 - VICTORIA EUGENIA PEREZ PEREZ.pdf</v>
      </c>
      <c r="D7" t="str">
        <f>Cálculos!H7</f>
        <v>C:\Users\USUARIO\Macros\FACTURAS Y LISTADOS\1130 - Urbanización Alborada 1-4 PH\Agosto de 2017\Urbanización Alborada 1-4 PH - Factura del Mes de Agosto de 2017 1 - 202 - VICTORIA EUGENIA PEREZ PEREZ.pdf</v>
      </c>
    </row>
    <row r="8" spans="1:4" x14ac:dyDescent="0.25">
      <c r="A8" t="str">
        <f>Base!A8</f>
        <v>C:\Users\USUARIO\Macros\FACTURAS Y LISTADOS\1130 - Urbanización Alborada 1-4 PH\Urbanización Alborada 1-4 PH - Facturas del mes de_7.pdf</v>
      </c>
      <c r="B8" t="str">
        <f>Base!D8</f>
        <v>Urbanización Alborada 1-4 PH - Facturas del mes de_7.pdf</v>
      </c>
      <c r="C8" s="2" t="str">
        <f>Cálculos!G8</f>
        <v>Urbanización Alborada 1-4 PH - Factura del Mes de Agosto de 2017 1 - 203 - MARGARITA ROSA VELEZ GOMEZ.pdf</v>
      </c>
      <c r="D8" t="str">
        <f>Cálculos!H8</f>
        <v>C:\Users\USUARIO\Macros\FACTURAS Y LISTADOS\1130 - Urbanización Alborada 1-4 PH\Agosto de 2017\Urbanización Alborada 1-4 PH - Factura del Mes de Agosto de 2017 1 - 203 - MARGARITA ROSA VELEZ GOMEZ.pdf</v>
      </c>
    </row>
    <row r="9" spans="1:4" x14ac:dyDescent="0.25">
      <c r="A9" t="str">
        <f>Base!A9</f>
        <v>C:\Users\USUARIO\Macros\FACTURAS Y LISTADOS\1130 - Urbanización Alborada 1-4 PH\Urbanización Alborada 1-4 PH - Facturas del mes de_8.pdf</v>
      </c>
      <c r="B9" t="str">
        <f>Base!D9</f>
        <v>Urbanización Alborada 1-4 PH - Facturas del mes de_8.pdf</v>
      </c>
      <c r="C9" s="2" t="str">
        <f>Cálculos!G9</f>
        <v>Urbanización Alborada 1-4 PH - Factura del Mes de Agosto de 2017 1 - 204 - MARIA ELENA HOYOS TOBON.pdf</v>
      </c>
      <c r="D9" t="str">
        <f>Cálculos!H9</f>
        <v>C:\Users\USUARIO\Macros\FACTURAS Y LISTADOS\1130 - Urbanización Alborada 1-4 PH\Agosto de 2017\Urbanización Alborada 1-4 PH - Factura del Mes de Agosto de 2017 1 - 204 - MARIA ELENA HOYOS TOBON.pdf</v>
      </c>
    </row>
    <row r="10" spans="1:4" x14ac:dyDescent="0.25">
      <c r="A10" t="str">
        <f>Base!A10</f>
        <v>C:\Users\USUARIO\Macros\FACTURAS Y LISTADOS\1130 - Urbanización Alborada 1-4 PH\Urbanización Alborada 1-4 PH - Facturas del mes de_9.pdf</v>
      </c>
      <c r="B10" t="str">
        <f>Base!D10</f>
        <v>Urbanización Alborada 1-4 PH - Facturas del mes de_9.pdf</v>
      </c>
      <c r="C10" s="2" t="str">
        <f>Cálculos!G10</f>
        <v>Urbanización Alborada 1-4 PH - Factura del Mes de Agosto de 2017 1 - 301 - MARTA NELLY CADAVID RESTREPO.pdf</v>
      </c>
      <c r="D10" t="str">
        <f>Cálculos!H10</f>
        <v>C:\Users\USUARIO\Macros\FACTURAS Y LISTADOS\1130 - Urbanización Alborada 1-4 PH\Agosto de 2017\Urbanización Alborada 1-4 PH - Factura del Mes de Agosto de 2017 1 - 301 - MARTA NELLY CADAVID RESTREPO.pdf</v>
      </c>
    </row>
    <row r="11" spans="1:4" x14ac:dyDescent="0.25">
      <c r="A11" t="str">
        <f>Base!A11</f>
        <v>C:\Users\USUARIO\Macros\FACTURAS Y LISTADOS\1130 - Urbanización Alborada 1-4 PH\Urbanización Alborada 1-4 PH - Facturas del mes de_10.pdf</v>
      </c>
      <c r="B11" t="str">
        <f>Base!D11</f>
        <v>Urbanización Alborada 1-4 PH - Facturas del mes de_10.pdf</v>
      </c>
      <c r="C11" s="2" t="str">
        <f>Cálculos!G11</f>
        <v>Urbanización Alborada 1-4 PH - Factura del Mes de Agosto de 2017 1 - 302 - ELKIN RAMIREZ.pdf</v>
      </c>
      <c r="D11" t="str">
        <f>Cálculos!H11</f>
        <v>C:\Users\USUARIO\Macros\FACTURAS Y LISTADOS\1130 - Urbanización Alborada 1-4 PH\Agosto de 2017\Urbanización Alborada 1-4 PH - Factura del Mes de Agosto de 2017 1 - 302 - ELKIN RAMIREZ.pdf</v>
      </c>
    </row>
    <row r="12" spans="1:4" x14ac:dyDescent="0.25">
      <c r="A12" t="str">
        <f>Base!A12</f>
        <v>C:\Users\USUARIO\Macros\FACTURAS Y LISTADOS\1130 - Urbanización Alborada 1-4 PH\Urbanización Alborada 1-4 PH - Facturas del mes de_11.pdf</v>
      </c>
      <c r="B12" t="str">
        <f>Base!D12</f>
        <v>Urbanización Alborada 1-4 PH - Facturas del mes de_11.pdf</v>
      </c>
      <c r="C12" s="2" t="str">
        <f>Cálculos!G12</f>
        <v>Urbanización Alborada 1-4 PH - Factura del Mes de Agosto de 2017 1 - 303 - Marta Elena Gomez Hernandez.pdf</v>
      </c>
      <c r="D12" t="str">
        <f>Cálculos!H12</f>
        <v>C:\Users\USUARIO\Macros\FACTURAS Y LISTADOS\1130 - Urbanización Alborada 1-4 PH\Agosto de 2017\Urbanización Alborada 1-4 PH - Factura del Mes de Agosto de 2017 1 - 303 - Marta Elena Gomez Hernandez.pdf</v>
      </c>
    </row>
    <row r="13" spans="1:4" x14ac:dyDescent="0.25">
      <c r="A13" t="str">
        <f>Base!A13</f>
        <v>C:\Users\USUARIO\Macros\FACTURAS Y LISTADOS\1130 - Urbanización Alborada 1-4 PH\Urbanización Alborada 1-4 PH - Facturas del mes de_12.pdf</v>
      </c>
      <c r="B13" t="str">
        <f>Base!D13</f>
        <v>Urbanización Alborada 1-4 PH - Facturas del mes de_12.pdf</v>
      </c>
      <c r="C13" s="2" t="str">
        <f>Cálculos!G13</f>
        <v>Urbanización Alborada 1-4 PH - Factura del Mes de Agosto de 2017 1 - 304 - MARTHA LIGIA MESA GOMEZ.pdf</v>
      </c>
      <c r="D13" t="str">
        <f>Cálculos!H13</f>
        <v>C:\Users\USUARIO\Macros\FACTURAS Y LISTADOS\1130 - Urbanización Alborada 1-4 PH\Agosto de 2017\Urbanización Alborada 1-4 PH - Factura del Mes de Agosto de 2017 1 - 304 - MARTHA LIGIA MESA GOMEZ.pdf</v>
      </c>
    </row>
    <row r="14" spans="1:4" x14ac:dyDescent="0.25">
      <c r="A14" t="str">
        <f>Base!A14</f>
        <v>C:\Users\USUARIO\Macros\FACTURAS Y LISTADOS\1130 - Urbanización Alborada 1-4 PH\Urbanización Alborada 1-4 PH - Facturas del mes de_13.pdf</v>
      </c>
      <c r="B14" t="str">
        <f>Base!D14</f>
        <v>Urbanización Alborada 1-4 PH - Facturas del mes de_13.pdf</v>
      </c>
      <c r="C14" s="2" t="str">
        <f>Cálculos!G14</f>
        <v>Urbanización Alborada 1-4 PH - Factura del Mes de Agosto de 2017 1 - 401 - CARLOS ANDRES LOPEZ VASQUEZ.pdf</v>
      </c>
      <c r="D14" t="str">
        <f>Cálculos!H14</f>
        <v>C:\Users\USUARIO\Macros\FACTURAS Y LISTADOS\1130 - Urbanización Alborada 1-4 PH\Agosto de 2017\Urbanización Alborada 1-4 PH - Factura del Mes de Agosto de 2017 1 - 401 - CARLOS ANDRES LOPEZ VASQUEZ.pdf</v>
      </c>
    </row>
    <row r="15" spans="1:4" x14ac:dyDescent="0.25">
      <c r="A15" t="str">
        <f>Base!A15</f>
        <v>C:\Users\USUARIO\Macros\FACTURAS Y LISTADOS\1130 - Urbanización Alborada 1-4 PH\Urbanización Alborada 1-4 PH - Facturas del mes de_14.pdf</v>
      </c>
      <c r="B15" t="str">
        <f>Base!D15</f>
        <v>Urbanización Alborada 1-4 PH - Facturas del mes de_14.pdf</v>
      </c>
      <c r="C15" s="2" t="str">
        <f>Cálculos!G15</f>
        <v>Urbanización Alborada 1-4 PH - Factura del Mes de Agosto de 2017 1 - 402 - LUZ MARINA BETANCUR ARANGO.pdf</v>
      </c>
      <c r="D15" t="str">
        <f>Cálculos!H15</f>
        <v>C:\Users\USUARIO\Macros\FACTURAS Y LISTADOS\1130 - Urbanización Alborada 1-4 PH\Agosto de 2017\Urbanización Alborada 1-4 PH - Factura del Mes de Agosto de 2017 1 - 402 - LUZ MARINA BETANCUR ARANGO.pdf</v>
      </c>
    </row>
    <row r="16" spans="1:4" x14ac:dyDescent="0.25">
      <c r="A16" t="str">
        <f>Base!A16</f>
        <v>C:\Users\USUARIO\Macros\FACTURAS Y LISTADOS\1130 - Urbanización Alborada 1-4 PH\Urbanización Alborada 1-4 PH - Facturas del mes de_15.pdf</v>
      </c>
      <c r="B16" t="str">
        <f>Base!D16</f>
        <v>Urbanización Alborada 1-4 PH - Facturas del mes de_15.pdf</v>
      </c>
      <c r="C16" s="2" t="str">
        <f>Cálculos!G16</f>
        <v>Urbanización Alborada 1-4 PH - Factura del Mes de Agosto de 2017 1 - 403 - GLORIA NANCY VERGARA.pdf</v>
      </c>
      <c r="D16" t="str">
        <f>Cálculos!H16</f>
        <v>C:\Users\USUARIO\Macros\FACTURAS Y LISTADOS\1130 - Urbanización Alborada 1-4 PH\Agosto de 2017\Urbanización Alborada 1-4 PH - Factura del Mes de Agosto de 2017 1 - 403 - GLORIA NANCY VERGARA.pdf</v>
      </c>
    </row>
    <row r="17" spans="1:4" x14ac:dyDescent="0.25">
      <c r="A17" t="str">
        <f>Base!A17</f>
        <v>C:\Users\USUARIO\Macros\FACTURAS Y LISTADOS\1130 - Urbanización Alborada 1-4 PH\Urbanización Alborada 1-4 PH - Facturas del mes de_16.pdf</v>
      </c>
      <c r="B17" t="str">
        <f>Base!D17</f>
        <v>Urbanización Alborada 1-4 PH - Facturas del mes de_16.pdf</v>
      </c>
      <c r="C17" s="2" t="str">
        <f>Cálculos!G17</f>
        <v>Urbanización Alborada 1-4 PH - Factura del Mes de Agosto de 2017 1 - 404 - JORGE GOMEZ-LUISA PELAEZ.pdf</v>
      </c>
      <c r="D17" t="str">
        <f>Cálculos!H17</f>
        <v>C:\Users\USUARIO\Macros\FACTURAS Y LISTADOS\1130 - Urbanización Alborada 1-4 PH\Agosto de 2017\Urbanización Alborada 1-4 PH - Factura del Mes de Agosto de 2017 1 - 404 - JORGE GOMEZ-LUISA PELAEZ.pdf</v>
      </c>
    </row>
    <row r="18" spans="1:4" x14ac:dyDescent="0.25">
      <c r="A18" t="str">
        <f>Base!A18</f>
        <v>C:\Users\USUARIO\Macros\FACTURAS Y LISTADOS\1130 - Urbanización Alborada 1-4 PH\Urbanización Alborada 1-4 PH - Facturas del mes de_17.pdf</v>
      </c>
      <c r="B18" t="str">
        <f>Base!D18</f>
        <v>Urbanización Alborada 1-4 PH - Facturas del mes de_17.pdf</v>
      </c>
      <c r="C18" s="2" t="str">
        <f>Cálculos!G18</f>
        <v>Urbanización Alborada 1-4 PH - Factura del Mes de Agosto de 2017 1 - 501 - REINA MARGARITA PEREZ PALACIO.pdf</v>
      </c>
      <c r="D18" t="str">
        <f>Cálculos!H18</f>
        <v>C:\Users\USUARIO\Macros\FACTURAS Y LISTADOS\1130 - Urbanización Alborada 1-4 PH\Agosto de 2017\Urbanización Alborada 1-4 PH - Factura del Mes de Agosto de 2017 1 - 501 - REINA MARGARITA PEREZ PALACIO.pdf</v>
      </c>
    </row>
    <row r="19" spans="1:4" x14ac:dyDescent="0.25">
      <c r="A19" t="str">
        <f>Base!A19</f>
        <v>C:\Users\USUARIO\Macros\FACTURAS Y LISTADOS\1130 - Urbanización Alborada 1-4 PH\Urbanización Alborada 1-4 PH - Facturas del mes de_18.pdf</v>
      </c>
      <c r="B19" t="str">
        <f>Base!D19</f>
        <v>Urbanización Alborada 1-4 PH - Facturas del mes de_18.pdf</v>
      </c>
      <c r="C19" s="2" t="str">
        <f>Cálculos!G19</f>
        <v>Urbanización Alborada 1-4 PH - Factura del Mes de Agosto de 2017 1 - 502 - LUZ MARINA BELEÑO CORDERO.pdf</v>
      </c>
      <c r="D19" t="str">
        <f>Cálculos!H19</f>
        <v>C:\Users\USUARIO\Macros\FACTURAS Y LISTADOS\1130 - Urbanización Alborada 1-4 PH\Agosto de 2017\Urbanización Alborada 1-4 PH - Factura del Mes de Agosto de 2017 1 - 502 - LUZ MARINA BELEÑO CORDERO.pdf</v>
      </c>
    </row>
    <row r="20" spans="1:4" x14ac:dyDescent="0.25">
      <c r="A20" t="str">
        <f>Base!A20</f>
        <v>C:\Users\USUARIO\Macros\FACTURAS Y LISTADOS\1130 - Urbanización Alborada 1-4 PH\Urbanización Alborada 1-4 PH - Facturas del mes de_19.pdf</v>
      </c>
      <c r="B20" t="str">
        <f>Base!D20</f>
        <v>Urbanización Alborada 1-4 PH - Facturas del mes de_19.pdf</v>
      </c>
      <c r="C20" s="2" t="str">
        <f>Cálculos!G20</f>
        <v>Urbanización Alborada 1-4 PH - Factura del Mes de Agosto de 2017 1 - 503 - DANIEL MUNERA.pdf</v>
      </c>
      <c r="D20" t="str">
        <f>Cálculos!H20</f>
        <v>C:\Users\USUARIO\Macros\FACTURAS Y LISTADOS\1130 - Urbanización Alborada 1-4 PH\Agosto de 2017\Urbanización Alborada 1-4 PH - Factura del Mes de Agosto de 2017 1 - 503 - DANIEL MUNERA.pdf</v>
      </c>
    </row>
    <row r="21" spans="1:4" x14ac:dyDescent="0.25">
      <c r="A21" t="str">
        <f>Base!A21</f>
        <v>C:\Users\USUARIO\Macros\FACTURAS Y LISTADOS\1130 - Urbanización Alborada 1-4 PH\Urbanización Alborada 1-4 PH - Facturas del mes de_20.pdf</v>
      </c>
      <c r="B21" t="str">
        <f>Base!D21</f>
        <v>Urbanización Alborada 1-4 PH - Facturas del mes de_20.pdf</v>
      </c>
      <c r="C21" s="2" t="str">
        <f>Cálculos!G21</f>
        <v>Urbanización Alborada 1-4 PH - Factura del Mes de Agosto de 2017 1 - 504 - OSCAR DARIO GALLEGO BETANCUR.pdf</v>
      </c>
      <c r="D21" t="str">
        <f>Cálculos!H21</f>
        <v>C:\Users\USUARIO\Macros\FACTURAS Y LISTADOS\1130 - Urbanización Alborada 1-4 PH\Agosto de 2017\Urbanización Alborada 1-4 PH - Factura del Mes de Agosto de 2017 1 - 504 - OSCAR DARIO GALLEGO BETANCUR.pdf</v>
      </c>
    </row>
    <row r="22" spans="1:4" x14ac:dyDescent="0.25">
      <c r="A22" t="str">
        <f>Base!A22</f>
        <v>C:\Users\USUARIO\Macros\FACTURAS Y LISTADOS\1130 - Urbanización Alborada 1-4 PH\Urbanización Alborada 1-4 PH - Facturas del mes de_21.pdf</v>
      </c>
      <c r="B22" t="str">
        <f>Base!D22</f>
        <v>Urbanización Alborada 1-4 PH - Facturas del mes de_21.pdf</v>
      </c>
      <c r="C22" s="2" t="str">
        <f>Cálculos!G22</f>
        <v>Urbanización Alborada 1-4 PH - Factura del Mes de Agosto de 2017 2 - 101 - MARGARITA MARIA LONDOÑO RAMIRE.pdf</v>
      </c>
      <c r="D22" t="str">
        <f>Cálculos!H22</f>
        <v>C:\Users\USUARIO\Macros\FACTURAS Y LISTADOS\1130 - Urbanización Alborada 1-4 PH\Agosto de 2017\Urbanización Alborada 1-4 PH - Factura del Mes de Agosto de 2017 2 - 101 - MARGARITA MARIA LONDOÑO RAMIRE.pdf</v>
      </c>
    </row>
    <row r="23" spans="1:4" x14ac:dyDescent="0.25">
      <c r="A23" t="str">
        <f>Base!A23</f>
        <v>C:\Users\USUARIO\Macros\FACTURAS Y LISTADOS\1130 - Urbanización Alborada 1-4 PH\Urbanización Alborada 1-4 PH - Facturas del mes de_22.pdf</v>
      </c>
      <c r="B23" t="str">
        <f>Base!D23</f>
        <v>Urbanización Alborada 1-4 PH - Facturas del mes de_22.pdf</v>
      </c>
      <c r="C23" s="2" t="str">
        <f>Cálculos!G23</f>
        <v>Urbanización Alborada 1-4 PH - Factura del Mes de Agosto de 2017 2 - 102 - JAIRO ELIAS ORTIZ VALLEJO.pdf</v>
      </c>
      <c r="D23" t="str">
        <f>Cálculos!H23</f>
        <v>C:\Users\USUARIO\Macros\FACTURAS Y LISTADOS\1130 - Urbanización Alborada 1-4 PH\Agosto de 2017\Urbanización Alborada 1-4 PH - Factura del Mes de Agosto de 2017 2 - 102 - JAIRO ELIAS ORTIZ VALLEJO.pdf</v>
      </c>
    </row>
    <row r="24" spans="1:4" x14ac:dyDescent="0.25">
      <c r="A24" t="str">
        <f>Base!A24</f>
        <v>C:\Users\USUARIO\Macros\FACTURAS Y LISTADOS\1130 - Urbanización Alborada 1-4 PH\Urbanización Alborada 1-4 PH - Facturas del mes de_23.pdf</v>
      </c>
      <c r="B24" t="str">
        <f>Base!D24</f>
        <v>Urbanización Alborada 1-4 PH - Facturas del mes de_23.pdf</v>
      </c>
      <c r="C24" s="2" t="str">
        <f>Cálculos!G24</f>
        <v>Urbanización Alborada 1-4 PH - Factura del Mes de Agosto de 2017 2 - 201 - ALICIA MARIA OTALVARO CASTRILL.pdf</v>
      </c>
      <c r="D24" t="str">
        <f>Cálculos!H24</f>
        <v>C:\Users\USUARIO\Macros\FACTURAS Y LISTADOS\1130 - Urbanización Alborada 1-4 PH\Agosto de 2017\Urbanización Alborada 1-4 PH - Factura del Mes de Agosto de 2017 2 - 201 - ALICIA MARIA OTALVARO CASTRILL.pdf</v>
      </c>
    </row>
    <row r="25" spans="1:4" x14ac:dyDescent="0.25">
      <c r="A25" t="str">
        <f>Base!A25</f>
        <v>C:\Users\USUARIO\Macros\FACTURAS Y LISTADOS\1130 - Urbanización Alborada 1-4 PH\Urbanización Alborada 1-4 PH - Facturas del mes de_24.pdf</v>
      </c>
      <c r="B25" t="str">
        <f>Base!D25</f>
        <v>Urbanización Alborada 1-4 PH - Facturas del mes de_24.pdf</v>
      </c>
      <c r="C25" s="2" t="str">
        <f>Cálculos!G25</f>
        <v>Urbanización Alborada 1-4 PH - Factura del Mes de Agosto de 2017 2 - 202 - JAEL CARO DE PATIÑO.pdf</v>
      </c>
      <c r="D25" t="str">
        <f>Cálculos!H25</f>
        <v>C:\Users\USUARIO\Macros\FACTURAS Y LISTADOS\1130 - Urbanización Alborada 1-4 PH\Agosto de 2017\Urbanización Alborada 1-4 PH - Factura del Mes de Agosto de 2017 2 - 202 - JAEL CARO DE PATIÑO.pdf</v>
      </c>
    </row>
    <row r="26" spans="1:4" x14ac:dyDescent="0.25">
      <c r="A26" t="str">
        <f>Base!A26</f>
        <v>C:\Users\USUARIO\Macros\FACTURAS Y LISTADOS\1130 - Urbanización Alborada 1-4 PH\Urbanización Alborada 1-4 PH - Facturas del mes de_25.pdf</v>
      </c>
      <c r="B26" t="str">
        <f>Base!D26</f>
        <v>Urbanización Alborada 1-4 PH - Facturas del mes de_25.pdf</v>
      </c>
      <c r="C26" s="2" t="str">
        <f>Cálculos!G26</f>
        <v>Urbanización Alborada 1-4 PH - Factura del Mes de Agosto de 2017 2 - 301 - AMPARO PEREZ ALVAREZ.pdf</v>
      </c>
      <c r="D26" t="str">
        <f>Cálculos!H26</f>
        <v>C:\Users\USUARIO\Macros\FACTURAS Y LISTADOS\1130 - Urbanización Alborada 1-4 PH\Agosto de 2017\Urbanización Alborada 1-4 PH - Factura del Mes de Agosto de 2017 2 - 301 - AMPARO PEREZ ALVAREZ.pdf</v>
      </c>
    </row>
    <row r="27" spans="1:4" x14ac:dyDescent="0.25">
      <c r="A27" t="str">
        <f>Base!A27</f>
        <v>C:\Users\USUARIO\Macros\FACTURAS Y LISTADOS\1130 - Urbanización Alborada 1-4 PH\Urbanización Alborada 1-4 PH - Facturas del mes de_26.pdf</v>
      </c>
      <c r="B27" t="str">
        <f>Base!D27</f>
        <v>Urbanización Alborada 1-4 PH - Facturas del mes de_26.pdf</v>
      </c>
      <c r="C27" s="2" t="str">
        <f>Cálculos!G27</f>
        <v>Urbanización Alborada 1-4 PH - Factura del Mes de Agosto de 2017 2 - 302 - WILLIAM FRANCO GONZALEZ.pdf</v>
      </c>
      <c r="D27" t="str">
        <f>Cálculos!H27</f>
        <v>C:\Users\USUARIO\Macros\FACTURAS Y LISTADOS\1130 - Urbanización Alborada 1-4 PH\Agosto de 2017\Urbanización Alborada 1-4 PH - Factura del Mes de Agosto de 2017 2 - 302 - WILLIAM FRANCO GONZALEZ.pdf</v>
      </c>
    </row>
    <row r="28" spans="1:4" x14ac:dyDescent="0.25">
      <c r="A28" t="str">
        <f>Base!A28</f>
        <v>C:\Users\USUARIO\Macros\FACTURAS Y LISTADOS\1130 - Urbanización Alborada 1-4 PH\Urbanización Alborada 1-4 PH - Facturas del mes de_27.pdf</v>
      </c>
      <c r="B28" t="str">
        <f>Base!D28</f>
        <v>Urbanización Alborada 1-4 PH - Facturas del mes de_27.pdf</v>
      </c>
      <c r="C28" s="2" t="str">
        <f>Cálculos!G28</f>
        <v>Urbanización Alborada 1-4 PH - Factura del Mes de Agosto de 2017 2 - 401 - GUILLERMO PEREZ RESTREPO.pdf</v>
      </c>
      <c r="D28" t="str">
        <f>Cálculos!H28</f>
        <v>C:\Users\USUARIO\Macros\FACTURAS Y LISTADOS\1130 - Urbanización Alborada 1-4 PH\Agosto de 2017\Urbanización Alborada 1-4 PH - Factura del Mes de Agosto de 2017 2 - 401 - GUILLERMO PEREZ RESTREPO.pdf</v>
      </c>
    </row>
    <row r="29" spans="1:4" x14ac:dyDescent="0.25">
      <c r="A29" t="str">
        <f>Base!A29</f>
        <v>C:\Users\USUARIO\Macros\FACTURAS Y LISTADOS\1130 - Urbanización Alborada 1-4 PH\Urbanización Alborada 1-4 PH - Facturas del mes de_28.pdf</v>
      </c>
      <c r="B29" t="str">
        <f>Base!D29</f>
        <v>Urbanización Alborada 1-4 PH - Facturas del mes de_28.pdf</v>
      </c>
      <c r="C29" s="2" t="str">
        <f>Cálculos!G29</f>
        <v>Urbanización Alborada 1-4 PH - Factura del Mes de Agosto de 2017 2 - 402 - PABLO ALEJANDRO LONDOÑO L.pdf</v>
      </c>
      <c r="D29" t="str">
        <f>Cálculos!H29</f>
        <v>C:\Users\USUARIO\Macros\FACTURAS Y LISTADOS\1130 - Urbanización Alborada 1-4 PH\Agosto de 2017\Urbanización Alborada 1-4 PH - Factura del Mes de Agosto de 2017 2 - 402 - PABLO ALEJANDRO LONDOÑO L.pdf</v>
      </c>
    </row>
    <row r="30" spans="1:4" x14ac:dyDescent="0.25">
      <c r="A30" t="str">
        <f>Base!A30</f>
        <v>C:\Users\USUARIO\Macros\FACTURAS Y LISTADOS\1130 - Urbanización Alborada 1-4 PH\Urbanización Alborada 1-4 PH - Facturas del mes de_29.pdf</v>
      </c>
      <c r="B30" t="str">
        <f>Base!D30</f>
        <v>Urbanización Alborada 1-4 PH - Facturas del mes de_29.pdf</v>
      </c>
      <c r="C30" s="2" t="str">
        <f>Cálculos!G30</f>
        <v>Urbanización Alborada 1-4 PH - Factura del Mes de Agosto de 2017 2 - 501 - BEATRIZ ELENA CARDONA.pdf</v>
      </c>
      <c r="D30" t="str">
        <f>Cálculos!H30</f>
        <v>C:\Users\USUARIO\Macros\FACTURAS Y LISTADOS\1130 - Urbanización Alborada 1-4 PH\Agosto de 2017\Urbanización Alborada 1-4 PH - Factura del Mes de Agosto de 2017 2 - 501 - BEATRIZ ELENA CARDONA.pdf</v>
      </c>
    </row>
    <row r="31" spans="1:4" x14ac:dyDescent="0.25">
      <c r="A31" t="str">
        <f>Base!A31</f>
        <v>C:\Users\USUARIO\Macros\FACTURAS Y LISTADOS\1130 - Urbanización Alborada 1-4 PH\Urbanización Alborada 1-4 PH - Facturas del mes de_30.pdf</v>
      </c>
      <c r="B31" t="str">
        <f>Base!D31</f>
        <v>Urbanización Alborada 1-4 PH - Facturas del mes de_30.pdf</v>
      </c>
      <c r="C31" s="2" t="str">
        <f>Cálculos!G31</f>
        <v>Urbanización Alborada 1-4 PH - Factura del Mes de Agosto de 2017 2 - 502 - ROCIO MUÑOZ BETANCUR.pdf</v>
      </c>
      <c r="D31" t="str">
        <f>Cálculos!H31</f>
        <v>C:\Users\USUARIO\Macros\FACTURAS Y LISTADOS\1130 - Urbanización Alborada 1-4 PH\Agosto de 2017\Urbanización Alborada 1-4 PH - Factura del Mes de Agosto de 2017 2 - 502 - ROCIO MUÑOZ BETANCUR.pdf</v>
      </c>
    </row>
    <row r="32" spans="1:4" x14ac:dyDescent="0.25">
      <c r="A32" t="str">
        <f>Base!A32</f>
        <v>C:\Users\USUARIO\Macros\FACTURAS Y LISTADOS\1130 - Urbanización Alborada 1-4 PH\Urbanización Alborada 1-4 PH - Facturas del mes de_31.pdf</v>
      </c>
      <c r="B32" t="str">
        <f>Base!D32</f>
        <v>Urbanización Alborada 1-4 PH - Facturas del mes de_31.pdf</v>
      </c>
      <c r="C32" s="2" t="str">
        <f>Cálculos!G32</f>
        <v>Urbanización Alborada 1-4 PH - Factura del Mes de Agosto de 2017 3 - 101 - RODOLFO VELEZ.pdf</v>
      </c>
      <c r="D32" t="str">
        <f>Cálculos!H32</f>
        <v>C:\Users\USUARIO\Macros\FACTURAS Y LISTADOS\1130 - Urbanización Alborada 1-4 PH\Agosto de 2017\Urbanización Alborada 1-4 PH - Factura del Mes de Agosto de 2017 3 - 101 - RODOLFO VELEZ.pdf</v>
      </c>
    </row>
    <row r="33" spans="1:4" x14ac:dyDescent="0.25">
      <c r="A33" t="str">
        <f>Base!A33</f>
        <v>C:\Users\USUARIO\Macros\FACTURAS Y LISTADOS\1130 - Urbanización Alborada 1-4 PH\Urbanización Alborada 1-4 PH - Facturas del mes de_32.pdf</v>
      </c>
      <c r="B33" t="str">
        <f>Base!D33</f>
        <v>Urbanización Alborada 1-4 PH - Facturas del mes de_32.pdf</v>
      </c>
      <c r="C33" s="2" t="str">
        <f>Cálculos!G33</f>
        <v>Urbanización Alborada 1-4 PH - Factura del Mes de Agosto de 2017 3 - 102 - CLARA INES ZULUAGA GARCIA.pdf</v>
      </c>
      <c r="D33" t="str">
        <f>Cálculos!H33</f>
        <v>C:\Users\USUARIO\Macros\FACTURAS Y LISTADOS\1130 - Urbanización Alborada 1-4 PH\Agosto de 2017\Urbanización Alborada 1-4 PH - Factura del Mes de Agosto de 2017 3 - 102 - CLARA INES ZULUAGA GARCIA.pdf</v>
      </c>
    </row>
    <row r="34" spans="1:4" x14ac:dyDescent="0.25">
      <c r="A34" t="str">
        <f>Base!A34</f>
        <v>C:\Users\USUARIO\Macros\FACTURAS Y LISTADOS\1130 - Urbanización Alborada 1-4 PH\Urbanización Alborada 1-4 PH - Facturas del mes de_33.pdf</v>
      </c>
      <c r="B34" t="str">
        <f>Base!D34</f>
        <v>Urbanización Alborada 1-4 PH - Facturas del mes de_33.pdf</v>
      </c>
      <c r="C34" s="2" t="str">
        <f>Cálculos!G34</f>
        <v>Urbanización Alborada 1-4 PH - Factura del Mes de Agosto de 2017 3 - 103 - LUCIA DEL SOCORRO RUIZ SALAS.pdf</v>
      </c>
      <c r="D34" t="str">
        <f>Cálculos!H34</f>
        <v>C:\Users\USUARIO\Macros\FACTURAS Y LISTADOS\1130 - Urbanización Alborada 1-4 PH\Agosto de 2017\Urbanización Alborada 1-4 PH - Factura del Mes de Agosto de 2017 3 - 103 - LUCIA DEL SOCORRO RUIZ SALAS.pdf</v>
      </c>
    </row>
    <row r="35" spans="1:4" x14ac:dyDescent="0.25">
      <c r="A35" t="str">
        <f>Base!A35</f>
        <v>C:\Users\USUARIO\Macros\FACTURAS Y LISTADOS\1130 - Urbanización Alborada 1-4 PH\Urbanización Alborada 1-4 PH - Facturas del mes de_34.pdf</v>
      </c>
      <c r="B35" t="str">
        <f>Base!D35</f>
        <v>Urbanización Alborada 1-4 PH - Facturas del mes de_34.pdf</v>
      </c>
      <c r="C35" s="2" t="str">
        <f>Cálculos!G35</f>
        <v>Urbanización Alborada 1-4 PH - Factura del Mes de Agosto de 2017 3 - 104 - LEON DARIO BEDOYA VILLEGAS.pdf</v>
      </c>
      <c r="D35" t="str">
        <f>Cálculos!H35</f>
        <v>C:\Users\USUARIO\Macros\FACTURAS Y LISTADOS\1130 - Urbanización Alborada 1-4 PH\Agosto de 2017\Urbanización Alborada 1-4 PH - Factura del Mes de Agosto de 2017 3 - 104 - LEON DARIO BEDOYA VILLEGAS.pdf</v>
      </c>
    </row>
    <row r="36" spans="1:4" x14ac:dyDescent="0.25">
      <c r="A36" t="str">
        <f>Base!A36</f>
        <v>C:\Users\USUARIO\Macros\FACTURAS Y LISTADOS\1130 - Urbanización Alborada 1-4 PH\Urbanización Alborada 1-4 PH - Facturas del mes de_35.pdf</v>
      </c>
      <c r="B36" t="str">
        <f>Base!D36</f>
        <v>Urbanización Alborada 1-4 PH - Facturas del mes de_35.pdf</v>
      </c>
      <c r="C36" s="2" t="str">
        <f>Cálculos!G36</f>
        <v>Urbanización Alborada 1-4 PH - Factura del Mes de Agosto de 2017 3 - 201 - Javier Restrepo Uribe.pdf</v>
      </c>
      <c r="D36" t="str">
        <f>Cálculos!H36</f>
        <v>C:\Users\USUARIO\Macros\FACTURAS Y LISTADOS\1130 - Urbanización Alborada 1-4 PH\Agosto de 2017\Urbanización Alborada 1-4 PH - Factura del Mes de Agosto de 2017 3 - 201 - Javier Restrepo Uribe.pdf</v>
      </c>
    </row>
    <row r="37" spans="1:4" x14ac:dyDescent="0.25">
      <c r="A37" t="str">
        <f>Base!A37</f>
        <v>C:\Users\USUARIO\Macros\FACTURAS Y LISTADOS\1130 - Urbanización Alborada 1-4 PH\Urbanización Alborada 1-4 PH - Facturas del mes de_36.pdf</v>
      </c>
      <c r="B37" t="str">
        <f>Base!D37</f>
        <v>Urbanización Alborada 1-4 PH - Facturas del mes de_36.pdf</v>
      </c>
      <c r="C37" s="2" t="str">
        <f>Cálculos!G37</f>
        <v>Urbanización Alborada 1-4 PH - Factura del Mes de Agosto de 2017 3 - 202 - ANGELA MARIA OCAMPO SARMIENTO.pdf</v>
      </c>
      <c r="D37" t="str">
        <f>Cálculos!H37</f>
        <v>C:\Users\USUARIO\Macros\FACTURAS Y LISTADOS\1130 - Urbanización Alborada 1-4 PH\Agosto de 2017\Urbanización Alborada 1-4 PH - Factura del Mes de Agosto de 2017 3 - 202 - ANGELA MARIA OCAMPO SARMIENTO.pdf</v>
      </c>
    </row>
    <row r="38" spans="1:4" x14ac:dyDescent="0.25">
      <c r="A38" t="str">
        <f>Base!A38</f>
        <v>C:\Users\USUARIO\Macros\FACTURAS Y LISTADOS\1130 - Urbanización Alborada 1-4 PH\Urbanización Alborada 1-4 PH - Facturas del mes de_37.pdf</v>
      </c>
      <c r="B38" t="str">
        <f>Base!D38</f>
        <v>Urbanización Alborada 1-4 PH - Facturas del mes de_37.pdf</v>
      </c>
      <c r="C38" s="2" t="str">
        <f>Cálculos!G38</f>
        <v>Urbanización Alborada 1-4 PH - Factura del Mes de Agosto de 2017 3 - 203 - LUZ ESTELLA OSPINA ECHAVARRIA.pdf</v>
      </c>
      <c r="D38" t="str">
        <f>Cálculos!H38</f>
        <v>C:\Users\USUARIO\Macros\FACTURAS Y LISTADOS\1130 - Urbanización Alborada 1-4 PH\Agosto de 2017\Urbanización Alborada 1-4 PH - Factura del Mes de Agosto de 2017 3 - 203 - LUZ ESTELLA OSPINA ECHAVARRIA.pdf</v>
      </c>
    </row>
    <row r="39" spans="1:4" x14ac:dyDescent="0.25">
      <c r="A39" t="str">
        <f>Base!A39</f>
        <v>C:\Users\USUARIO\Macros\FACTURAS Y LISTADOS\1130 - Urbanización Alborada 1-4 PH\Urbanización Alborada 1-4 PH - Facturas del mes de_38.pdf</v>
      </c>
      <c r="B39" t="str">
        <f>Base!D39</f>
        <v>Urbanización Alborada 1-4 PH - Facturas del mes de_38.pdf</v>
      </c>
      <c r="C39" s="2" t="str">
        <f>Cálculos!G39</f>
        <v>Urbanización Alborada 1-4 PH - Factura del Mes de Agosto de 2017 3 - 204 - BERNARDO GOMEZ HENAO.pdf</v>
      </c>
      <c r="D39" t="str">
        <f>Cálculos!H39</f>
        <v>C:\Users\USUARIO\Macros\FACTURAS Y LISTADOS\1130 - Urbanización Alborada 1-4 PH\Agosto de 2017\Urbanización Alborada 1-4 PH - Factura del Mes de Agosto de 2017 3 - 204 - BERNARDO GOMEZ HENAO.pdf</v>
      </c>
    </row>
    <row r="40" spans="1:4" x14ac:dyDescent="0.25">
      <c r="A40" t="str">
        <f>Base!A40</f>
        <v>C:\Users\USUARIO\Macros\FACTURAS Y LISTADOS\1130 - Urbanización Alborada 1-4 PH\Urbanización Alborada 1-4 PH - Facturas del mes de_39.pdf</v>
      </c>
      <c r="B40" t="str">
        <f>Base!D40</f>
        <v>Urbanización Alborada 1-4 PH - Facturas del mes de_39.pdf</v>
      </c>
      <c r="C40" s="2" t="str">
        <f>Cálculos!G40</f>
        <v>Urbanización Alborada 1-4 PH - Factura del Mes de Agosto de 2017 3 - 301 - ALBA JANNETH GONZALEZ.pdf</v>
      </c>
      <c r="D40" t="str">
        <f>Cálculos!H40</f>
        <v>C:\Users\USUARIO\Macros\FACTURAS Y LISTADOS\1130 - Urbanización Alborada 1-4 PH\Agosto de 2017\Urbanización Alborada 1-4 PH - Factura del Mes de Agosto de 2017 3 - 301 - ALBA JANNETH GONZALEZ.pdf</v>
      </c>
    </row>
    <row r="41" spans="1:4" x14ac:dyDescent="0.25">
      <c r="A41" t="str">
        <f>Base!A41</f>
        <v>C:\Users\USUARIO\Macros\FACTURAS Y LISTADOS\1130 - Urbanización Alborada 1-4 PH\Urbanización Alborada 1-4 PH - Facturas del mes de_40.pdf</v>
      </c>
      <c r="B41" t="str">
        <f>Base!D41</f>
        <v>Urbanización Alborada 1-4 PH - Facturas del mes de_40.pdf</v>
      </c>
      <c r="C41" s="2" t="str">
        <f>Cálculos!G41</f>
        <v>Urbanización Alborada 1-4 PH - Factura del Mes de Agosto de 2017 3 - 302 - MARIA DORALBA AGUIRRE.pdf</v>
      </c>
      <c r="D41" t="str">
        <f>Cálculos!H41</f>
        <v>C:\Users\USUARIO\Macros\FACTURAS Y LISTADOS\1130 - Urbanización Alborada 1-4 PH\Agosto de 2017\Urbanización Alborada 1-4 PH - Factura del Mes de Agosto de 2017 3 - 302 - MARIA DORALBA AGUIRRE.pdf</v>
      </c>
    </row>
    <row r="42" spans="1:4" x14ac:dyDescent="0.25">
      <c r="A42" t="str">
        <f>Base!A42</f>
        <v>C:\Users\USUARIO\Macros\FACTURAS Y LISTADOS\1130 - Urbanización Alborada 1-4 PH\Urbanización Alborada 1-4 PH - Facturas del mes de_41.pdf</v>
      </c>
      <c r="B42" t="str">
        <f>Base!D42</f>
        <v>Urbanización Alborada 1-4 PH - Facturas del mes de_41.pdf</v>
      </c>
      <c r="C42" s="2" t="str">
        <f>Cálculos!G42</f>
        <v>Urbanización Alborada 1-4 PH - Factura del Mes de Agosto de 2017 3 - 303 - DIANA PATRICIA ORREGO ZAPATA.pdf</v>
      </c>
      <c r="D42" t="str">
        <f>Cálculos!H42</f>
        <v>C:\Users\USUARIO\Macros\FACTURAS Y LISTADOS\1130 - Urbanización Alborada 1-4 PH\Agosto de 2017\Urbanización Alborada 1-4 PH - Factura del Mes de Agosto de 2017 3 - 303 - DIANA PATRICIA ORREGO ZAPATA.pdf</v>
      </c>
    </row>
    <row r="43" spans="1:4" x14ac:dyDescent="0.25">
      <c r="A43" t="str">
        <f>Base!A43</f>
        <v>C:\Users\USUARIO\Macros\FACTURAS Y LISTADOS\1130 - Urbanización Alborada 1-4 PH\Urbanización Alborada 1-4 PH - Facturas del mes de_42.pdf</v>
      </c>
      <c r="B43" t="str">
        <f>Base!D43</f>
        <v>Urbanización Alborada 1-4 PH - Facturas del mes de_42.pdf</v>
      </c>
      <c r="C43" s="2" t="str">
        <f>Cálculos!G43</f>
        <v>Urbanización Alborada 1-4 PH - Factura del Mes de Agosto de 2017 3 - 304 - FERNANDO ALBERTO MARIN MOLINA.pdf</v>
      </c>
      <c r="D43" t="str">
        <f>Cálculos!H43</f>
        <v>C:\Users\USUARIO\Macros\FACTURAS Y LISTADOS\1130 - Urbanización Alborada 1-4 PH\Agosto de 2017\Urbanización Alborada 1-4 PH - Factura del Mes de Agosto de 2017 3 - 304 - FERNANDO ALBERTO MARIN MOLINA.pdf</v>
      </c>
    </row>
    <row r="44" spans="1:4" x14ac:dyDescent="0.25">
      <c r="A44" t="str">
        <f>Base!A44</f>
        <v>C:\Users\USUARIO\Macros\FACTURAS Y LISTADOS\1130 - Urbanización Alborada 1-4 PH\Urbanización Alborada 1-4 PH - Facturas del mes de_43.pdf</v>
      </c>
      <c r="B44" t="str">
        <f>Base!D44</f>
        <v>Urbanización Alborada 1-4 PH - Facturas del mes de_43.pdf</v>
      </c>
      <c r="C44" s="2" t="str">
        <f>Cálculos!G44</f>
        <v>Urbanización Alborada 1-4 PH - Factura del Mes de Agosto de 2017 3 - 401 - ALVARO PORRAS.pdf</v>
      </c>
      <c r="D44" t="str">
        <f>Cálculos!H44</f>
        <v>C:\Users\USUARIO\Macros\FACTURAS Y LISTADOS\1130 - Urbanización Alborada 1-4 PH\Agosto de 2017\Urbanización Alborada 1-4 PH - Factura del Mes de Agosto de 2017 3 - 401 - ALVARO PORRAS.pdf</v>
      </c>
    </row>
    <row r="45" spans="1:4" x14ac:dyDescent="0.25">
      <c r="A45" t="str">
        <f>Base!A45</f>
        <v>C:\Users\USUARIO\Macros\FACTURAS Y LISTADOS\1130 - Urbanización Alborada 1-4 PH\Urbanización Alborada 1-4 PH - Facturas del mes de_44.pdf</v>
      </c>
      <c r="B45" t="str">
        <f>Base!D45</f>
        <v>Urbanización Alborada 1-4 PH - Facturas del mes de_44.pdf</v>
      </c>
      <c r="C45" s="2" t="str">
        <f>Cálculos!G45</f>
        <v>Urbanización Alborada 1-4 PH - Factura del Mes de Agosto de 2017 3 - 402 - HECTOR IVAN HERRERA MUNERA.pdf</v>
      </c>
      <c r="D45" t="str">
        <f>Cálculos!H45</f>
        <v>C:\Users\USUARIO\Macros\FACTURAS Y LISTADOS\1130 - Urbanización Alborada 1-4 PH\Agosto de 2017\Urbanización Alborada 1-4 PH - Factura del Mes de Agosto de 2017 3 - 402 - HECTOR IVAN HERRERA MUNERA.pdf</v>
      </c>
    </row>
    <row r="46" spans="1:4" x14ac:dyDescent="0.25">
      <c r="A46" t="str">
        <f>Base!A46</f>
        <v>C:\Users\USUARIO\Macros\FACTURAS Y LISTADOS\1130 - Urbanización Alborada 1-4 PH\Urbanización Alborada 1-4 PH - Facturas del mes de_45.pdf</v>
      </c>
      <c r="B46" t="str">
        <f>Base!D46</f>
        <v>Urbanización Alborada 1-4 PH - Facturas del mes de_45.pdf</v>
      </c>
      <c r="C46" s="2" t="str">
        <f>Cálculos!G46</f>
        <v>Urbanización Alborada 1-4 PH - Factura del Mes de Agosto de 2017 3 - 403 - ARTURO MARTINEZ GUTIERREZ.pdf</v>
      </c>
      <c r="D46" t="str">
        <f>Cálculos!H46</f>
        <v>C:\Users\USUARIO\Macros\FACTURAS Y LISTADOS\1130 - Urbanización Alborada 1-4 PH\Agosto de 2017\Urbanización Alborada 1-4 PH - Factura del Mes de Agosto de 2017 3 - 403 - ARTURO MARTINEZ GUTIERREZ.pdf</v>
      </c>
    </row>
    <row r="47" spans="1:4" x14ac:dyDescent="0.25">
      <c r="A47" t="str">
        <f>Base!A47</f>
        <v>C:\Users\USUARIO\Macros\FACTURAS Y LISTADOS\1130 - Urbanización Alborada 1-4 PH\Urbanización Alborada 1-4 PH - Facturas del mes de_46.pdf</v>
      </c>
      <c r="B47" t="str">
        <f>Base!D47</f>
        <v>Urbanización Alborada 1-4 PH - Facturas del mes de_46.pdf</v>
      </c>
      <c r="C47" s="2" t="str">
        <f>Cálculos!G47</f>
        <v>Urbanización Alborada 1-4 PH - Factura del Mes de Agosto de 2017 3 - 404 - FERNANDO PRADA.pdf</v>
      </c>
      <c r="D47" t="str">
        <f>Cálculos!H47</f>
        <v>C:\Users\USUARIO\Macros\FACTURAS Y LISTADOS\1130 - Urbanización Alborada 1-4 PH\Agosto de 2017\Urbanización Alborada 1-4 PH - Factura del Mes de Agosto de 2017 3 - 404 - FERNANDO PRADA.pdf</v>
      </c>
    </row>
    <row r="48" spans="1:4" x14ac:dyDescent="0.25">
      <c r="A48" t="str">
        <f>Base!A48</f>
        <v>C:\Users\USUARIO\Macros\FACTURAS Y LISTADOS\1130 - Urbanización Alborada 1-4 PH\Urbanización Alborada 1-4 PH - Facturas del mes de_47.pdf</v>
      </c>
      <c r="B48" t="str">
        <f>Base!D48</f>
        <v>Urbanización Alborada 1-4 PH - Facturas del mes de_47.pdf</v>
      </c>
      <c r="C48" s="2" t="str">
        <f>Cálculos!G48</f>
        <v>Urbanización Alborada 1-4 PH - Factura del Mes de Agosto de 2017 3 - 501 - RODRIGO HERRERA.pdf</v>
      </c>
      <c r="D48" t="str">
        <f>Cálculos!H48</f>
        <v>C:\Users\USUARIO\Macros\FACTURAS Y LISTADOS\1130 - Urbanización Alborada 1-4 PH\Agosto de 2017\Urbanización Alborada 1-4 PH - Factura del Mes de Agosto de 2017 3 - 501 - RODRIGO HERRERA.pdf</v>
      </c>
    </row>
    <row r="49" spans="1:4" x14ac:dyDescent="0.25">
      <c r="A49" t="str">
        <f>Base!A49</f>
        <v>C:\Users\USUARIO\Macros\FACTURAS Y LISTADOS\1130 - Urbanización Alborada 1-4 PH\Urbanización Alborada 1-4 PH - Facturas del mes de_48.pdf</v>
      </c>
      <c r="B49" t="str">
        <f>Base!D49</f>
        <v>Urbanización Alborada 1-4 PH - Facturas del mes de_48.pdf</v>
      </c>
      <c r="C49" s="2" t="str">
        <f>Cálculos!G49</f>
        <v>Urbanización Alborada 1-4 PH - Factura del Mes de Agosto de 2017 3 - 502 - SANDRA EUGENIA OLAYA.pdf</v>
      </c>
      <c r="D49" t="str">
        <f>Cálculos!H49</f>
        <v>C:\Users\USUARIO\Macros\FACTURAS Y LISTADOS\1130 - Urbanización Alborada 1-4 PH\Agosto de 2017\Urbanización Alborada 1-4 PH - Factura del Mes de Agosto de 2017 3 - 502 - SANDRA EUGENIA OLAYA.pdf</v>
      </c>
    </row>
    <row r="50" spans="1:4" x14ac:dyDescent="0.25">
      <c r="A50" t="str">
        <f>Base!A50</f>
        <v>C:\Users\USUARIO\Macros\FACTURAS Y LISTADOS\1130 - Urbanización Alborada 1-4 PH\Urbanización Alborada 1-4 PH - Facturas del mes de_49.pdf</v>
      </c>
      <c r="B50" t="str">
        <f>Base!D50</f>
        <v>Urbanización Alborada 1-4 PH - Facturas del mes de_49.pdf</v>
      </c>
      <c r="C50" s="2" t="str">
        <f>Cálculos!G50</f>
        <v>Urbanización Alborada 1-4 PH - Factura del Mes de Agosto de 2017 3 - 503 - MARIA JULIA GARZON TABARES.pdf</v>
      </c>
      <c r="D50" t="str">
        <f>Cálculos!H50</f>
        <v>C:\Users\USUARIO\Macros\FACTURAS Y LISTADOS\1130 - Urbanización Alborada 1-4 PH\Agosto de 2017\Urbanización Alborada 1-4 PH - Factura del Mes de Agosto de 2017 3 - 503 - MARIA JULIA GARZON TABARES.pdf</v>
      </c>
    </row>
    <row r="51" spans="1:4" x14ac:dyDescent="0.25">
      <c r="A51" t="str">
        <f>Base!A51</f>
        <v>C:\Users\USUARIO\Macros\FACTURAS Y LISTADOS\1130 - Urbanización Alborada 1-4 PH\Urbanización Alborada 1-4 PH - Facturas del mes de_50.pdf</v>
      </c>
      <c r="B51" t="str">
        <f>Base!D51</f>
        <v>Urbanización Alborada 1-4 PH - Facturas del mes de_50.pdf</v>
      </c>
      <c r="C51" s="2" t="str">
        <f>Cálculos!G51</f>
        <v>Urbanización Alborada 1-4 PH - Factura del Mes de Agosto de 2017 3 - 504 - HUMBERTO ECHEVERRY.pdf</v>
      </c>
      <c r="D51" t="str">
        <f>Cálculos!H51</f>
        <v>C:\Users\USUARIO\Macros\FACTURAS Y LISTADOS\1130 - Urbanización Alborada 1-4 PH\Agosto de 2017\Urbanización Alborada 1-4 PH - Factura del Mes de Agosto de 2017 3 - 504 - HUMBERTO ECHEVERRY.pdf</v>
      </c>
    </row>
    <row r="52" spans="1:4" x14ac:dyDescent="0.25">
      <c r="A52" t="str">
        <f>Base!A52</f>
        <v>C:\Users\USUARIO\Macros\FACTURAS Y LISTADOS\1130 - Urbanización Alborada 1-4 PH\Urbanización Alborada 1-4 PH - Facturas del mes de_51.pdf</v>
      </c>
      <c r="B52" t="str">
        <f>Base!D52</f>
        <v>Urbanización Alborada 1-4 PH - Facturas del mes de_51.pdf</v>
      </c>
      <c r="C52" s="2" t="str">
        <f>Cálculos!G52</f>
        <v>Urbanización Alborada 1-4 PH - Factura del Mes de Agosto de 2017 4 - 101 - GUSTAVO ADOLFO ECHEVERRI VELAS.pdf</v>
      </c>
      <c r="D52" t="str">
        <f>Cálculos!H52</f>
        <v>C:\Users\USUARIO\Macros\FACTURAS Y LISTADOS\1130 - Urbanización Alborada 1-4 PH\Agosto de 2017\Urbanización Alborada 1-4 PH - Factura del Mes de Agosto de 2017 4 - 101 - GUSTAVO ADOLFO ECHEVERRI VELAS.pdf</v>
      </c>
    </row>
    <row r="53" spans="1:4" x14ac:dyDescent="0.25">
      <c r="A53" t="str">
        <f>Base!A53</f>
        <v>C:\Users\USUARIO\Macros\FACTURAS Y LISTADOS\1130 - Urbanización Alborada 1-4 PH\Urbanización Alborada 1-4 PH - Facturas del mes de_52.pdf</v>
      </c>
      <c r="B53" t="str">
        <f>Base!D53</f>
        <v>Urbanización Alborada 1-4 PH - Facturas del mes de_52.pdf</v>
      </c>
      <c r="C53" s="2" t="str">
        <f>Cálculos!G53</f>
        <v>Urbanización Alborada 1-4 PH - Factura del Mes de Agosto de 2017 4 - 102 - GABRIEL ANGEL MONTOYA.pdf</v>
      </c>
      <c r="D53" t="str">
        <f>Cálculos!H53</f>
        <v>C:\Users\USUARIO\Macros\FACTURAS Y LISTADOS\1130 - Urbanización Alborada 1-4 PH\Agosto de 2017\Urbanización Alborada 1-4 PH - Factura del Mes de Agosto de 2017 4 - 102 - GABRIEL ANGEL MONTOYA.pdf</v>
      </c>
    </row>
    <row r="54" spans="1:4" x14ac:dyDescent="0.25">
      <c r="A54" t="str">
        <f>Base!A54</f>
        <v>C:\Users\USUARIO\Macros\FACTURAS Y LISTADOS\1130 - Urbanización Alborada 1-4 PH\Urbanización Alborada 1-4 PH - Facturas del mes de_53.pdf</v>
      </c>
      <c r="B54" t="str">
        <f>Base!D54</f>
        <v>Urbanización Alborada 1-4 PH - Facturas del mes de_53.pdf</v>
      </c>
      <c r="C54" s="2" t="str">
        <f>Cálculos!G54</f>
        <v>Urbanización Alborada 1-4 PH - Factura del Mes de Agosto de 2017 4 - 103 - MARTHA ELENA AGUDELO L.pdf</v>
      </c>
      <c r="D54" t="str">
        <f>Cálculos!H54</f>
        <v>C:\Users\USUARIO\Macros\FACTURAS Y LISTADOS\1130 - Urbanización Alborada 1-4 PH\Agosto de 2017\Urbanización Alborada 1-4 PH - Factura del Mes de Agosto de 2017 4 - 103 - MARTHA ELENA AGUDELO L.pdf</v>
      </c>
    </row>
    <row r="55" spans="1:4" x14ac:dyDescent="0.25">
      <c r="A55" t="str">
        <f>Base!A55</f>
        <v>C:\Users\USUARIO\Macros\FACTURAS Y LISTADOS\1130 - Urbanización Alborada 1-4 PH\Urbanización Alborada 1-4 PH - Facturas del mes de_54.pdf</v>
      </c>
      <c r="B55" t="str">
        <f>Base!D55</f>
        <v>Urbanización Alborada 1-4 PH - Facturas del mes de_54.pdf</v>
      </c>
      <c r="C55" s="2" t="str">
        <f>Cálculos!G55</f>
        <v>Urbanización Alborada 1-4 PH - Factura del Mes de Agosto de 2017 4 - 104 - JUAN PABLO ECHEVERRI VELASQUEZ.pdf</v>
      </c>
      <c r="D55" t="str">
        <f>Cálculos!H55</f>
        <v>C:\Users\USUARIO\Macros\FACTURAS Y LISTADOS\1130 - Urbanización Alborada 1-4 PH\Agosto de 2017\Urbanización Alborada 1-4 PH - Factura del Mes de Agosto de 2017 4 - 104 - JUAN PABLO ECHEVERRI VELASQUEZ.pdf</v>
      </c>
    </row>
    <row r="56" spans="1:4" x14ac:dyDescent="0.25">
      <c r="A56" t="str">
        <f>Base!A56</f>
        <v>C:\Users\USUARIO\Macros\FACTURAS Y LISTADOS\1130 - Urbanización Alborada 1-4 PH\Urbanización Alborada 1-4 PH - Facturas del mes de_55.pdf</v>
      </c>
      <c r="B56" t="str">
        <f>Base!D56</f>
        <v>Urbanización Alborada 1-4 PH - Facturas del mes de_55.pdf</v>
      </c>
      <c r="C56" s="2" t="str">
        <f>Cálculos!G56</f>
        <v>Urbanización Alborada 1-4 PH - Factura del Mes de Agosto de 2017 4 - 105 - HUGO DE JESUS OCHOA PULGARIN.pdf</v>
      </c>
      <c r="D56" t="str">
        <f>Cálculos!H56</f>
        <v>C:\Users\USUARIO\Macros\FACTURAS Y LISTADOS\1130 - Urbanización Alborada 1-4 PH\Agosto de 2017\Urbanización Alborada 1-4 PH - Factura del Mes de Agosto de 2017 4 - 105 - HUGO DE JESUS OCHOA PULGARIN.pdf</v>
      </c>
    </row>
    <row r="57" spans="1:4" x14ac:dyDescent="0.25">
      <c r="A57" t="str">
        <f>Base!A57</f>
        <v>C:\Users\USUARIO\Macros\FACTURAS Y LISTADOS\1130 - Urbanización Alborada 1-4 PH\Urbanización Alborada 1-4 PH - Facturas del mes de_56.pdf</v>
      </c>
      <c r="B57" t="str">
        <f>Base!D57</f>
        <v>Urbanización Alborada 1-4 PH - Facturas del mes de_56.pdf</v>
      </c>
      <c r="C57" s="2" t="str">
        <f>Cálculos!G57</f>
        <v>Urbanización Alborada 1-4 PH - Factura del Mes de Agosto de 2017 4 - 106 - Marcela Pelaez Mejia.pdf</v>
      </c>
      <c r="D57" t="str">
        <f>Cálculos!H57</f>
        <v>C:\Users\USUARIO\Macros\FACTURAS Y LISTADOS\1130 - Urbanización Alborada 1-4 PH\Agosto de 2017\Urbanización Alborada 1-4 PH - Factura del Mes de Agosto de 2017 4 - 106 - Marcela Pelaez Mejia.pdf</v>
      </c>
    </row>
    <row r="58" spans="1:4" x14ac:dyDescent="0.25">
      <c r="A58" t="str">
        <f>Base!A58</f>
        <v>C:\Users\USUARIO\Macros\FACTURAS Y LISTADOS\1130 - Urbanización Alborada 1-4 PH\Urbanización Alborada 1-4 PH - Facturas del mes de_57.pdf</v>
      </c>
      <c r="B58" t="str">
        <f>Base!D58</f>
        <v>Urbanización Alborada 1-4 PH - Facturas del mes de_57.pdf</v>
      </c>
      <c r="C58" s="2" t="str">
        <f>Cálculos!G58</f>
        <v>Urbanización Alborada 1-4 PH - Factura del Mes de Agosto de 2017 4 - 107 - JUAN RICARDO ARANGO GOMEZ.pdf</v>
      </c>
      <c r="D58" t="str">
        <f>Cálculos!H58</f>
        <v>C:\Users\USUARIO\Macros\FACTURAS Y LISTADOS\1130 - Urbanización Alborada 1-4 PH\Agosto de 2017\Urbanización Alborada 1-4 PH - Factura del Mes de Agosto de 2017 4 - 107 - JUAN RICARDO ARANGO GOMEZ.pdf</v>
      </c>
    </row>
    <row r="59" spans="1:4" x14ac:dyDescent="0.25">
      <c r="A59" t="str">
        <f>Base!A59</f>
        <v>C:\Users\USUARIO\Macros\FACTURAS Y LISTADOS\1130 - Urbanización Alborada 1-4 PH\Urbanización Alborada 1-4 PH - Facturas del mes de_58.pdf</v>
      </c>
      <c r="B59" t="str">
        <f>Base!D59</f>
        <v>Urbanización Alborada 1-4 PH - Facturas del mes de_58.pdf</v>
      </c>
      <c r="C59" s="2" t="str">
        <f>Cálculos!G59</f>
        <v>Urbanización Alborada 1-4 PH - Factura del Mes de Agosto de 2017 4 - 108 - JAIME ECHEVERRY VELASQUEZ.pdf</v>
      </c>
      <c r="D59" t="str">
        <f>Cálculos!H59</f>
        <v>C:\Users\USUARIO\Macros\FACTURAS Y LISTADOS\1130 - Urbanización Alborada 1-4 PH\Agosto de 2017\Urbanización Alborada 1-4 PH - Factura del Mes de Agosto de 2017 4 - 108 - JAIME ECHEVERRY VELASQUEZ.pdf</v>
      </c>
    </row>
    <row r="60" spans="1:4" x14ac:dyDescent="0.25">
      <c r="A60" t="str">
        <f>Base!A60</f>
        <v>C:\Users\USUARIO\Macros\FACTURAS Y LISTADOS\1130 - Urbanización Alborada 1-4 PH\Urbanización Alborada 1-4 PH - Facturas del mes de_59.pdf</v>
      </c>
      <c r="B60" t="str">
        <f>Base!D60</f>
        <v>Urbanización Alborada 1-4 PH - Facturas del mes de_59.pdf</v>
      </c>
      <c r="C60" s="2" t="str">
        <f>Cálculos!G60</f>
        <v>Urbanización Alborada 1-4 PH - Factura del Mes de Agosto de 2017 4 - 201 - LUIS JAVIER VALLEJO ZULUAGA.pdf</v>
      </c>
      <c r="D60" t="str">
        <f>Cálculos!H60</f>
        <v>C:\Users\USUARIO\Macros\FACTURAS Y LISTADOS\1130 - Urbanización Alborada 1-4 PH\Agosto de 2017\Urbanización Alborada 1-4 PH - Factura del Mes de Agosto de 2017 4 - 201 - LUIS JAVIER VALLEJO ZULUAGA.pdf</v>
      </c>
    </row>
    <row r="61" spans="1:4" x14ac:dyDescent="0.25">
      <c r="A61" t="str">
        <f>Base!A61</f>
        <v>C:\Users\USUARIO\Macros\FACTURAS Y LISTADOS\1130 - Urbanización Alborada 1-4 PH\Urbanización Alborada 1-4 PH - Facturas del mes de_60.pdf</v>
      </c>
      <c r="B61" t="str">
        <f>Base!D61</f>
        <v>Urbanización Alborada 1-4 PH - Facturas del mes de_60.pdf</v>
      </c>
      <c r="C61" s="2" t="str">
        <f>Cálculos!G61</f>
        <v>Urbanización Alborada 1-4 PH - Factura del Mes de Agosto de 2017 4 - 202 - MARIA BELARMINA SILVA LONDOÑO.pdf</v>
      </c>
      <c r="D61" t="str">
        <f>Cálculos!H61</f>
        <v>C:\Users\USUARIO\Macros\FACTURAS Y LISTADOS\1130 - Urbanización Alborada 1-4 PH\Agosto de 2017\Urbanización Alborada 1-4 PH - Factura del Mes de Agosto de 2017 4 - 202 - MARIA BELARMINA SILVA LONDOÑO.pdf</v>
      </c>
    </row>
    <row r="62" spans="1:4" x14ac:dyDescent="0.25">
      <c r="A62" t="str">
        <f>Base!A62</f>
        <v>C:\Users\USUARIO\Macros\FACTURAS Y LISTADOS\1130 - Urbanización Alborada 1-4 PH\Urbanización Alborada 1-4 PH - Facturas del mes de_61.pdf</v>
      </c>
      <c r="B62" t="str">
        <f>Base!D62</f>
        <v>Urbanización Alborada 1-4 PH - Facturas del mes de_61.pdf</v>
      </c>
      <c r="C62" s="2" t="str">
        <f>Cálculos!G62</f>
        <v>Urbanización Alborada 1-4 PH - Factura del Mes de Agosto de 2017 4 - 203 - CARLOS EFREN MONTOYA RAMIREZ.pdf</v>
      </c>
      <c r="D62" t="str">
        <f>Cálculos!H62</f>
        <v>C:\Users\USUARIO\Macros\FACTURAS Y LISTADOS\1130 - Urbanización Alborada 1-4 PH\Agosto de 2017\Urbanización Alborada 1-4 PH - Factura del Mes de Agosto de 2017 4 - 203 - CARLOS EFREN MONTOYA RAMIREZ.pdf</v>
      </c>
    </row>
    <row r="63" spans="1:4" x14ac:dyDescent="0.25">
      <c r="A63" t="str">
        <f>Base!A63</f>
        <v>C:\Users\USUARIO\Macros\FACTURAS Y LISTADOS\1130 - Urbanización Alborada 1-4 PH\Urbanización Alborada 1-4 PH - Facturas del mes de_62.pdf</v>
      </c>
      <c r="B63" t="str">
        <f>Base!D63</f>
        <v>Urbanización Alborada 1-4 PH - Facturas del mes de_62.pdf</v>
      </c>
      <c r="C63" s="2" t="str">
        <f>Cálculos!G63</f>
        <v>Urbanización Alborada 1-4 PH - Factura del Mes de Agosto de 2017 4 - 204 - AUGUSTO BEDOYA ANGEL.pdf</v>
      </c>
      <c r="D63" t="str">
        <f>Cálculos!H63</f>
        <v>C:\Users\USUARIO\Macros\FACTURAS Y LISTADOS\1130 - Urbanización Alborada 1-4 PH\Agosto de 2017\Urbanización Alborada 1-4 PH - Factura del Mes de Agosto de 2017 4 - 204 - AUGUSTO BEDOYA ANGEL.pdf</v>
      </c>
    </row>
    <row r="64" spans="1:4" x14ac:dyDescent="0.25">
      <c r="A64" t="str">
        <f>Base!A64</f>
        <v>C:\Users\USUARIO\Macros\FACTURAS Y LISTADOS\1130 - Urbanización Alborada 1-4 PH\Urbanización Alborada 1-4 PH - Facturas del mes de_63.pdf</v>
      </c>
      <c r="B64" t="str">
        <f>Base!D64</f>
        <v>Urbanización Alborada 1-4 PH - Facturas del mes de_63.pdf</v>
      </c>
      <c r="C64" s="2" t="str">
        <f>Cálculos!G64</f>
        <v>Urbanización Alborada 1-4 PH - Factura del Mes de Agosto de 2017 4 - 205 - JOHN JAIRO GALLON R.pdf</v>
      </c>
      <c r="D64" t="str">
        <f>Cálculos!H64</f>
        <v>C:\Users\USUARIO\Macros\FACTURAS Y LISTADOS\1130 - Urbanización Alborada 1-4 PH\Agosto de 2017\Urbanización Alborada 1-4 PH - Factura del Mes de Agosto de 2017 4 - 205 - JOHN JAIRO GALLON R.pdf</v>
      </c>
    </row>
    <row r="65" spans="1:4" x14ac:dyDescent="0.25">
      <c r="A65" t="str">
        <f>Base!A65</f>
        <v>C:\Users\USUARIO\Macros\FACTURAS Y LISTADOS\1130 - Urbanización Alborada 1-4 PH\Urbanización Alborada 1-4 PH - Facturas del mes de_64.pdf</v>
      </c>
      <c r="B65" t="str">
        <f>Base!D65</f>
        <v>Urbanización Alborada 1-4 PH - Facturas del mes de_64.pdf</v>
      </c>
      <c r="C65" s="2" t="str">
        <f>Cálculos!G65</f>
        <v>Urbanización Alborada 1-4 PH - Factura del Mes de Agosto de 2017 4 - 206 - LUZ ELENA MEJIA OSORIO.pdf</v>
      </c>
      <c r="D65" t="str">
        <f>Cálculos!H65</f>
        <v>C:\Users\USUARIO\Macros\FACTURAS Y LISTADOS\1130 - Urbanización Alborada 1-4 PH\Agosto de 2017\Urbanización Alborada 1-4 PH - Factura del Mes de Agosto de 2017 4 - 206 - LUZ ELENA MEJIA OSORIO.pdf</v>
      </c>
    </row>
    <row r="66" spans="1:4" x14ac:dyDescent="0.25">
      <c r="A66" t="str">
        <f>Base!A66</f>
        <v>C:\Users\USUARIO\Macros\FACTURAS Y LISTADOS\1130 - Urbanización Alborada 1-4 PH\Urbanización Alborada 1-4 PH - Facturas del mes de_65.pdf</v>
      </c>
      <c r="B66" t="str">
        <f>Base!D66</f>
        <v>Urbanización Alborada 1-4 PH - Facturas del mes de_65.pdf</v>
      </c>
      <c r="C66" s="2" t="str">
        <f>Cálculos!G66</f>
        <v>Urbanización Alborada 1-4 PH - Factura del Mes de Agosto de 2017 4 - 207 - MARIA GILMA MONSALVE DE VELEZ.pdf</v>
      </c>
      <c r="D66" t="str">
        <f>Cálculos!H66</f>
        <v>C:\Users\USUARIO\Macros\FACTURAS Y LISTADOS\1130 - Urbanización Alborada 1-4 PH\Agosto de 2017\Urbanización Alborada 1-4 PH - Factura del Mes de Agosto de 2017 4 - 207 - MARIA GILMA MONSALVE DE VELEZ.pdf</v>
      </c>
    </row>
    <row r="67" spans="1:4" x14ac:dyDescent="0.25">
      <c r="A67" t="str">
        <f>Base!A67</f>
        <v>C:\Users\USUARIO\Macros\FACTURAS Y LISTADOS\1130 - Urbanización Alborada 1-4 PH\Urbanización Alborada 1-4 PH - Facturas del mes de_66.pdf</v>
      </c>
      <c r="B67" t="str">
        <f>Base!D67</f>
        <v>Urbanización Alborada 1-4 PH - Facturas del mes de_66.pdf</v>
      </c>
      <c r="C67" s="2" t="str">
        <f>Cálculos!G67</f>
        <v>Urbanización Alborada 1-4 PH - Factura del Mes de Agosto de 2017 4 - 208 - LUIS HUMBERTO MOSCOSO.pdf</v>
      </c>
      <c r="D67" t="str">
        <f>Cálculos!H67</f>
        <v>C:\Users\USUARIO\Macros\FACTURAS Y LISTADOS\1130 - Urbanización Alborada 1-4 PH\Agosto de 2017\Urbanización Alborada 1-4 PH - Factura del Mes de Agosto de 2017 4 - 208 - LUIS HUMBERTO MOSCOSO.pdf</v>
      </c>
    </row>
    <row r="68" spans="1:4" x14ac:dyDescent="0.25">
      <c r="A68" t="str">
        <f>Base!A68</f>
        <v>C:\Users\USUARIO\Macros\FACTURAS Y LISTADOS\1130 - Urbanización Alborada 1-4 PH\Urbanización Alborada 1-4 PH - Facturas del mes de_67.pdf</v>
      </c>
      <c r="B68" t="str">
        <f>Base!D68</f>
        <v>Urbanización Alborada 1-4 PH - Facturas del mes de_67.pdf</v>
      </c>
      <c r="C68" s="2" t="str">
        <f>Cálculos!G68</f>
        <v>Urbanización Alborada 1-4 PH - Factura del Mes de Agosto de 2017 4 - 301 - CELMIRA DEL SOCORRO TOBON VELA.pdf</v>
      </c>
      <c r="D68" t="str">
        <f>Cálculos!H68</f>
        <v>C:\Users\USUARIO\Macros\FACTURAS Y LISTADOS\1130 - Urbanización Alborada 1-4 PH\Agosto de 2017\Urbanización Alborada 1-4 PH - Factura del Mes de Agosto de 2017 4 - 301 - CELMIRA DEL SOCORRO TOBON VELA.pdf</v>
      </c>
    </row>
    <row r="69" spans="1:4" x14ac:dyDescent="0.25">
      <c r="A69" t="str">
        <f>Base!A69</f>
        <v>C:\Users\USUARIO\Macros\FACTURAS Y LISTADOS\1130 - Urbanización Alborada 1-4 PH\Urbanización Alborada 1-4 PH - Facturas del mes de_68.pdf</v>
      </c>
      <c r="B69" t="str">
        <f>Base!D69</f>
        <v>Urbanización Alborada 1-4 PH - Facturas del mes de_68.pdf</v>
      </c>
      <c r="C69" s="2" t="str">
        <f>Cálculos!G69</f>
        <v>Urbanización Alborada 1-4 PH - Factura del Mes de Agosto de 2017 4 - 302 - CARLOS MARIO ARANGO PUERTA.pdf</v>
      </c>
      <c r="D69" t="str">
        <f>Cálculos!H69</f>
        <v>C:\Users\USUARIO\Macros\FACTURAS Y LISTADOS\1130 - Urbanización Alborada 1-4 PH\Agosto de 2017\Urbanización Alborada 1-4 PH - Factura del Mes de Agosto de 2017 4 - 302 - CARLOS MARIO ARANGO PUERTA.pdf</v>
      </c>
    </row>
    <row r="70" spans="1:4" x14ac:dyDescent="0.25">
      <c r="A70" t="str">
        <f>Base!A70</f>
        <v>C:\Users\USUARIO\Macros\FACTURAS Y LISTADOS\1130 - Urbanización Alborada 1-4 PH\Urbanización Alborada 1-4 PH - Facturas del mes de_69.pdf</v>
      </c>
      <c r="B70" t="str">
        <f>Base!D70</f>
        <v>Urbanización Alborada 1-4 PH - Facturas del mes de_69.pdf</v>
      </c>
      <c r="C70" s="2" t="str">
        <f>Cálculos!G70</f>
        <v>Urbanización Alborada 1-4 PH - Factura del Mes de Agosto de 2017 4 - 303 - ANA ABIGAIL LOPEZ ORTIZ.pdf</v>
      </c>
      <c r="D70" t="str">
        <f>Cálculos!H70</f>
        <v>C:\Users\USUARIO\Macros\FACTURAS Y LISTADOS\1130 - Urbanización Alborada 1-4 PH\Agosto de 2017\Urbanización Alborada 1-4 PH - Factura del Mes de Agosto de 2017 4 - 303 - ANA ABIGAIL LOPEZ ORTIZ.pdf</v>
      </c>
    </row>
    <row r="71" spans="1:4" x14ac:dyDescent="0.25">
      <c r="A71" t="str">
        <f>Base!A71</f>
        <v>C:\Users\USUARIO\Macros\FACTURAS Y LISTADOS\1130 - Urbanización Alborada 1-4 PH\Urbanización Alborada 1-4 PH - Facturas del mes de_70.pdf</v>
      </c>
      <c r="B71" t="str">
        <f>Base!D71</f>
        <v>Urbanización Alborada 1-4 PH - Facturas del mes de_70.pdf</v>
      </c>
      <c r="C71" s="2" t="str">
        <f>Cálculos!G71</f>
        <v>Urbanización Alborada 1-4 PH - Factura del Mes de Agosto de 2017 4 - 304 - SILVIO ANGEL.pdf</v>
      </c>
      <c r="D71" t="str">
        <f>Cálculos!H71</f>
        <v>C:\Users\USUARIO\Macros\FACTURAS Y LISTADOS\1130 - Urbanización Alborada 1-4 PH\Agosto de 2017\Urbanización Alborada 1-4 PH - Factura del Mes de Agosto de 2017 4 - 304 - SILVIO ANGEL.pdf</v>
      </c>
    </row>
    <row r="72" spans="1:4" x14ac:dyDescent="0.25">
      <c r="A72" t="str">
        <f>Base!A72</f>
        <v>C:\Users\USUARIO\Macros\FACTURAS Y LISTADOS\1130 - Urbanización Alborada 1-4 PH\Urbanización Alborada 1-4 PH - Facturas del mes de_71.pdf</v>
      </c>
      <c r="B72" t="str">
        <f>Base!D72</f>
        <v>Urbanización Alborada 1-4 PH - Facturas del mes de_71.pdf</v>
      </c>
      <c r="C72" s="2" t="str">
        <f>Cálculos!G72</f>
        <v>Urbanización Alborada 1-4 PH - Factura del Mes de Agosto de 2017 4 - 305 - ANDRES ALBERTO RODRIGUEZ E.pdf</v>
      </c>
      <c r="D72" t="str">
        <f>Cálculos!H72</f>
        <v>C:\Users\USUARIO\Macros\FACTURAS Y LISTADOS\1130 - Urbanización Alborada 1-4 PH\Agosto de 2017\Urbanización Alborada 1-4 PH - Factura del Mes de Agosto de 2017 4 - 305 - ANDRES ALBERTO RODRIGUEZ E.pdf</v>
      </c>
    </row>
    <row r="73" spans="1:4" x14ac:dyDescent="0.25">
      <c r="A73" t="str">
        <f>Base!A73</f>
        <v>C:\Users\USUARIO\Macros\FACTURAS Y LISTADOS\1130 - Urbanización Alborada 1-4 PH\Urbanización Alborada 1-4 PH - Facturas del mes de_72.pdf</v>
      </c>
      <c r="B73" t="str">
        <f>Base!D73</f>
        <v>Urbanización Alborada 1-4 PH - Facturas del mes de_72.pdf</v>
      </c>
      <c r="C73" s="2" t="str">
        <f>Cálculos!G73</f>
        <v>Urbanización Alborada 1-4 PH - Factura del Mes de Agosto de 2017 4 - 306 - MARTHA LUCIA MOLINA GIRALDO.pdf</v>
      </c>
      <c r="D73" t="str">
        <f>Cálculos!H73</f>
        <v>C:\Users\USUARIO\Macros\FACTURAS Y LISTADOS\1130 - Urbanización Alborada 1-4 PH\Agosto de 2017\Urbanización Alborada 1-4 PH - Factura del Mes de Agosto de 2017 4 - 306 - MARTHA LUCIA MOLINA GIRALDO.pdf</v>
      </c>
    </row>
    <row r="74" spans="1:4" x14ac:dyDescent="0.25">
      <c r="A74" t="str">
        <f>Base!A74</f>
        <v>C:\Users\USUARIO\Macros\FACTURAS Y LISTADOS\1130 - Urbanización Alborada 1-4 PH\Urbanización Alborada 1-4 PH - Facturas del mes de_73.pdf</v>
      </c>
      <c r="B74" t="str">
        <f>Base!D74</f>
        <v>Urbanización Alborada 1-4 PH - Facturas del mes de_73.pdf</v>
      </c>
      <c r="C74" s="2" t="str">
        <f>Cálculos!G74</f>
        <v>Urbanización Alborada 1-4 PH - Factura del Mes de Agosto de 2017 4 - 307 - DEISY ALEXANDRA ARROYAVE.pdf</v>
      </c>
      <c r="D74" t="str">
        <f>Cálculos!H74</f>
        <v>C:\Users\USUARIO\Macros\FACTURAS Y LISTADOS\1130 - Urbanización Alborada 1-4 PH\Agosto de 2017\Urbanización Alborada 1-4 PH - Factura del Mes de Agosto de 2017 4 - 307 - DEISY ALEXANDRA ARROYAVE.pdf</v>
      </c>
    </row>
    <row r="75" spans="1:4" x14ac:dyDescent="0.25">
      <c r="A75" t="str">
        <f>Base!A75</f>
        <v>C:\Users\USUARIO\Macros\FACTURAS Y LISTADOS\1130 - Urbanización Alborada 1-4 PH\Urbanización Alborada 1-4 PH - Facturas del mes de_74.pdf</v>
      </c>
      <c r="B75" t="str">
        <f>Base!D75</f>
        <v>Urbanización Alborada 1-4 PH - Facturas del mes de_74.pdf</v>
      </c>
      <c r="C75" s="2" t="str">
        <f>Cálculos!G75</f>
        <v>Urbanización Alborada 1-4 PH - Factura del Mes de Agosto de 2017 4 - 308 - MARIA TERESA CANO.pdf</v>
      </c>
      <c r="D75" t="str">
        <f>Cálculos!H75</f>
        <v>C:\Users\USUARIO\Macros\FACTURAS Y LISTADOS\1130 - Urbanización Alborada 1-4 PH\Agosto de 2017\Urbanización Alborada 1-4 PH - Factura del Mes de Agosto de 2017 4 - 308 - MARIA TERESA CANO.pdf</v>
      </c>
    </row>
    <row r="76" spans="1:4" x14ac:dyDescent="0.25">
      <c r="A76" t="str">
        <f>Base!A76</f>
        <v>C:\Users\USUARIO\Macros\FACTURAS Y LISTADOS\1130 - Urbanización Alborada 1-4 PH\Urbanización Alborada 1-4 PH - Facturas del mes de_75.pdf</v>
      </c>
      <c r="B76" t="str">
        <f>Base!D76</f>
        <v>Urbanización Alborada 1-4 PH - Facturas del mes de_75.pdf</v>
      </c>
      <c r="C76" s="2" t="str">
        <f>Cálculos!G76</f>
        <v>Urbanización Alborada 1-4 PH - Factura del Mes de Agosto de 2017 4 - 401 - MARIA HERRERA.pdf</v>
      </c>
      <c r="D76" t="str">
        <f>Cálculos!H76</f>
        <v>C:\Users\USUARIO\Macros\FACTURAS Y LISTADOS\1130 - Urbanización Alborada 1-4 PH\Agosto de 2017\Urbanización Alborada 1-4 PH - Factura del Mes de Agosto de 2017 4 - 401 - MARIA HERRERA.pdf</v>
      </c>
    </row>
    <row r="77" spans="1:4" x14ac:dyDescent="0.25">
      <c r="A77" t="str">
        <f>Base!A77</f>
        <v>C:\Users\USUARIO\Macros\FACTURAS Y LISTADOS\1130 - Urbanización Alborada 1-4 PH\Urbanización Alborada 1-4 PH - Facturas del mes de_76.pdf</v>
      </c>
      <c r="B77" t="str">
        <f>Base!D77</f>
        <v>Urbanización Alborada 1-4 PH - Facturas del mes de_76.pdf</v>
      </c>
      <c r="C77" s="2" t="str">
        <f>Cálculos!G77</f>
        <v>Urbanización Alborada 1-4 PH - Factura del Mes de Agosto de 2017 4 - 402 - VICTORIA EUGENIA BOHORQUEZ HEN.pdf</v>
      </c>
      <c r="D77" t="str">
        <f>Cálculos!H77</f>
        <v>C:\Users\USUARIO\Macros\FACTURAS Y LISTADOS\1130 - Urbanización Alborada 1-4 PH\Agosto de 2017\Urbanización Alborada 1-4 PH - Factura del Mes de Agosto de 2017 4 - 402 - VICTORIA EUGENIA BOHORQUEZ HEN.pdf</v>
      </c>
    </row>
    <row r="78" spans="1:4" x14ac:dyDescent="0.25">
      <c r="A78" t="str">
        <f>Base!A78</f>
        <v>C:\Users\USUARIO\Macros\FACTURAS Y LISTADOS\1130 - Urbanización Alborada 1-4 PH\Urbanización Alborada 1-4 PH - Facturas del mes de_77.pdf</v>
      </c>
      <c r="B78" t="str">
        <f>Base!D78</f>
        <v>Urbanización Alborada 1-4 PH - Facturas del mes de_77.pdf</v>
      </c>
      <c r="C78" s="2" t="str">
        <f>Cálculos!G78</f>
        <v>Urbanización Alborada 1-4 PH - Factura del Mes de Agosto de 2017 4 - 403 - JOHN WILLIAM OCHOA.pdf</v>
      </c>
      <c r="D78" t="str">
        <f>Cálculos!H78</f>
        <v>C:\Users\USUARIO\Macros\FACTURAS Y LISTADOS\1130 - Urbanización Alborada 1-4 PH\Agosto de 2017\Urbanización Alborada 1-4 PH - Factura del Mes de Agosto de 2017 4 - 403 - JOHN WILLIAM OCHOA.pdf</v>
      </c>
    </row>
    <row r="79" spans="1:4" x14ac:dyDescent="0.25">
      <c r="A79" t="str">
        <f>Base!A79</f>
        <v>C:\Users\USUARIO\Macros\FACTURAS Y LISTADOS\1130 - Urbanización Alborada 1-4 PH\Urbanización Alborada 1-4 PH - Facturas del mes de_78.pdf</v>
      </c>
      <c r="B79" t="str">
        <f>Base!D79</f>
        <v>Urbanización Alborada 1-4 PH - Facturas del mes de_78.pdf</v>
      </c>
      <c r="C79" s="2" t="str">
        <f>Cálculos!G79</f>
        <v>Urbanización Alborada 1-4 PH - Factura del Mes de Agosto de 2017 4 - 404 - LEON HUMBERTO ALVAREZ MESA.pdf</v>
      </c>
      <c r="D79" t="str">
        <f>Cálculos!H79</f>
        <v>C:\Users\USUARIO\Macros\FACTURAS Y LISTADOS\1130 - Urbanización Alborada 1-4 PH\Agosto de 2017\Urbanización Alborada 1-4 PH - Factura del Mes de Agosto de 2017 4 - 404 - LEON HUMBERTO ALVAREZ MESA.pdf</v>
      </c>
    </row>
    <row r="80" spans="1:4" x14ac:dyDescent="0.25">
      <c r="A80" t="str">
        <f>Base!A80</f>
        <v>C:\Users\USUARIO\Macros\FACTURAS Y LISTADOS\1130 - Urbanización Alborada 1-4 PH\Urbanización Alborada 1-4 PH - Facturas del mes de_79.pdf</v>
      </c>
      <c r="B80" t="str">
        <f>Base!D80</f>
        <v>Urbanización Alborada 1-4 PH - Facturas del mes de_79.pdf</v>
      </c>
      <c r="C80" s="2" t="str">
        <f>Cálculos!G80</f>
        <v>Urbanización Alborada 1-4 PH - Factura del Mes de Agosto de 2017 4 - 405 - JORGE ALBERTO ARCILA Q.pdf</v>
      </c>
      <c r="D80" t="str">
        <f>Cálculos!H80</f>
        <v>C:\Users\USUARIO\Macros\FACTURAS Y LISTADOS\1130 - Urbanización Alborada 1-4 PH\Agosto de 2017\Urbanización Alborada 1-4 PH - Factura del Mes de Agosto de 2017 4 - 405 - JORGE ALBERTO ARCILA Q.pdf</v>
      </c>
    </row>
    <row r="81" spans="1:4" x14ac:dyDescent="0.25">
      <c r="A81" t="str">
        <f>Base!A81</f>
        <v>C:\Users\USUARIO\Macros\FACTURAS Y LISTADOS\1130 - Urbanización Alborada 1-4 PH\Urbanización Alborada 1-4 PH - Facturas del mes de_80.pdf</v>
      </c>
      <c r="B81" t="str">
        <f>Base!D81</f>
        <v>Urbanización Alborada 1-4 PH - Facturas del mes de_80.pdf</v>
      </c>
      <c r="C81" s="2" t="str">
        <f>Cálculos!G81</f>
        <v>Urbanización Alborada 1-4 PH - Factura del Mes de Agosto de 2017 4 - 406 - MARTA MARINA MONTOYA ESTACIO.pdf</v>
      </c>
      <c r="D81" t="str">
        <f>Cálculos!H81</f>
        <v>C:\Users\USUARIO\Macros\FACTURAS Y LISTADOS\1130 - Urbanización Alborada 1-4 PH\Agosto de 2017\Urbanización Alborada 1-4 PH - Factura del Mes de Agosto de 2017 4 - 406 - MARTA MARINA MONTOYA ESTACIO.pdf</v>
      </c>
    </row>
    <row r="82" spans="1:4" x14ac:dyDescent="0.25">
      <c r="A82" t="str">
        <f>Base!A82</f>
        <v>C:\Users\USUARIO\Macros\FACTURAS Y LISTADOS\1130 - Urbanización Alborada 1-4 PH\Urbanización Alborada 1-4 PH - Facturas del mes de_81.pdf</v>
      </c>
      <c r="B82" t="str">
        <f>Base!D82</f>
        <v>Urbanización Alborada 1-4 PH - Facturas del mes de_81.pdf</v>
      </c>
      <c r="C82" s="2" t="str">
        <f>Cálculos!G82</f>
        <v>Urbanización Alborada 1-4 PH - Factura del Mes de Agosto de 2017 4 - 407 - JOSE DARIO ALVAREZ VARGAS.pdf</v>
      </c>
      <c r="D82" t="str">
        <f>Cálculos!H82</f>
        <v>C:\Users\USUARIO\Macros\FACTURAS Y LISTADOS\1130 - Urbanización Alborada 1-4 PH\Agosto de 2017\Urbanización Alborada 1-4 PH - Factura del Mes de Agosto de 2017 4 - 407 - JOSE DARIO ALVAREZ VARGAS.pdf</v>
      </c>
    </row>
    <row r="83" spans="1:4" x14ac:dyDescent="0.25">
      <c r="A83" t="str">
        <f>Base!A83</f>
        <v>C:\Users\USUARIO\Macros\FACTURAS Y LISTADOS\1130 - Urbanización Alborada 1-4 PH\Urbanización Alborada 1-4 PH - Facturas del mes de_82.pdf</v>
      </c>
      <c r="B83" t="str">
        <f>Base!D83</f>
        <v>Urbanización Alborada 1-4 PH - Facturas del mes de_82.pdf</v>
      </c>
      <c r="C83" s="2" t="str">
        <f>Cálculos!G83</f>
        <v>Urbanización Alborada 1-4 PH - Factura del Mes de Agosto de 2017 4 - 408 - MAURICIO RIOS RENDON.pdf</v>
      </c>
      <c r="D83" t="str">
        <f>Cálculos!H83</f>
        <v>C:\Users\USUARIO\Macros\FACTURAS Y LISTADOS\1130 - Urbanización Alborada 1-4 PH\Agosto de 2017\Urbanización Alborada 1-4 PH - Factura del Mes de Agosto de 2017 4 - 408 - MAURICIO RIOS RENDON.pdf</v>
      </c>
    </row>
    <row r="84" spans="1:4" x14ac:dyDescent="0.25">
      <c r="A84" t="str">
        <f>Base!A84</f>
        <v>C:\Users\USUARIO\Macros\FACTURAS Y LISTADOS\1130 - Urbanización Alborada 1-4 PH\Urbanización Alborada 1-4 PH - Facturas del mes de_83.pdf</v>
      </c>
      <c r="B84" t="str">
        <f>Base!D84</f>
        <v>Urbanización Alborada 1-4 PH - Facturas del mes de_83.pdf</v>
      </c>
      <c r="C84" s="2" t="str">
        <f>Cálculos!G84</f>
        <v>Urbanización Alborada 1-4 PH - Factura del Mes de Agosto de 2017 4 - 501 - Nelson Escudero.pdf</v>
      </c>
      <c r="D84" t="str">
        <f>Cálculos!H84</f>
        <v>C:\Users\USUARIO\Macros\FACTURAS Y LISTADOS\1130 - Urbanización Alborada 1-4 PH\Agosto de 2017\Urbanización Alborada 1-4 PH - Factura del Mes de Agosto de 2017 4 - 501 - Nelson Escudero.pdf</v>
      </c>
    </row>
    <row r="85" spans="1:4" x14ac:dyDescent="0.25">
      <c r="A85" t="str">
        <f>Base!A85</f>
        <v>C:\Users\USUARIO\Macros\FACTURAS Y LISTADOS\1130 - Urbanización Alborada 1-4 PH\Urbanización Alborada 1-4 PH - Facturas del mes de_84.pdf</v>
      </c>
      <c r="B85" t="str">
        <f>Base!D85</f>
        <v>Urbanización Alborada 1-4 PH - Facturas del mes de_84.pdf</v>
      </c>
      <c r="C85" s="2" t="str">
        <f>Cálculos!G85</f>
        <v>Urbanización Alborada 1-4 PH - Factura del Mes de Agosto de 2017 4 - 502 - JUAN PABLO RESTREPO OSORIO.pdf</v>
      </c>
      <c r="D85" t="str">
        <f>Cálculos!H85</f>
        <v>C:\Users\USUARIO\Macros\FACTURAS Y LISTADOS\1130 - Urbanización Alborada 1-4 PH\Agosto de 2017\Urbanización Alborada 1-4 PH - Factura del Mes de Agosto de 2017 4 - 502 - JUAN PABLO RESTREPO OSORIO.pdf</v>
      </c>
    </row>
    <row r="86" spans="1:4" x14ac:dyDescent="0.25">
      <c r="A86" t="str">
        <f>Base!A86</f>
        <v>C:\Users\USUARIO\Macros\FACTURAS Y LISTADOS\1130 - Urbanización Alborada 1-4 PH\Urbanización Alborada 1-4 PH - Facturas del mes de_85.pdf</v>
      </c>
      <c r="B86" t="str">
        <f>Base!D86</f>
        <v>Urbanización Alborada 1-4 PH - Facturas del mes de_85.pdf</v>
      </c>
      <c r="C86" s="2" t="str">
        <f>Cálculos!G86</f>
        <v>Urbanización Alborada 1-4 PH - Factura del Mes de Agosto de 2017 4 - 503 - MARTHA ELENA GUTIERREZ PALACIO.pdf</v>
      </c>
      <c r="D86" t="str">
        <f>Cálculos!H86</f>
        <v>C:\Users\USUARIO\Macros\FACTURAS Y LISTADOS\1130 - Urbanización Alborada 1-4 PH\Agosto de 2017\Urbanización Alborada 1-4 PH - Factura del Mes de Agosto de 2017 4 - 503 - MARTHA ELENA GUTIERREZ PALACIO.pdf</v>
      </c>
    </row>
    <row r="87" spans="1:4" x14ac:dyDescent="0.25">
      <c r="A87" t="str">
        <f>Base!A87</f>
        <v>C:\Users\USUARIO\Macros\FACTURAS Y LISTADOS\1130 - Urbanización Alborada 1-4 PH\Urbanización Alborada 1-4 PH - Facturas del mes de_86.pdf</v>
      </c>
      <c r="B87" t="str">
        <f>Base!D87</f>
        <v>Urbanización Alborada 1-4 PH - Facturas del mes de_86.pdf</v>
      </c>
      <c r="C87" s="2" t="str">
        <f>Cálculos!G87</f>
        <v>Urbanización Alborada 1-4 PH - Factura del Mes de Agosto de 2017 4 - 504 - CARLOS ARTURO LONDOÑO GIRALDO.pdf</v>
      </c>
      <c r="D87" t="str">
        <f>Cálculos!H87</f>
        <v>C:\Users\USUARIO\Macros\FACTURAS Y LISTADOS\1130 - Urbanización Alborada 1-4 PH\Agosto de 2017\Urbanización Alborada 1-4 PH - Factura del Mes de Agosto de 2017 4 - 504 - CARLOS ARTURO LONDOÑO GIRALDO.pdf</v>
      </c>
    </row>
    <row r="88" spans="1:4" x14ac:dyDescent="0.25">
      <c r="A88" t="str">
        <f>Base!A88</f>
        <v>C:\Users\USUARIO\Macros\FACTURAS Y LISTADOS\1130 - Urbanización Alborada 1-4 PH\Urbanización Alborada 1-4 PH - Facturas del mes de_87.pdf</v>
      </c>
      <c r="B88" t="str">
        <f>Base!D88</f>
        <v>Urbanización Alborada 1-4 PH - Facturas del mes de_87.pdf</v>
      </c>
      <c r="C88" s="2" t="str">
        <f>Cálculos!G88</f>
        <v>Urbanización Alborada 1-4 PH - Factura del Mes de Agosto de 2017 4 - 505 - SANDRA EUGENIA OLAYA.pdf</v>
      </c>
      <c r="D88" t="str">
        <f>Cálculos!H88</f>
        <v>C:\Users\USUARIO\Macros\FACTURAS Y LISTADOS\1130 - Urbanización Alborada 1-4 PH\Agosto de 2017\Urbanización Alborada 1-4 PH - Factura del Mes de Agosto de 2017 4 - 505 - SANDRA EUGENIA OLAYA.pdf</v>
      </c>
    </row>
    <row r="89" spans="1:4" x14ac:dyDescent="0.25">
      <c r="A89" t="str">
        <f>Base!A89</f>
        <v>C:\Users\USUARIO\Macros\FACTURAS Y LISTADOS\1130 - Urbanización Alborada 1-4 PH\Urbanización Alborada 1-4 PH - Facturas del mes de_88.pdf</v>
      </c>
      <c r="B89" t="str">
        <f>Base!D89</f>
        <v>Urbanización Alborada 1-4 PH - Facturas del mes de_88.pdf</v>
      </c>
      <c r="C89" s="2" t="str">
        <f>Cálculos!G89</f>
        <v>Urbanización Alborada 1-4 PH - Factura del Mes de Agosto de 2017 4 - 506 - MARIBEL MORALES VARGAS.pdf</v>
      </c>
      <c r="D89" t="str">
        <f>Cálculos!H89</f>
        <v>C:\Users\USUARIO\Macros\FACTURAS Y LISTADOS\1130 - Urbanización Alborada 1-4 PH\Agosto de 2017\Urbanización Alborada 1-4 PH - Factura del Mes de Agosto de 2017 4 - 506 - MARIBEL MORALES VARGAS.pdf</v>
      </c>
    </row>
    <row r="90" spans="1:4" x14ac:dyDescent="0.25">
      <c r="A90" t="str">
        <f>Base!A90</f>
        <v>C:\Users\USUARIO\Macros\FACTURAS Y LISTADOS\1130 - Urbanización Alborada 1-4 PH\Urbanización Alborada 1-4 PH - Facturas del mes de_89.pdf</v>
      </c>
      <c r="B90" t="str">
        <f>Base!D90</f>
        <v>Urbanización Alborada 1-4 PH - Facturas del mes de_89.pdf</v>
      </c>
      <c r="C90" s="2" t="str">
        <f>Cálculos!G90</f>
        <v>Urbanización Alborada 1-4 PH - Factura del Mes de Agosto de 2017 4 - 507 - Clara Ines Jaramillo Alvarez.pdf</v>
      </c>
      <c r="D90" t="str">
        <f>Cálculos!H90</f>
        <v>C:\Users\USUARIO\Macros\FACTURAS Y LISTADOS\1130 - Urbanización Alborada 1-4 PH\Agosto de 2017\Urbanización Alborada 1-4 PH - Factura del Mes de Agosto de 2017 4 - 507 - Clara Ines Jaramillo Alvarez.pdf</v>
      </c>
    </row>
    <row r="91" spans="1:4" x14ac:dyDescent="0.25">
      <c r="A91" t="str">
        <f>Base!A91</f>
        <v>C:\Users\USUARIO\Macros\FACTURAS Y LISTADOS\1130 - Urbanización Alborada 1-4 PH\Urbanización Alborada 1-4 PH - Facturas del mes de_90.pdf</v>
      </c>
      <c r="B91" t="str">
        <f>Base!D91</f>
        <v>Urbanización Alborada 1-4 PH - Facturas del mes de_90.pdf</v>
      </c>
      <c r="C91" s="2" t="str">
        <f>Cálculos!G91</f>
        <v>Urbanización Alborada 1-4 PH - Factura del Mes de Agosto de 2017 4 - 508 - LUIS HERNANDO LOPEZ POSSO.pdf</v>
      </c>
      <c r="D91" t="str">
        <f>Cálculos!H91</f>
        <v>C:\Users\USUARIO\Macros\FACTURAS Y LISTADOS\1130 - Urbanización Alborada 1-4 PH\Agosto de 2017\Urbanización Alborada 1-4 PH - Factura del Mes de Agosto de 2017 4 - 508 - LUIS HERNANDO LOPEZ POSSO.pdf</v>
      </c>
    </row>
    <row r="92" spans="1:4" x14ac:dyDescent="0.25">
      <c r="A92" t="str">
        <f>Base!A92</f>
        <v>C:\Users\USUARIO\Macros\FACTURAS Y LISTADOS\1130 - Urbanización Alborada 1-4 PH\Urbanización Alborada 1-4 PH - Facturas del mes de_91.pdf</v>
      </c>
      <c r="B92" t="str">
        <f>Base!D92</f>
        <v>Urbanización Alborada 1-4 PH - Facturas del mes de_91.pdf</v>
      </c>
      <c r="C92" s="2" t="str">
        <f>Cálculos!G92</f>
        <v>Urbanización Alborada 1-4 PH - Factura del Mes de Agosto de 2017 P4 - 502 - WILLIAM VILLAMIL.pdf</v>
      </c>
      <c r="D92" t="str">
        <f>Cálculos!H92</f>
        <v>C:\Users\USUARIO\Macros\FACTURAS Y LISTADOS\1130 - Urbanización Alborada 1-4 PH\Agosto de 2017\Urbanización Alborada 1-4 PH - Factura del Mes de Agosto de 2017 P4 - 502 - WILLIAM VILLAMIL.pdf</v>
      </c>
    </row>
    <row r="93" spans="1:4" x14ac:dyDescent="0.25">
      <c r="A93" t="str">
        <f>Base!A93</f>
        <v>C:\Users\USUARIO\Macros\FACTURAS Y LISTADOS\1130 - Urbanización Alborada 1-4 PH\Urbanización Alborada 1-4 PH - Facturas del mes de_92.pdf</v>
      </c>
      <c r="B93" t="str">
        <f>Base!D93</f>
        <v>Urbanización Alborada 1-4 PH - Facturas del mes de_92.pdf</v>
      </c>
      <c r="C93" s="2" t="str">
        <f>Cálculos!G93</f>
        <v>Urbanización Alborada 1-4 PH - Factura del Mes de Agosto de 2017 B1 - 301 - JOSE MARIA OCHOA-ADRIANA LOPEZ.pdf</v>
      </c>
      <c r="D93" t="str">
        <f>Cálculos!H93</f>
        <v>C:\Users\USUARIO\Macros\FACTURAS Y LISTADOS\1130 - Urbanización Alborada 1-4 PH\Agosto de 2017\Urbanización Alborada 1-4 PH - Factura del Mes de Agosto de 2017 B1 - 301 - JOSE MARIA OCHOA-ADRIANA LOPEZ.pdf</v>
      </c>
    </row>
    <row r="94" spans="1:4" x14ac:dyDescent="0.25">
      <c r="A94" t="str">
        <f>Base!A94</f>
        <v>C:\Users\USUARIO\Macros\FACTURAS Y LISTADOS\1130 - Urbanización Alborada 1-4 PH\Urbanización Alborada 1-4 PH - Facturas del mes de_93.pdf</v>
      </c>
      <c r="B94" t="str">
        <f>Base!D94</f>
        <v>Urbanización Alborada 1-4 PH - Facturas del mes de_93.pdf</v>
      </c>
      <c r="C94" s="2" t="str">
        <f>Cálculos!G94</f>
        <v>Urbanización Alborada 1-4 PH - Factura del Mes de Agosto de 2017 B4 - 302 - NATALIA CORDOBA.pdf</v>
      </c>
      <c r="D94" t="str">
        <f>Cálculos!H94</f>
        <v>C:\Users\USUARIO\Macros\FACTURAS Y LISTADOS\1130 - Urbanización Alborada 1-4 PH\Agosto de 2017\Urbanización Alborada 1-4 PH - Factura del Mes de Agosto de 2017 B4 - 302 - NATALIA CORDOBA.pdf</v>
      </c>
    </row>
    <row r="95" spans="1:4" x14ac:dyDescent="0.25">
      <c r="A95" t="str">
        <f>Base!A95</f>
        <v>C:\Users\USUARIO\Macros\FACTURAS Y LISTADOS\1130 - Urbanización Alborada 1-4 PH\Urbanización Alborada 1-4 PH - Facturas del mes de_94.pdf</v>
      </c>
      <c r="B95" t="str">
        <f>Base!D95</f>
        <v>Urbanización Alborada 1-4 PH - Facturas del mes de_94.pdf</v>
      </c>
      <c r="C95" s="2" t="str">
        <f>Cálculos!G95</f>
        <v>Urbanización Alborada 1-4 PH - Factura del Mes de Agosto de 2017 0 - 0 - 0.pdf</v>
      </c>
      <c r="D95" t="str">
        <f>Cálculos!H95</f>
        <v>C:\Users\USUARIO\Macros\FACTURAS Y LISTADOS\1130 - Urbanización Alborada 1-4 PH\Agosto de 2017\Urbanización Alborada 1-4 PH - Factura del Mes de Agosto de 2017 0 - 0 - 0.pdf</v>
      </c>
    </row>
    <row r="96" spans="1:4" x14ac:dyDescent="0.25">
      <c r="A96" t="str">
        <f>Base!A96</f>
        <v>C:\Users\USUARIO\Macros\FACTURAS Y LISTADOS\1130 - Urbanización Alborada 1-4 PH\Urbanización Alborada 1-4 PH - Facturas del mes de_95.pdf</v>
      </c>
      <c r="B96" t="str">
        <f>Base!D96</f>
        <v>Urbanización Alborada 1-4 PH - Facturas del mes de_95.pdf</v>
      </c>
      <c r="C96" s="2" t="str">
        <f>Cálculos!G96</f>
        <v>Urbanización Alborada 1-4 PH - Factura del Mes de Agosto de 2017 0 - 0 - 0.pdf</v>
      </c>
      <c r="D96" t="str">
        <f>Cálculos!H96</f>
        <v>C:\Users\USUARIO\Macros\FACTURAS Y LISTADOS\1130 - Urbanización Alborada 1-4 PH\Agosto de 2017\Urbanización Alborada 1-4 PH - Factura del Mes de Agosto de 2017 0 - 0 - 0.pdf</v>
      </c>
    </row>
    <row r="97" spans="1:4" x14ac:dyDescent="0.25">
      <c r="A97" t="str">
        <f>Base!A97</f>
        <v>C:\Users\USUARIO\Macros\FACTURAS Y LISTADOS\1130 - Urbanización Alborada 1-4 PH\Urbanización Alborada 1-4 PH - Facturas del mes de_96.pdf</v>
      </c>
      <c r="B97" t="str">
        <f>Base!D97</f>
        <v>Urbanización Alborada 1-4 PH - Facturas del mes de_96.pdf</v>
      </c>
      <c r="C97" s="2" t="str">
        <f>Cálculos!G97</f>
        <v>Urbanización Alborada 1-4 PH - Factura del Mes de Agosto de 2017 0 - 0 - 0.pdf</v>
      </c>
      <c r="D97" t="str">
        <f>Cálculos!H97</f>
        <v>C:\Users\USUARIO\Macros\FACTURAS Y LISTADOS\1130 - Urbanización Alborada 1-4 PH\Agosto de 2017\Urbanización Alborada 1-4 PH - Factura del Mes de Agosto de 2017 0 - 0 - 0.pdf</v>
      </c>
    </row>
    <row r="98" spans="1:4" x14ac:dyDescent="0.25">
      <c r="A98" t="str">
        <f>Base!A98</f>
        <v>C:\Users\USUARIO\Macros\FACTURAS Y LISTADOS\1130 - Urbanización Alborada 1-4 PH\Urbanización Alborada 1-4 PH - Facturas del mes de_97.pdf</v>
      </c>
      <c r="B98" t="str">
        <f>Base!D98</f>
        <v>Urbanización Alborada 1-4 PH - Facturas del mes de_97.pdf</v>
      </c>
      <c r="C98" s="2" t="str">
        <f>Cálculos!G98</f>
        <v>Urbanización Alborada 1-4 PH - Factura del Mes de Agosto de 2017 0 - 0 - 0.pdf</v>
      </c>
      <c r="D98" t="str">
        <f>Cálculos!H98</f>
        <v>C:\Users\USUARIO\Macros\FACTURAS Y LISTADOS\1130 - Urbanización Alborada 1-4 PH\Agosto de 2017\Urbanización Alborada 1-4 PH - Factura del Mes de Agosto de 2017 0 - 0 - 0.pdf</v>
      </c>
    </row>
    <row r="99" spans="1:4" x14ac:dyDescent="0.25">
      <c r="A99" t="str">
        <f>Base!A99</f>
        <v>C:\Users\USUARIO\Macros\FACTURAS Y LISTADOS\1130 - Urbanización Alborada 1-4 PH\Urbanización Alborada 1-4 PH - Facturas del mes de_98.pdf</v>
      </c>
      <c r="B99" t="str">
        <f>Base!D99</f>
        <v>Urbanización Alborada 1-4 PH - Facturas del mes de_98.pdf</v>
      </c>
      <c r="C99" s="2" t="str">
        <f>Cálculos!G99</f>
        <v>Urbanización Alborada 1-4 PH - Factura del Mes de Agosto de 2017 0 - 0 - 0.pdf</v>
      </c>
      <c r="D99" t="str">
        <f>Cálculos!H99</f>
        <v>C:\Users\USUARIO\Macros\FACTURAS Y LISTADOS\1130 - Urbanización Alborada 1-4 PH\Agosto de 2017\Urbanización Alborada 1-4 PH - Factura del Mes de Agosto de 2017 0 - 0 - 0.pdf</v>
      </c>
    </row>
    <row r="100" spans="1:4" x14ac:dyDescent="0.25">
      <c r="A100" t="str">
        <f>Base!A100</f>
        <v>C:\Users\USUARIO\Macros\FACTURAS Y LISTADOS\1130 - Urbanización Alborada 1-4 PH\Urbanización Alborada 1-4 PH - Facturas del mes de_99.pdf</v>
      </c>
      <c r="B100" t="str">
        <f>Base!D100</f>
        <v>Urbanización Alborada 1-4 PH - Facturas del mes de_99.pdf</v>
      </c>
      <c r="C100" s="2" t="str">
        <f>Cálculos!G100</f>
        <v>Urbanización Alborada 1-4 PH - Factura del Mes de Agosto de 2017 0 - 0 - 0.pdf</v>
      </c>
      <c r="D100" t="str">
        <f>Cálculos!H100</f>
        <v>C:\Users\USUARIO\Macros\FACTURAS Y LISTADOS\1130 - Urbanización Alborada 1-4 PH\Agosto de 2017\Urbanización Alborada 1-4 PH - Factura del Mes de Agosto de 2017 0 - 0 - 0.pdf</v>
      </c>
    </row>
    <row r="101" spans="1:4" x14ac:dyDescent="0.25">
      <c r="A101" t="str">
        <f>Base!A101</f>
        <v>C:\Users\USUARIO\Macros\FACTURAS Y LISTADOS\1130 - Urbanización Alborada 1-4 PH\Urbanización Alborada 1-4 PH - Facturas del mes de_100.pdf</v>
      </c>
      <c r="B101" t="str">
        <f>Base!D101</f>
        <v>Urbanización Alborada 1-4 PH - Facturas del mes de_100.pdf</v>
      </c>
      <c r="C101" s="2" t="str">
        <f>Cálculos!G101</f>
        <v>Urbanización Alborada 1-4 PH - Factura del Mes de Agosto de 2017 0 - 0 - 0.pdf</v>
      </c>
      <c r="D101" t="str">
        <f>Cálculos!H101</f>
        <v>C:\Users\USUARIO\Macros\FACTURAS Y LISTADOS\1130 - Urbanización Alborada 1-4 PH\Agosto de 2017\Urbanización Alborada 1-4 PH - Factura del Mes de Agosto de 2017 0 - 0 - 0.pdf</v>
      </c>
    </row>
    <row r="102" spans="1:4" x14ac:dyDescent="0.25">
      <c r="A102" t="str">
        <f>Base!A102</f>
        <v>C:\Users\USUARIO\Macros\FACTURAS Y LISTADOS\1130 - Urbanización Alborada 1-4 PH\Urbanización Alborada 1-4 PH - Facturas del mes de_101.pdf</v>
      </c>
      <c r="B102" t="str">
        <f>Base!D102</f>
        <v>Urbanización Alborada 1-4 PH - Facturas del mes de_101.pdf</v>
      </c>
      <c r="C102" s="2" t="str">
        <f>Cálculos!G102</f>
        <v>Urbanización Alborada 1-4 PH - Factura del Mes de Agosto de 2017 0 - 0 - 0.pdf</v>
      </c>
      <c r="D102" t="str">
        <f>Cálculos!H102</f>
        <v>C:\Users\USUARIO\Macros\FACTURAS Y LISTADOS\1130 - Urbanización Alborada 1-4 PH\Agosto de 2017\Urbanización Alborada 1-4 PH - Factura del Mes de Agosto de 2017 0 - 0 - 0.pdf</v>
      </c>
    </row>
    <row r="103" spans="1:4" x14ac:dyDescent="0.25">
      <c r="A103" t="str">
        <f>Base!A103</f>
        <v>C:\Users\USUARIO\Macros\FACTURAS Y LISTADOS\1130 - Urbanización Alborada 1-4 PH\Urbanización Alborada 1-4 PH - Facturas del mes de_102.pdf</v>
      </c>
      <c r="B103" t="str">
        <f>Base!D103</f>
        <v>Urbanización Alborada 1-4 PH - Facturas del mes de_102.pdf</v>
      </c>
      <c r="C103" s="2" t="str">
        <f>Cálculos!G103</f>
        <v>Urbanización Alborada 1-4 PH - Factura del Mes de Agosto de 2017 0 - 0 - 0.pdf</v>
      </c>
      <c r="D103" t="str">
        <f>Cálculos!H103</f>
        <v>C:\Users\USUARIO\Macros\FACTURAS Y LISTADOS\1130 - Urbanización Alborada 1-4 PH\Agosto de 2017\Urbanización Alborada 1-4 PH - Factura del Mes de Agosto de 2017 0 - 0 - 0.pdf</v>
      </c>
    </row>
    <row r="104" spans="1:4" x14ac:dyDescent="0.25">
      <c r="A104" t="str">
        <f>Base!A104</f>
        <v>C:\Users\USUARIO\Macros\FACTURAS Y LISTADOS\1130 - Urbanización Alborada 1-4 PH\Urbanización Alborada 1-4 PH - Facturas del mes de_103.pdf</v>
      </c>
      <c r="B104" t="str">
        <f>Base!D104</f>
        <v>Urbanización Alborada 1-4 PH - Facturas del mes de_103.pdf</v>
      </c>
      <c r="C104" s="2" t="str">
        <f>Cálculos!G104</f>
        <v>Urbanización Alborada 1-4 PH - Factura del Mes de Agosto de 2017 0 - 0 - 0.pdf</v>
      </c>
      <c r="D104" t="str">
        <f>Cálculos!H104</f>
        <v>C:\Users\USUARIO\Macros\FACTURAS Y LISTADOS\1130 - Urbanización Alborada 1-4 PH\Agosto de 2017\Urbanización Alborada 1-4 PH - Factura del Mes de Agosto de 2017 0 - 0 - 0.pdf</v>
      </c>
    </row>
    <row r="105" spans="1:4" x14ac:dyDescent="0.25">
      <c r="A105" t="str">
        <f>Base!A105</f>
        <v>C:\Users\USUARIO\Macros\FACTURAS Y LISTADOS\1130 - Urbanización Alborada 1-4 PH\Urbanización Alborada 1-4 PH - Facturas del mes de_104.pdf</v>
      </c>
      <c r="B105" t="str">
        <f>Base!D105</f>
        <v>Urbanización Alborada 1-4 PH - Facturas del mes de_104.pdf</v>
      </c>
      <c r="C105" s="2" t="str">
        <f>Cálculos!G105</f>
        <v>Urbanización Alborada 1-4 PH - Factura del Mes de Agosto de 2017 0 - 0 - 0.pdf</v>
      </c>
      <c r="D105" t="str">
        <f>Cálculos!H105</f>
        <v>C:\Users\USUARIO\Macros\FACTURAS Y LISTADOS\1130 - Urbanización Alborada 1-4 PH\Agosto de 2017\Urbanización Alborada 1-4 PH - Factura del Mes de Agosto de 2017 0 - 0 - 0.pdf</v>
      </c>
    </row>
    <row r="106" spans="1:4" x14ac:dyDescent="0.25">
      <c r="A106" t="str">
        <f>Base!A106</f>
        <v>C:\Users\USUARIO\Macros\FACTURAS Y LISTADOS\1130 - Urbanización Alborada 1-4 PH\Urbanización Alborada 1-4 PH - Facturas del mes de_105.pdf</v>
      </c>
      <c r="B106" t="str">
        <f>Base!D106</f>
        <v>Urbanización Alborada 1-4 PH - Facturas del mes de_105.pdf</v>
      </c>
      <c r="C106" s="2" t="str">
        <f>Cálculos!G106</f>
        <v>Urbanización Alborada 1-4 PH - Factura del Mes de Agosto de 2017 0 - 0 - 0.pdf</v>
      </c>
      <c r="D106" t="str">
        <f>Cálculos!H106</f>
        <v>C:\Users\USUARIO\Macros\FACTURAS Y LISTADOS\1130 - Urbanización Alborada 1-4 PH\Agosto de 2017\Urbanización Alborada 1-4 PH - Factura del Mes de Agosto de 2017 0 - 0 - 0.pdf</v>
      </c>
    </row>
    <row r="107" spans="1:4" x14ac:dyDescent="0.25">
      <c r="A107" t="str">
        <f>Base!A107</f>
        <v>C:\Users\USUARIO\Macros\FACTURAS Y LISTADOS\1130 - Urbanización Alborada 1-4 PH\Urbanización Alborada 1-4 PH - Facturas del mes de_106.pdf</v>
      </c>
      <c r="B107" t="str">
        <f>Base!D107</f>
        <v>Urbanización Alborada 1-4 PH - Facturas del mes de_106.pdf</v>
      </c>
      <c r="C107" s="2" t="str">
        <f>Cálculos!G107</f>
        <v>Urbanización Alborada 1-4 PH - Factura del Mes de Agosto de 2017 0 - 0 - 0.pdf</v>
      </c>
      <c r="D107" t="str">
        <f>Cálculos!H107</f>
        <v>C:\Users\USUARIO\Macros\FACTURAS Y LISTADOS\1130 - Urbanización Alborada 1-4 PH\Agosto de 2017\Urbanización Alborada 1-4 PH - Factura del Mes de Agosto de 2017 0 - 0 - 0.pdf</v>
      </c>
    </row>
    <row r="108" spans="1:4" x14ac:dyDescent="0.25">
      <c r="A108" t="str">
        <f>Base!A108</f>
        <v>C:\Users\USUARIO\Macros\FACTURAS Y LISTADOS\1130 - Urbanización Alborada 1-4 PH\Urbanización Alborada 1-4 PH - Facturas del mes de_107.pdf</v>
      </c>
      <c r="B108" t="str">
        <f>Base!D108</f>
        <v>Urbanización Alborada 1-4 PH - Facturas del mes de_107.pdf</v>
      </c>
      <c r="C108" s="2" t="str">
        <f>Cálculos!G108</f>
        <v>Urbanización Alborada 1-4 PH - Factura del Mes de Agosto de 2017 0 - 0 - 0.pdf</v>
      </c>
      <c r="D108" t="str">
        <f>Cálculos!H108</f>
        <v>C:\Users\USUARIO\Macros\FACTURAS Y LISTADOS\1130 - Urbanización Alborada 1-4 PH\Agosto de 2017\Urbanización Alborada 1-4 PH - Factura del Mes de Agosto de 2017 0 - 0 - 0.pdf</v>
      </c>
    </row>
    <row r="109" spans="1:4" x14ac:dyDescent="0.25">
      <c r="A109" t="str">
        <f>Base!A109</f>
        <v>C:\Users\USUARIO\Macros\FACTURAS Y LISTADOS\1130 - Urbanización Alborada 1-4 PH\Urbanización Alborada 1-4 PH - Facturas del mes de_108.pdf</v>
      </c>
      <c r="B109" t="str">
        <f>Base!D109</f>
        <v>Urbanización Alborada 1-4 PH - Facturas del mes de_108.pdf</v>
      </c>
      <c r="C109" s="2" t="str">
        <f>Cálculos!G109</f>
        <v>Urbanización Alborada 1-4 PH - Factura del Mes de Agosto de 2017 0 - 0 - 0.pdf</v>
      </c>
      <c r="D109" t="str">
        <f>Cálculos!H109</f>
        <v>C:\Users\USUARIO\Macros\FACTURAS Y LISTADOS\1130 - Urbanización Alborada 1-4 PH\Agosto de 2017\Urbanización Alborada 1-4 PH - Factura del Mes de Agosto de 2017 0 - 0 - 0.pdf</v>
      </c>
    </row>
    <row r="110" spans="1:4" x14ac:dyDescent="0.25">
      <c r="A110" t="str">
        <f>Base!A110</f>
        <v>C:\Users\USUARIO\Macros\FACTURAS Y LISTADOS\1130 - Urbanización Alborada 1-4 PH\Urbanización Alborada 1-4 PH - Facturas del mes de_109.pdf</v>
      </c>
      <c r="B110" t="str">
        <f>Base!D110</f>
        <v>Urbanización Alborada 1-4 PH - Facturas del mes de_109.pdf</v>
      </c>
      <c r="C110" s="2" t="str">
        <f>Cálculos!G110</f>
        <v>Urbanización Alborada 1-4 PH - Factura del Mes de Agosto de 2017 0 - 0 - 0.pdf</v>
      </c>
      <c r="D110" t="str">
        <f>Cálculos!H110</f>
        <v>C:\Users\USUARIO\Macros\FACTURAS Y LISTADOS\1130 - Urbanización Alborada 1-4 PH\Agosto de 2017\Urbanización Alborada 1-4 PH - Factura del Mes de Agosto de 2017 0 - 0 - 0.pdf</v>
      </c>
    </row>
    <row r="111" spans="1:4" x14ac:dyDescent="0.25">
      <c r="A111" t="str">
        <f>Base!A111</f>
        <v>C:\Users\USUARIO\Macros\FACTURAS Y LISTADOS\1130 - Urbanización Alborada 1-4 PH\Urbanización Alborada 1-4 PH - Facturas del mes de_110.pdf</v>
      </c>
      <c r="B111" t="str">
        <f>Base!D111</f>
        <v>Urbanización Alborada 1-4 PH - Facturas del mes de_110.pdf</v>
      </c>
      <c r="C111" s="2" t="str">
        <f>Cálculos!G111</f>
        <v>Urbanización Alborada 1-4 PH - Factura del Mes de Agosto de 2017 0 - 0 - 0.pdf</v>
      </c>
      <c r="D111" t="str">
        <f>Cálculos!H111</f>
        <v>C:\Users\USUARIO\Macros\FACTURAS Y LISTADOS\1130 - Urbanización Alborada 1-4 PH\Agosto de 2017\Urbanización Alborada 1-4 PH - Factura del Mes de Agosto de 2017 0 - 0 - 0.pdf</v>
      </c>
    </row>
    <row r="112" spans="1:4" x14ac:dyDescent="0.25">
      <c r="A112" t="str">
        <f>Base!A112</f>
        <v>C:\Users\USUARIO\Macros\FACTURAS Y LISTADOS\1130 - Urbanización Alborada 1-4 PH\Urbanización Alborada 1-4 PH - Facturas del mes de_111.pdf</v>
      </c>
      <c r="B112" t="str">
        <f>Base!D112</f>
        <v>Urbanización Alborada 1-4 PH - Facturas del mes de_111.pdf</v>
      </c>
      <c r="C112" s="2" t="str">
        <f>Cálculos!G112</f>
        <v>Urbanización Alborada 1-4 PH - Factura del Mes de Agosto de 2017 0 - 0 - 0.pdf</v>
      </c>
      <c r="D112" t="str">
        <f>Cálculos!H112</f>
        <v>C:\Users\USUARIO\Macros\FACTURAS Y LISTADOS\1130 - Urbanización Alborada 1-4 PH\Agosto de 2017\Urbanización Alborada 1-4 PH - Factura del Mes de Agosto de 2017 0 - 0 - 0.pdf</v>
      </c>
    </row>
    <row r="113" spans="1:4" x14ac:dyDescent="0.25">
      <c r="A113" t="str">
        <f>Base!A113</f>
        <v>C:\Users\USUARIO\Macros\FACTURAS Y LISTADOS\1130 - Urbanización Alborada 1-4 PH\Urbanización Alborada 1-4 PH - Facturas del mes de_112.pdf</v>
      </c>
      <c r="B113" t="str">
        <f>Base!D113</f>
        <v>Urbanización Alborada 1-4 PH - Facturas del mes de_112.pdf</v>
      </c>
      <c r="C113" s="2" t="str">
        <f>Cálculos!G113</f>
        <v>Urbanización Alborada 1-4 PH - Factura del Mes de Agosto de 2017 0 - 0 - 0.pdf</v>
      </c>
      <c r="D113" t="str">
        <f>Cálculos!H113</f>
        <v>C:\Users\USUARIO\Macros\FACTURAS Y LISTADOS\1130 - Urbanización Alborada 1-4 PH\Agosto de 2017\Urbanización Alborada 1-4 PH - Factura del Mes de Agosto de 2017 0 - 0 - 0.pdf</v>
      </c>
    </row>
    <row r="114" spans="1:4" x14ac:dyDescent="0.25">
      <c r="A114" t="str">
        <f>Base!A114</f>
        <v>C:\Users\USUARIO\Macros\FACTURAS Y LISTADOS\1130 - Urbanización Alborada 1-4 PH\Urbanización Alborada 1-4 PH - Facturas del mes de_113.pdf</v>
      </c>
      <c r="B114" t="str">
        <f>Base!D114</f>
        <v>Urbanización Alborada 1-4 PH - Facturas del mes de_113.pdf</v>
      </c>
      <c r="C114" s="2" t="str">
        <f>Cálculos!G114</f>
        <v>Urbanización Alborada 1-4 PH - Factura del Mes de Agosto de 2017 0 - 0 - 0.pdf</v>
      </c>
      <c r="D114" t="str">
        <f>Cálculos!H114</f>
        <v>C:\Users\USUARIO\Macros\FACTURAS Y LISTADOS\1130 - Urbanización Alborada 1-4 PH\Agosto de 2017\Urbanización Alborada 1-4 PH - Factura del Mes de Agosto de 2017 0 - 0 - 0.pdf</v>
      </c>
    </row>
    <row r="115" spans="1:4" x14ac:dyDescent="0.25">
      <c r="A115" t="str">
        <f>Base!A115</f>
        <v>C:\Users\USUARIO\Macros\FACTURAS Y LISTADOS\1130 - Urbanización Alborada 1-4 PH\Urbanización Alborada 1-4 PH - Facturas del mes de_114.pdf</v>
      </c>
      <c r="B115" t="str">
        <f>Base!D115</f>
        <v>Urbanización Alborada 1-4 PH - Facturas del mes de_114.pdf</v>
      </c>
      <c r="C115" s="2" t="str">
        <f>Cálculos!G115</f>
        <v>Urbanización Alborada 1-4 PH - Factura del Mes de Agosto de 2017 0 - 0 - 0.pdf</v>
      </c>
      <c r="D115" t="str">
        <f>Cálculos!H115</f>
        <v>C:\Users\USUARIO\Macros\FACTURAS Y LISTADOS\1130 - Urbanización Alborada 1-4 PH\Agosto de 2017\Urbanización Alborada 1-4 PH - Factura del Mes de Agosto de 2017 0 - 0 - 0.pdf</v>
      </c>
    </row>
    <row r="116" spans="1:4" x14ac:dyDescent="0.25">
      <c r="A116" t="str">
        <f>Base!A116</f>
        <v>C:\Users\USUARIO\Macros\FACTURAS Y LISTADOS\1130 - Urbanización Alborada 1-4 PH\Urbanización Alborada 1-4 PH - Facturas del mes de_115.pdf</v>
      </c>
      <c r="B116" t="str">
        <f>Base!D116</f>
        <v>Urbanización Alborada 1-4 PH - Facturas del mes de_115.pdf</v>
      </c>
      <c r="C116" s="2" t="str">
        <f>Cálculos!G116</f>
        <v>Urbanización Alborada 1-4 PH - Factura del Mes de Agosto de 2017 0 - 0 - 0.pdf</v>
      </c>
      <c r="D116" t="str">
        <f>Cálculos!H116</f>
        <v>C:\Users\USUARIO\Macros\FACTURAS Y LISTADOS\1130 - Urbanización Alborada 1-4 PH\Agosto de 2017\Urbanización Alborada 1-4 PH - Factura del Mes de Agosto de 2017 0 - 0 - 0.pdf</v>
      </c>
    </row>
    <row r="117" spans="1:4" x14ac:dyDescent="0.25">
      <c r="A117" t="str">
        <f>Base!A117</f>
        <v>C:\Users\USUARIO\Macros\FACTURAS Y LISTADOS\1130 - Urbanización Alborada 1-4 PH\Urbanización Alborada 1-4 PH - Facturas del mes de_116.pdf</v>
      </c>
      <c r="B117" t="str">
        <f>Base!D117</f>
        <v>Urbanización Alborada 1-4 PH - Facturas del mes de_116.pdf</v>
      </c>
      <c r="C117" s="2" t="str">
        <f>Cálculos!G117</f>
        <v>Urbanización Alborada 1-4 PH - Factura del Mes de Agosto de 2017 0 - 0 - 0.pdf</v>
      </c>
      <c r="D117" t="str">
        <f>Cálculos!H117</f>
        <v>C:\Users\USUARIO\Macros\FACTURAS Y LISTADOS\1130 - Urbanización Alborada 1-4 PH\Agosto de 2017\Urbanización Alborada 1-4 PH - Factura del Mes de Agosto de 2017 0 - 0 - 0.pdf</v>
      </c>
    </row>
    <row r="118" spans="1:4" x14ac:dyDescent="0.25">
      <c r="A118" t="str">
        <f>Base!A118</f>
        <v>C:\Users\USUARIO\Macros\FACTURAS Y LISTADOS\1130 - Urbanización Alborada 1-4 PH\Urbanización Alborada 1-4 PH - Facturas del mes de_117.pdf</v>
      </c>
      <c r="B118" t="str">
        <f>Base!D118</f>
        <v>Urbanización Alborada 1-4 PH - Facturas del mes de_117.pdf</v>
      </c>
      <c r="C118" s="2" t="str">
        <f>Cálculos!G118</f>
        <v>Urbanización Alborada 1-4 PH - Factura del Mes de Agosto de 2017 0 - 0 - 0.pdf</v>
      </c>
      <c r="D118" t="str">
        <f>Cálculos!H118</f>
        <v>C:\Users\USUARIO\Macros\FACTURAS Y LISTADOS\1130 - Urbanización Alborada 1-4 PH\Agosto de 2017\Urbanización Alborada 1-4 PH - Factura del Mes de Agosto de 2017 0 - 0 - 0.pdf</v>
      </c>
    </row>
    <row r="119" spans="1:4" x14ac:dyDescent="0.25">
      <c r="A119" t="str">
        <f>Base!A119</f>
        <v>C:\Users\USUARIO\Macros\FACTURAS Y LISTADOS\1130 - Urbanización Alborada 1-4 PH\Urbanización Alborada 1-4 PH - Facturas del mes de_118.pdf</v>
      </c>
      <c r="B119" t="str">
        <f>Base!D119</f>
        <v>Urbanización Alborada 1-4 PH - Facturas del mes de_118.pdf</v>
      </c>
      <c r="C119" s="2" t="str">
        <f>Cálculos!G119</f>
        <v>Urbanización Alborada 1-4 PH - Factura del Mes de Agosto de 2017 0 - 0 - 0.pdf</v>
      </c>
      <c r="D119" t="str">
        <f>Cálculos!H119</f>
        <v>C:\Users\USUARIO\Macros\FACTURAS Y LISTADOS\1130 - Urbanización Alborada 1-4 PH\Agosto de 2017\Urbanización Alborada 1-4 PH - Factura del Mes de Agosto de 2017 0 - 0 - 0.pdf</v>
      </c>
    </row>
    <row r="120" spans="1:4" x14ac:dyDescent="0.25">
      <c r="A120" t="str">
        <f>Base!A120</f>
        <v>C:\Users\USUARIO\Macros\FACTURAS Y LISTADOS\1130 - Urbanización Alborada 1-4 PH\Urbanización Alborada 1-4 PH - Facturas del mes de_119.pdf</v>
      </c>
      <c r="B120" t="str">
        <f>Base!D120</f>
        <v>Urbanización Alborada 1-4 PH - Facturas del mes de_119.pdf</v>
      </c>
      <c r="C120" s="2" t="str">
        <f>Cálculos!G120</f>
        <v>Urbanización Alborada 1-4 PH - Factura del Mes de Agosto de 2017 0 - 0 - 0.pdf</v>
      </c>
      <c r="D120" t="str">
        <f>Cálculos!H120</f>
        <v>C:\Users\USUARIO\Macros\FACTURAS Y LISTADOS\1130 - Urbanización Alborada 1-4 PH\Agosto de 2017\Urbanización Alborada 1-4 PH - Factura del Mes de Agosto de 2017 0 - 0 - 0.pdf</v>
      </c>
    </row>
    <row r="121" spans="1:4" x14ac:dyDescent="0.25">
      <c r="A121" t="str">
        <f>Base!A121</f>
        <v>C:\Users\USUARIO\Macros\FACTURAS Y LISTADOS\1130 - Urbanización Alborada 1-4 PH\Urbanización Alborada 1-4 PH - Facturas del mes de_120.pdf</v>
      </c>
      <c r="B121" t="str">
        <f>Base!D121</f>
        <v>Urbanización Alborada 1-4 PH - Facturas del mes de_120.pdf</v>
      </c>
      <c r="C121" s="2" t="str">
        <f>Cálculos!G121</f>
        <v>Urbanización Alborada 1-4 PH - Factura del Mes de Agosto de 2017 0 - 0 - 0.pdf</v>
      </c>
      <c r="D121" t="str">
        <f>Cálculos!H121</f>
        <v>C:\Users\USUARIO\Macros\FACTURAS Y LISTADOS\1130 - Urbanización Alborada 1-4 PH\Agosto de 2017\Urbanización Alborada 1-4 PH - Factura del Mes de Agosto de 2017 0 - 0 - 0.pdf</v>
      </c>
    </row>
    <row r="122" spans="1:4" x14ac:dyDescent="0.25">
      <c r="A122" t="str">
        <f>Base!A122</f>
        <v>C:\Users\USUARIO\Macros\FACTURAS Y LISTADOS\1130 - Urbanización Alborada 1-4 PH\Urbanización Alborada 1-4 PH - Facturas del mes de_121.pdf</v>
      </c>
      <c r="B122" t="str">
        <f>Base!D122</f>
        <v>Urbanización Alborada 1-4 PH - Facturas del mes de_121.pdf</v>
      </c>
      <c r="C122" s="2" t="str">
        <f>Cálculos!G122</f>
        <v>Urbanización Alborada 1-4 PH - Factura del Mes de Agosto de 2017 0 - 0 - 0.pdf</v>
      </c>
      <c r="D122" t="str">
        <f>Cálculos!H122</f>
        <v>C:\Users\USUARIO\Macros\FACTURAS Y LISTADOS\1130 - Urbanización Alborada 1-4 PH\Agosto de 2017\Urbanización Alborada 1-4 PH - Factura del Mes de Agosto de 2017 0 - 0 - 0.pdf</v>
      </c>
    </row>
    <row r="123" spans="1:4" x14ac:dyDescent="0.25">
      <c r="A123" t="str">
        <f>Base!A123</f>
        <v>C:\Users\USUARIO\Macros\FACTURAS Y LISTADOS\1130 - Urbanización Alborada 1-4 PH\Urbanización Alborada 1-4 PH - Facturas del mes de_122.pdf</v>
      </c>
      <c r="B123" t="str">
        <f>Base!D123</f>
        <v>Urbanización Alborada 1-4 PH - Facturas del mes de_122.pdf</v>
      </c>
      <c r="C123" s="2" t="str">
        <f>Cálculos!G123</f>
        <v>Urbanización Alborada 1-4 PH - Factura del Mes de Agosto de 2017 0 - 0 - 0.pdf</v>
      </c>
      <c r="D123" t="str">
        <f>Cálculos!H123</f>
        <v>C:\Users\USUARIO\Macros\FACTURAS Y LISTADOS\1130 - Urbanización Alborada 1-4 PH\Agosto de 2017\Urbanización Alborada 1-4 PH - Factura del Mes de Agosto de 2017 0 - 0 - 0.pdf</v>
      </c>
    </row>
    <row r="124" spans="1:4" x14ac:dyDescent="0.25">
      <c r="A124" t="str">
        <f>Base!A124</f>
        <v>C:\Users\USUARIO\Macros\FACTURAS Y LISTADOS\1130 - Urbanización Alborada 1-4 PH\Urbanización Alborada 1-4 PH - Facturas del mes de_123.pdf</v>
      </c>
      <c r="B124" t="str">
        <f>Base!D124</f>
        <v>Urbanización Alborada 1-4 PH - Facturas del mes de_123.pdf</v>
      </c>
      <c r="C124" s="2" t="str">
        <f>Cálculos!G124</f>
        <v>Urbanización Alborada 1-4 PH - Factura del Mes de Agosto de 2017 0 - 0 - 0.pdf</v>
      </c>
      <c r="D124" t="str">
        <f>Cálculos!H124</f>
        <v>C:\Users\USUARIO\Macros\FACTURAS Y LISTADOS\1130 - Urbanización Alborada 1-4 PH\Agosto de 2017\Urbanización Alborada 1-4 PH - Factura del Mes de Agosto de 2017 0 - 0 - 0.pdf</v>
      </c>
    </row>
    <row r="125" spans="1:4" x14ac:dyDescent="0.25">
      <c r="A125" t="str">
        <f>Base!A125</f>
        <v>C:\Users\USUARIO\Macros\FACTURAS Y LISTADOS\1130 - Urbanización Alborada 1-4 PH\Urbanización Alborada 1-4 PH - Facturas del mes de_124.pdf</v>
      </c>
      <c r="B125" t="str">
        <f>Base!D125</f>
        <v>Urbanización Alborada 1-4 PH - Facturas del mes de_124.pdf</v>
      </c>
      <c r="C125" s="2" t="str">
        <f>Cálculos!G125</f>
        <v>Urbanización Alborada 1-4 PH - Factura del Mes de Agosto de 2017 0 - 0 - 0.pdf</v>
      </c>
      <c r="D125" t="str">
        <f>Cálculos!H125</f>
        <v>C:\Users\USUARIO\Macros\FACTURAS Y LISTADOS\1130 - Urbanización Alborada 1-4 PH\Agosto de 2017\Urbanización Alborada 1-4 PH - Factura del Mes de Agosto de 2017 0 - 0 - 0.pdf</v>
      </c>
    </row>
    <row r="126" spans="1:4" x14ac:dyDescent="0.25">
      <c r="A126" t="str">
        <f>Base!A126</f>
        <v>C:\Users\USUARIO\Macros\FACTURAS Y LISTADOS\1130 - Urbanización Alborada 1-4 PH\Urbanización Alborada 1-4 PH - Facturas del mes de_125.pdf</v>
      </c>
      <c r="B126" t="str">
        <f>Base!D126</f>
        <v>Urbanización Alborada 1-4 PH - Facturas del mes de_125.pdf</v>
      </c>
      <c r="C126" s="2" t="str">
        <f>Cálculos!G126</f>
        <v>Urbanización Alborada 1-4 PH - Factura del Mes de Agosto de 2017 0 - 0 - 0.pdf</v>
      </c>
      <c r="D126" t="str">
        <f>Cálculos!H126</f>
        <v>C:\Users\USUARIO\Macros\FACTURAS Y LISTADOS\1130 - Urbanización Alborada 1-4 PH\Agosto de 2017\Urbanización Alborada 1-4 PH - Factura del Mes de Agosto de 2017 0 - 0 - 0.pdf</v>
      </c>
    </row>
    <row r="127" spans="1:4" x14ac:dyDescent="0.25">
      <c r="A127" t="str">
        <f>Base!A127</f>
        <v>C:\Users\USUARIO\Macros\FACTURAS Y LISTADOS\1130 - Urbanización Alborada 1-4 PH\Urbanización Alborada 1-4 PH - Facturas del mes de_126.pdf</v>
      </c>
      <c r="B127" t="str">
        <f>Base!D127</f>
        <v>Urbanización Alborada 1-4 PH - Facturas del mes de_126.pdf</v>
      </c>
      <c r="C127" s="2" t="str">
        <f>Cálculos!G127</f>
        <v>Urbanización Alborada 1-4 PH - Factura del Mes de Agosto de 2017 0 - 0 - 0.pdf</v>
      </c>
      <c r="D127" t="str">
        <f>Cálculos!H127</f>
        <v>C:\Users\USUARIO\Macros\FACTURAS Y LISTADOS\1130 - Urbanización Alborada 1-4 PH\Agosto de 2017\Urbanización Alborada 1-4 PH - Factura del Mes de Agosto de 2017 0 - 0 - 0.pdf</v>
      </c>
    </row>
    <row r="128" spans="1:4" x14ac:dyDescent="0.25">
      <c r="A128" t="str">
        <f>Base!A128</f>
        <v>C:\Users\USUARIO\Macros\FACTURAS Y LISTADOS\1130 - Urbanización Alborada 1-4 PH\Urbanización Alborada 1-4 PH - Facturas del mes de_127.pdf</v>
      </c>
      <c r="B128" t="str">
        <f>Base!D128</f>
        <v>Urbanización Alborada 1-4 PH - Facturas del mes de_127.pdf</v>
      </c>
      <c r="C128" s="2" t="str">
        <f>Cálculos!G128</f>
        <v>Urbanización Alborada 1-4 PH - Factura del Mes de Agosto de 2017 0 - 0 - 0.pdf</v>
      </c>
      <c r="D128" t="str">
        <f>Cálculos!H128</f>
        <v>C:\Users\USUARIO\Macros\FACTURAS Y LISTADOS\1130 - Urbanización Alborada 1-4 PH\Agosto de 2017\Urbanización Alborada 1-4 PH - Factura del Mes de Agosto de 2017 0 - 0 - 0.pdf</v>
      </c>
    </row>
    <row r="129" spans="1:4" x14ac:dyDescent="0.25">
      <c r="A129" t="str">
        <f>Base!A129</f>
        <v>C:\Users\USUARIO\Macros\FACTURAS Y LISTADOS\1130 - Urbanización Alborada 1-4 PH\Urbanización Alborada 1-4 PH - Facturas del mes de_128.pdf</v>
      </c>
      <c r="B129" t="str">
        <f>Base!D129</f>
        <v>Urbanización Alborada 1-4 PH - Facturas del mes de_128.pdf</v>
      </c>
      <c r="C129" s="2" t="str">
        <f>Cálculos!G129</f>
        <v>Urbanización Alborada 1-4 PH - Factura del Mes de Agosto de 2017 0 - 0 - 0.pdf</v>
      </c>
      <c r="D129" t="str">
        <f>Cálculos!H129</f>
        <v>C:\Users\USUARIO\Macros\FACTURAS Y LISTADOS\1130 - Urbanización Alborada 1-4 PH\Agosto de 2017\Urbanización Alborada 1-4 PH - Factura del Mes de Agosto de 2017 0 - 0 - 0.pdf</v>
      </c>
    </row>
    <row r="130" spans="1:4" x14ac:dyDescent="0.25">
      <c r="A130" t="str">
        <f>Base!A130</f>
        <v>C:\Users\USUARIO\Macros\FACTURAS Y LISTADOS\1130 - Urbanización Alborada 1-4 PH\Urbanización Alborada 1-4 PH - Facturas del mes de_129.pdf</v>
      </c>
      <c r="B130" t="str">
        <f>Base!D130</f>
        <v>Urbanización Alborada 1-4 PH - Facturas del mes de_129.pdf</v>
      </c>
      <c r="C130" s="2" t="str">
        <f>Cálculos!G130</f>
        <v>Urbanización Alborada 1-4 PH - Factura del Mes de Agosto de 2017 0 - 0 - 0.pdf</v>
      </c>
      <c r="D130" t="str">
        <f>Cálculos!H130</f>
        <v>C:\Users\USUARIO\Macros\FACTURAS Y LISTADOS\1130 - Urbanización Alborada 1-4 PH\Agosto de 2017\Urbanización Alborada 1-4 PH - Factura del Mes de Agosto de 2017 0 - 0 - 0.pdf</v>
      </c>
    </row>
    <row r="131" spans="1:4" x14ac:dyDescent="0.25">
      <c r="A131" t="str">
        <f>Base!A131</f>
        <v>C:\Users\USUARIO\Macros\FACTURAS Y LISTADOS\1130 - Urbanización Alborada 1-4 PH\Urbanización Alborada 1-4 PH - Facturas del mes de_130.pdf</v>
      </c>
      <c r="B131" t="str">
        <f>Base!D131</f>
        <v>Urbanización Alborada 1-4 PH - Facturas del mes de_130.pdf</v>
      </c>
      <c r="C131" s="2" t="str">
        <f>Cálculos!G131</f>
        <v>Urbanización Alborada 1-4 PH - Factura del Mes de Agosto de 2017 0 - 0 - 0.pdf</v>
      </c>
      <c r="D131" t="str">
        <f>Cálculos!H131</f>
        <v>C:\Users\USUARIO\Macros\FACTURAS Y LISTADOS\1130 - Urbanización Alborada 1-4 PH\Agosto de 2017\Urbanización Alborada 1-4 PH - Factura del Mes de Agosto de 2017 0 - 0 - 0.pdf</v>
      </c>
    </row>
    <row r="132" spans="1:4" x14ac:dyDescent="0.25">
      <c r="A132" t="str">
        <f>Base!A132</f>
        <v>C:\Users\USUARIO\Macros\FACTURAS Y LISTADOS\1130 - Urbanización Alborada 1-4 PH\Urbanización Alborada 1-4 PH - Facturas del mes de_131.pdf</v>
      </c>
      <c r="B132" t="str">
        <f>Base!D132</f>
        <v>Urbanización Alborada 1-4 PH - Facturas del mes de_131.pdf</v>
      </c>
      <c r="C132" s="2" t="str">
        <f>Cálculos!G132</f>
        <v>Urbanización Alborada 1-4 PH - Factura del Mes de Agosto de 2017 0 - 0 - 0.pdf</v>
      </c>
      <c r="D132" t="str">
        <f>Cálculos!H132</f>
        <v>C:\Users\USUARIO\Macros\FACTURAS Y LISTADOS\1130 - Urbanización Alborada 1-4 PH\Agosto de 2017\Urbanización Alborada 1-4 PH - Factura del Mes de Agosto de 2017 0 - 0 - 0.pdf</v>
      </c>
    </row>
    <row r="133" spans="1:4" x14ac:dyDescent="0.25">
      <c r="A133" t="str">
        <f>Base!A133</f>
        <v>C:\Users\USUARIO\Macros\FACTURAS Y LISTADOS\1130 - Urbanización Alborada 1-4 PH\Urbanización Alborada 1-4 PH - Facturas del mes de_132.pdf</v>
      </c>
      <c r="B133" t="str">
        <f>Base!D133</f>
        <v>Urbanización Alborada 1-4 PH - Facturas del mes de_132.pdf</v>
      </c>
      <c r="C133" s="2" t="str">
        <f>Cálculos!G133</f>
        <v>Urbanización Alborada 1-4 PH - Factura del Mes de Agosto de 2017 0 - 0 - 0.pdf</v>
      </c>
      <c r="D133" t="str">
        <f>Cálculos!H133</f>
        <v>C:\Users\USUARIO\Macros\FACTURAS Y LISTADOS\1130 - Urbanización Alborada 1-4 PH\Agosto de 2017\Urbanización Alborada 1-4 PH - Factura del Mes de Agosto de 2017 0 - 0 - 0.pdf</v>
      </c>
    </row>
    <row r="134" spans="1:4" x14ac:dyDescent="0.25">
      <c r="A134" t="str">
        <f>Base!A134</f>
        <v>C:\Users\USUARIO\Macros\FACTURAS Y LISTADOS\1130 - Urbanización Alborada 1-4 PH\Urbanización Alborada 1-4 PH - Facturas del mes de_133.pdf</v>
      </c>
      <c r="B134" t="str">
        <f>Base!D134</f>
        <v>Urbanización Alborada 1-4 PH - Facturas del mes de_133.pdf</v>
      </c>
      <c r="C134" s="2" t="str">
        <f>Cálculos!G134</f>
        <v>Urbanización Alborada 1-4 PH - Factura del Mes de Agosto de 2017 0 - 0 - 0.pdf</v>
      </c>
      <c r="D134" t="str">
        <f>Cálculos!H134</f>
        <v>C:\Users\USUARIO\Macros\FACTURAS Y LISTADOS\1130 - Urbanización Alborada 1-4 PH\Agosto de 2017\Urbanización Alborada 1-4 PH - Factura del Mes de Agosto de 2017 0 - 0 - 0.pdf</v>
      </c>
    </row>
    <row r="135" spans="1:4" x14ac:dyDescent="0.25">
      <c r="A135" t="str">
        <f>Base!A135</f>
        <v>C:\Users\USUARIO\Macros\FACTURAS Y LISTADOS\1130 - Urbanización Alborada 1-4 PH\Urbanización Alborada 1-4 PH - Facturas del mes de_134.pdf</v>
      </c>
      <c r="B135" t="str">
        <f>Base!D135</f>
        <v>Urbanización Alborada 1-4 PH - Facturas del mes de_134.pdf</v>
      </c>
      <c r="C135" s="2" t="str">
        <f>Cálculos!G135</f>
        <v>Urbanización Alborada 1-4 PH - Factura del Mes de Agosto de 2017 0 - 0 - 0.pdf</v>
      </c>
      <c r="D135" t="str">
        <f>Cálculos!H135</f>
        <v>C:\Users\USUARIO\Macros\FACTURAS Y LISTADOS\1130 - Urbanización Alborada 1-4 PH\Agosto de 2017\Urbanización Alborada 1-4 PH - Factura del Mes de Agosto de 2017 0 - 0 - 0.pdf</v>
      </c>
    </row>
    <row r="136" spans="1:4" x14ac:dyDescent="0.25">
      <c r="A136" t="str">
        <f>Base!A136</f>
        <v>C:\Users\USUARIO\Macros\FACTURAS Y LISTADOS\1130 - Urbanización Alborada 1-4 PH\Urbanización Alborada 1-4 PH - Facturas del mes de_135.pdf</v>
      </c>
      <c r="B136" t="str">
        <f>Base!D136</f>
        <v>Urbanización Alborada 1-4 PH - Facturas del mes de_135.pdf</v>
      </c>
      <c r="C136" s="2" t="str">
        <f>Cálculos!G136</f>
        <v>Urbanización Alborada 1-4 PH - Factura del Mes de Agosto de 2017 0 - 0 - 0.pdf</v>
      </c>
      <c r="D136" t="str">
        <f>Cálculos!H136</f>
        <v>C:\Users\USUARIO\Macros\FACTURAS Y LISTADOS\1130 - Urbanización Alborada 1-4 PH\Agosto de 2017\Urbanización Alborada 1-4 PH - Factura del Mes de Agosto de 2017 0 - 0 - 0.pdf</v>
      </c>
    </row>
    <row r="137" spans="1:4" x14ac:dyDescent="0.25">
      <c r="A137" t="str">
        <f>Base!A137</f>
        <v>C:\Users\USUARIO\Macros\FACTURAS Y LISTADOS\1130 - Urbanización Alborada 1-4 PH\Urbanización Alborada 1-4 PH - Facturas del mes de_136.pdf</v>
      </c>
      <c r="B137" t="str">
        <f>Base!D137</f>
        <v>Urbanización Alborada 1-4 PH - Facturas del mes de_136.pdf</v>
      </c>
      <c r="C137" s="2" t="str">
        <f>Cálculos!G137</f>
        <v>Urbanización Alborada 1-4 PH - Factura del Mes de Agosto de 2017 0 - 0 - 0.pdf</v>
      </c>
      <c r="D137" t="str">
        <f>Cálculos!H137</f>
        <v>C:\Users\USUARIO\Macros\FACTURAS Y LISTADOS\1130 - Urbanización Alborada 1-4 PH\Agosto de 2017\Urbanización Alborada 1-4 PH - Factura del Mes de Agosto de 2017 0 - 0 - 0.pdf</v>
      </c>
    </row>
    <row r="138" spans="1:4" x14ac:dyDescent="0.25">
      <c r="A138" t="str">
        <f>Base!A138</f>
        <v>C:\Users\USUARIO\Macros\FACTURAS Y LISTADOS\1130 - Urbanización Alborada 1-4 PH\Urbanización Alborada 1-4 PH - Facturas del mes de_137.pdf</v>
      </c>
      <c r="B138" t="str">
        <f>Base!D138</f>
        <v>Urbanización Alborada 1-4 PH - Facturas del mes de_137.pdf</v>
      </c>
      <c r="C138" s="2" t="str">
        <f>Cálculos!G138</f>
        <v>Urbanización Alborada 1-4 PH - Factura del Mes de Agosto de 2017 0 - 0 - 0.pdf</v>
      </c>
      <c r="D138" t="str">
        <f>Cálculos!H138</f>
        <v>C:\Users\USUARIO\Macros\FACTURAS Y LISTADOS\1130 - Urbanización Alborada 1-4 PH\Agosto de 2017\Urbanización Alborada 1-4 PH - Factura del Mes de Agosto de 2017 0 - 0 - 0.pdf</v>
      </c>
    </row>
    <row r="139" spans="1:4" x14ac:dyDescent="0.25">
      <c r="A139" t="str">
        <f>Base!A139</f>
        <v>C:\Users\USUARIO\Macros\FACTURAS Y LISTADOS\1130 - Urbanización Alborada 1-4 PH\Urbanización Alborada 1-4 PH - Facturas del mes de_138.pdf</v>
      </c>
      <c r="B139" t="str">
        <f>Base!D139</f>
        <v>Urbanización Alborada 1-4 PH - Facturas del mes de_138.pdf</v>
      </c>
      <c r="C139" s="2" t="str">
        <f>Cálculos!G139</f>
        <v>Urbanización Alborada 1-4 PH - Factura del Mes de Agosto de 2017 0 - 0 - 0.pdf</v>
      </c>
      <c r="D139" t="str">
        <f>Cálculos!H139</f>
        <v>C:\Users\USUARIO\Macros\FACTURAS Y LISTADOS\1130 - Urbanización Alborada 1-4 PH\Agosto de 2017\Urbanización Alborada 1-4 PH - Factura del Mes de Agosto de 2017 0 - 0 - 0.pdf</v>
      </c>
    </row>
    <row r="140" spans="1:4" x14ac:dyDescent="0.25">
      <c r="A140" t="str">
        <f>Base!A140</f>
        <v>C:\Users\USUARIO\Macros\FACTURAS Y LISTADOS\1130 - Urbanización Alborada 1-4 PH\Urbanización Alborada 1-4 PH - Facturas del mes de_139.pdf</v>
      </c>
      <c r="B140" t="str">
        <f>Base!D140</f>
        <v>Urbanización Alborada 1-4 PH - Facturas del mes de_139.pdf</v>
      </c>
      <c r="C140" s="2" t="str">
        <f>Cálculos!G140</f>
        <v>Urbanización Alborada 1-4 PH - Factura del Mes de Agosto de 2017 0 - 0 - 0.pdf</v>
      </c>
      <c r="D140" t="str">
        <f>Cálculos!H140</f>
        <v>C:\Users\USUARIO\Macros\FACTURAS Y LISTADOS\1130 - Urbanización Alborada 1-4 PH\Agosto de 2017\Urbanización Alborada 1-4 PH - Factura del Mes de Agosto de 2017 0 - 0 - 0.pdf</v>
      </c>
    </row>
    <row r="141" spans="1:4" x14ac:dyDescent="0.25">
      <c r="A141" t="str">
        <f>Base!A141</f>
        <v>C:\Users\USUARIO\Macros\FACTURAS Y LISTADOS\1130 - Urbanización Alborada 1-4 PH\Urbanización Alborada 1-4 PH - Facturas del mes de_140.pdf</v>
      </c>
      <c r="B141" t="str">
        <f>Base!D141</f>
        <v>Urbanización Alborada 1-4 PH - Facturas del mes de_140.pdf</v>
      </c>
      <c r="C141" s="2" t="str">
        <f>Cálculos!G141</f>
        <v>Urbanización Alborada 1-4 PH - Factura del Mes de Agosto de 2017 0 - 0 - 0.pdf</v>
      </c>
      <c r="D141" t="str">
        <f>Cálculos!H141</f>
        <v>C:\Users\USUARIO\Macros\FACTURAS Y LISTADOS\1130 - Urbanización Alborada 1-4 PH\Agosto de 2017\Urbanización Alborada 1-4 PH - Factura del Mes de Agosto de 2017 0 - 0 - 0.pdf</v>
      </c>
    </row>
    <row r="142" spans="1:4" x14ac:dyDescent="0.25">
      <c r="A142" t="str">
        <f>Base!A142</f>
        <v>C:\Users\USUARIO\Macros\FACTURAS Y LISTADOS\1130 - Urbanización Alborada 1-4 PH\Urbanización Alborada 1-4 PH - Facturas del mes de_141.pdf</v>
      </c>
      <c r="B142" t="str">
        <f>Base!D142</f>
        <v>Urbanización Alborada 1-4 PH - Facturas del mes de_141.pdf</v>
      </c>
      <c r="C142" s="2" t="str">
        <f>Cálculos!G142</f>
        <v>Urbanización Alborada 1-4 PH - Factura del Mes de Agosto de 2017 0 - 0 - 0.pdf</v>
      </c>
      <c r="D142" t="str">
        <f>Cálculos!H142</f>
        <v>C:\Users\USUARIO\Macros\FACTURAS Y LISTADOS\1130 - Urbanización Alborada 1-4 PH\Agosto de 2017\Urbanización Alborada 1-4 PH - Factura del Mes de Agosto de 2017 0 - 0 - 0.pdf</v>
      </c>
    </row>
    <row r="143" spans="1:4" x14ac:dyDescent="0.25">
      <c r="A143" t="str">
        <f>Base!A143</f>
        <v>C:\Users\USUARIO\Macros\FACTURAS Y LISTADOS\1130 - Urbanización Alborada 1-4 PH\Urbanización Alborada 1-4 PH - Facturas del mes de_142.pdf</v>
      </c>
      <c r="B143" t="str">
        <f>Base!D143</f>
        <v>Urbanización Alborada 1-4 PH - Facturas del mes de_142.pdf</v>
      </c>
      <c r="C143" s="2" t="str">
        <f>Cálculos!G143</f>
        <v>Urbanización Alborada 1-4 PH - Factura del Mes de Agosto de 2017 0 - 0 - 0.pdf</v>
      </c>
      <c r="D143" t="str">
        <f>Cálculos!H143</f>
        <v>C:\Users\USUARIO\Macros\FACTURAS Y LISTADOS\1130 - Urbanización Alborada 1-4 PH\Agosto de 2017\Urbanización Alborada 1-4 PH - Factura del Mes de Agosto de 2017 0 - 0 - 0.pdf</v>
      </c>
    </row>
    <row r="144" spans="1:4" x14ac:dyDescent="0.25">
      <c r="A144" t="str">
        <f>Base!A144</f>
        <v>C:\Users\USUARIO\Macros\FACTURAS Y LISTADOS\1130 - Urbanización Alborada 1-4 PH\Urbanización Alborada 1-4 PH - Facturas del mes de_143.pdf</v>
      </c>
      <c r="B144" t="str">
        <f>Base!D144</f>
        <v>Urbanización Alborada 1-4 PH - Facturas del mes de_143.pdf</v>
      </c>
      <c r="C144" s="2" t="str">
        <f>Cálculos!G144</f>
        <v>Urbanización Alborada 1-4 PH - Factura del Mes de Agosto de 2017 0 - 0 - 0.pdf</v>
      </c>
      <c r="D144" t="str">
        <f>Cálculos!H144</f>
        <v>C:\Users\USUARIO\Macros\FACTURAS Y LISTADOS\1130 - Urbanización Alborada 1-4 PH\Agosto de 2017\Urbanización Alborada 1-4 PH - Factura del Mes de Agosto de 2017 0 - 0 - 0.pdf</v>
      </c>
    </row>
    <row r="145" spans="1:4" x14ac:dyDescent="0.25">
      <c r="A145" t="str">
        <f>Base!A145</f>
        <v>C:\Users\USUARIO\Macros\FACTURAS Y LISTADOS\1130 - Urbanización Alborada 1-4 PH\Urbanización Alborada 1-4 PH - Facturas del mes de_144.pdf</v>
      </c>
      <c r="B145" t="str">
        <f>Base!D145</f>
        <v>Urbanización Alborada 1-4 PH - Facturas del mes de_144.pdf</v>
      </c>
      <c r="C145" s="2" t="str">
        <f>Cálculos!G145</f>
        <v>Urbanización Alborada 1-4 PH - Factura del Mes de Agosto de 2017 0 - 0 - 0.pdf</v>
      </c>
      <c r="D145" t="str">
        <f>Cálculos!H145</f>
        <v>C:\Users\USUARIO\Macros\FACTURAS Y LISTADOS\1130 - Urbanización Alborada 1-4 PH\Agosto de 2017\Urbanización Alborada 1-4 PH - Factura del Mes de Agosto de 2017 0 - 0 - 0.pdf</v>
      </c>
    </row>
    <row r="146" spans="1:4" x14ac:dyDescent="0.25">
      <c r="A146" t="str">
        <f>Base!A146</f>
        <v>C:\Users\USUARIO\Macros\FACTURAS Y LISTADOS\1130 - Urbanización Alborada 1-4 PH\Urbanización Alborada 1-4 PH - Facturas del mes de_145.pdf</v>
      </c>
      <c r="B146" t="str">
        <f>Base!D146</f>
        <v>Urbanización Alborada 1-4 PH - Facturas del mes de_145.pdf</v>
      </c>
      <c r="C146" s="2" t="str">
        <f>Cálculos!G146</f>
        <v>Urbanización Alborada 1-4 PH - Factura del Mes de Agosto de 2017 0 - 0 - 0.pdf</v>
      </c>
      <c r="D146" t="str">
        <f>Cálculos!H146</f>
        <v>C:\Users\USUARIO\Macros\FACTURAS Y LISTADOS\1130 - Urbanización Alborada 1-4 PH\Agosto de 2017\Urbanización Alborada 1-4 PH - Factura del Mes de Agosto de 2017 0 - 0 - 0.pdf</v>
      </c>
    </row>
    <row r="147" spans="1:4" x14ac:dyDescent="0.25">
      <c r="A147" t="str">
        <f>Base!A147</f>
        <v>C:\Users\USUARIO\Macros\FACTURAS Y LISTADOS\1130 - Urbanización Alborada 1-4 PH\Urbanización Alborada 1-4 PH - Facturas del mes de_146.pdf</v>
      </c>
      <c r="B147" t="str">
        <f>Base!D147</f>
        <v>Urbanización Alborada 1-4 PH - Facturas del mes de_146.pdf</v>
      </c>
      <c r="C147" s="2" t="str">
        <f>Cálculos!G147</f>
        <v>Urbanización Alborada 1-4 PH - Factura del Mes de Agosto de 2017 0 - 0 - 0.pdf</v>
      </c>
      <c r="D147" t="str">
        <f>Cálculos!H147</f>
        <v>C:\Users\USUARIO\Macros\FACTURAS Y LISTADOS\1130 - Urbanización Alborada 1-4 PH\Agosto de 2017\Urbanización Alborada 1-4 PH - Factura del Mes de Agosto de 2017 0 - 0 - 0.pdf</v>
      </c>
    </row>
    <row r="148" spans="1:4" x14ac:dyDescent="0.25">
      <c r="A148" t="str">
        <f>Base!A148</f>
        <v>C:\Users\USUARIO\Macros\FACTURAS Y LISTADOS\1130 - Urbanización Alborada 1-4 PH\Urbanización Alborada 1-4 PH - Facturas del mes de_147.pdf</v>
      </c>
      <c r="B148" t="str">
        <f>Base!D148</f>
        <v>Urbanización Alborada 1-4 PH - Facturas del mes de_147.pdf</v>
      </c>
      <c r="C148" s="2" t="str">
        <f>Cálculos!G148</f>
        <v>Urbanización Alborada 1-4 PH - Factura del Mes de Agosto de 2017 0 - 0 - 0.pdf</v>
      </c>
      <c r="D148" t="str">
        <f>Cálculos!H148</f>
        <v>C:\Users\USUARIO\Macros\FACTURAS Y LISTADOS\1130 - Urbanización Alborada 1-4 PH\Agosto de 2017\Urbanización Alborada 1-4 PH - Factura del Mes de Agosto de 2017 0 - 0 - 0.pdf</v>
      </c>
    </row>
    <row r="149" spans="1:4" x14ac:dyDescent="0.25">
      <c r="A149" t="str">
        <f>Base!A149</f>
        <v>C:\Users\USUARIO\Macros\FACTURAS Y LISTADOS\1130 - Urbanización Alborada 1-4 PH\Urbanización Alborada 1-4 PH - Facturas del mes de_148.pdf</v>
      </c>
      <c r="B149" t="str">
        <f>Base!D149</f>
        <v>Urbanización Alborada 1-4 PH - Facturas del mes de_148.pdf</v>
      </c>
      <c r="C149" s="2" t="str">
        <f>Cálculos!G149</f>
        <v>Urbanización Alborada 1-4 PH - Factura del Mes de Agosto de 2017 0 - 0 - 0.pdf</v>
      </c>
      <c r="D149" t="str">
        <f>Cálculos!H149</f>
        <v>C:\Users\USUARIO\Macros\FACTURAS Y LISTADOS\1130 - Urbanización Alborada 1-4 PH\Agosto de 2017\Urbanización Alborada 1-4 PH - Factura del Mes de Agosto de 2017 0 - 0 - 0.pdf</v>
      </c>
    </row>
    <row r="150" spans="1:4" x14ac:dyDescent="0.25">
      <c r="A150" t="str">
        <f>Base!A150</f>
        <v>C:\Users\USUARIO\Macros\FACTURAS Y LISTADOS\1130 - Urbanización Alborada 1-4 PH\Urbanización Alborada 1-4 PH - Facturas del mes de_149.pdf</v>
      </c>
      <c r="B150" t="str">
        <f>Base!D150</f>
        <v>Urbanización Alborada 1-4 PH - Facturas del mes de_149.pdf</v>
      </c>
      <c r="C150" s="2" t="str">
        <f>Cálculos!G150</f>
        <v>Urbanización Alborada 1-4 PH - Factura del Mes de Agosto de 2017 0 - 0 - 0.pdf</v>
      </c>
      <c r="D150" t="str">
        <f>Cálculos!H150</f>
        <v>C:\Users\USUARIO\Macros\FACTURAS Y LISTADOS\1130 - Urbanización Alborada 1-4 PH\Agosto de 2017\Urbanización Alborada 1-4 PH - Factura del Mes de Agosto de 2017 0 - 0 - 0.pdf</v>
      </c>
    </row>
    <row r="151" spans="1:4" x14ac:dyDescent="0.25">
      <c r="A151" t="str">
        <f>Base!A151</f>
        <v>C:\Users\USUARIO\Macros\FACTURAS Y LISTADOS\1130 - Urbanización Alborada 1-4 PH\Urbanización Alborada 1-4 PH - Facturas del mes de_150.pdf</v>
      </c>
      <c r="B151" t="str">
        <f>Base!D151</f>
        <v>Urbanización Alborada 1-4 PH - Facturas del mes de_150.pdf</v>
      </c>
      <c r="C151" s="2" t="str">
        <f>Cálculos!G151</f>
        <v>Urbanización Alborada 1-4 PH - Factura del Mes de Agosto de 2017 0 - 0 - 0.pdf</v>
      </c>
      <c r="D151" t="str">
        <f>Cálculos!H151</f>
        <v>C:\Users\USUARIO\Macros\FACTURAS Y LISTADOS\1130 - Urbanización Alborada 1-4 PH\Agosto de 2017\Urbanización Alborada 1-4 PH - Factura del Mes de Agosto de 2017 0 - 0 - 0.pdf</v>
      </c>
    </row>
    <row r="152" spans="1:4" x14ac:dyDescent="0.25">
      <c r="A152" t="str">
        <f>Base!A152</f>
        <v>C:\Users\USUARIO\Macros\FACTURAS Y LISTADOS\1130 - Urbanización Alborada 1-4 PH\Urbanización Alborada 1-4 PH - Facturas del mes de_151.pdf</v>
      </c>
      <c r="B152" t="str">
        <f>Base!D152</f>
        <v>Urbanización Alborada 1-4 PH - Facturas del mes de_151.pdf</v>
      </c>
      <c r="C152" s="2" t="str">
        <f>Cálculos!G152</f>
        <v>Urbanización Alborada 1-4 PH - Factura del Mes de Agosto de 2017 0 - 0 - 0.pdf</v>
      </c>
      <c r="D152" t="str">
        <f>Cálculos!H152</f>
        <v>C:\Users\USUARIO\Macros\FACTURAS Y LISTADOS\1130 - Urbanización Alborada 1-4 PH\Agosto de 2017\Urbanización Alborada 1-4 PH - Factura del Mes de Agosto de 2017 0 - 0 - 0.pdf</v>
      </c>
    </row>
    <row r="153" spans="1:4" x14ac:dyDescent="0.25">
      <c r="A153" t="str">
        <f>Base!A153</f>
        <v>C:\Users\USUARIO\Macros\FACTURAS Y LISTADOS\1130 - Urbanización Alborada 1-4 PH\Urbanización Alborada 1-4 PH - Facturas del mes de_152.pdf</v>
      </c>
      <c r="B153" t="str">
        <f>Base!D153</f>
        <v>Urbanización Alborada 1-4 PH - Facturas del mes de_152.pdf</v>
      </c>
      <c r="C153" s="2" t="str">
        <f>Cálculos!G153</f>
        <v>Urbanización Alborada 1-4 PH - Factura del Mes de Agosto de 2017 0 - 0 - 0.pdf</v>
      </c>
      <c r="D153" t="str">
        <f>Cálculos!H153</f>
        <v>C:\Users\USUARIO\Macros\FACTURAS Y LISTADOS\1130 - Urbanización Alborada 1-4 PH\Agosto de 2017\Urbanización Alborada 1-4 PH - Factura del Mes de Agosto de 2017 0 - 0 - 0.pdf</v>
      </c>
    </row>
    <row r="154" spans="1:4" x14ac:dyDescent="0.25">
      <c r="A154" t="str">
        <f>Base!A154</f>
        <v>C:\Users\USUARIO\Macros\FACTURAS Y LISTADOS\1130 - Urbanización Alborada 1-4 PH\Urbanización Alborada 1-4 PH - Facturas del mes de_153.pdf</v>
      </c>
      <c r="B154" t="str">
        <f>Base!D154</f>
        <v>Urbanización Alborada 1-4 PH - Facturas del mes de_153.pdf</v>
      </c>
      <c r="C154" s="2" t="str">
        <f>Cálculos!G154</f>
        <v>Urbanización Alborada 1-4 PH - Factura del Mes de Agosto de 2017 0 - 0 - 0.pdf</v>
      </c>
      <c r="D154" t="str">
        <f>Cálculos!H154</f>
        <v>C:\Users\USUARIO\Macros\FACTURAS Y LISTADOS\1130 - Urbanización Alborada 1-4 PH\Agosto de 2017\Urbanización Alborada 1-4 PH - Factura del Mes de Agosto de 2017 0 - 0 - 0.pdf</v>
      </c>
    </row>
    <row r="155" spans="1:4" x14ac:dyDescent="0.25">
      <c r="A155" t="str">
        <f>Base!A155</f>
        <v>C:\Users\USUARIO\Macros\FACTURAS Y LISTADOS\1130 - Urbanización Alborada 1-4 PH\Urbanización Alborada 1-4 PH - Facturas del mes de_154.pdf</v>
      </c>
      <c r="B155" t="str">
        <f>Base!D155</f>
        <v>Urbanización Alborada 1-4 PH - Facturas del mes de_154.pdf</v>
      </c>
      <c r="C155" s="2" t="str">
        <f>Cálculos!G155</f>
        <v>Urbanización Alborada 1-4 PH - Factura del Mes de Agosto de 2017 0 - 0 - 0.pdf</v>
      </c>
      <c r="D155" t="str">
        <f>Cálculos!H155</f>
        <v>C:\Users\USUARIO\Macros\FACTURAS Y LISTADOS\1130 - Urbanización Alborada 1-4 PH\Agosto de 2017\Urbanización Alborada 1-4 PH - Factura del Mes de Agosto de 2017 0 - 0 - 0.pdf</v>
      </c>
    </row>
    <row r="156" spans="1:4" x14ac:dyDescent="0.25">
      <c r="A156" t="str">
        <f>Base!A156</f>
        <v>C:\Users\USUARIO\Macros\FACTURAS Y LISTADOS\1130 - Urbanización Alborada 1-4 PH\Urbanización Alborada 1-4 PH - Facturas del mes de_155.pdf</v>
      </c>
      <c r="B156" t="str">
        <f>Base!D156</f>
        <v>Urbanización Alborada 1-4 PH - Facturas del mes de_155.pdf</v>
      </c>
      <c r="C156" s="2" t="str">
        <f>Cálculos!G156</f>
        <v>Urbanización Alborada 1-4 PH - Factura del Mes de Agosto de 2017 0 - 0 - 0.pdf</v>
      </c>
      <c r="D156" t="str">
        <f>Cálculos!H156</f>
        <v>C:\Users\USUARIO\Macros\FACTURAS Y LISTADOS\1130 - Urbanización Alborada 1-4 PH\Agosto de 2017\Urbanización Alborada 1-4 PH - Factura del Mes de Agosto de 2017 0 - 0 - 0.pdf</v>
      </c>
    </row>
    <row r="157" spans="1:4" x14ac:dyDescent="0.25">
      <c r="A157" t="str">
        <f>Base!A157</f>
        <v>C:\Users\USUARIO\Macros\FACTURAS Y LISTADOS\1130 - Urbanización Alborada 1-4 PH\Urbanización Alborada 1-4 PH - Facturas del mes de_156.pdf</v>
      </c>
      <c r="B157" t="str">
        <f>Base!D157</f>
        <v>Urbanización Alborada 1-4 PH - Facturas del mes de_156.pdf</v>
      </c>
      <c r="C157" s="2" t="str">
        <f>Cálculos!G157</f>
        <v>Urbanización Alborada 1-4 PH - Factura del Mes de Agosto de 2017 0 - 0 - 0.pdf</v>
      </c>
      <c r="D157" t="str">
        <f>Cálculos!H157</f>
        <v>C:\Users\USUARIO\Macros\FACTURAS Y LISTADOS\1130 - Urbanización Alborada 1-4 PH\Agosto de 2017\Urbanización Alborada 1-4 PH - Factura del Mes de Agosto de 2017 0 - 0 - 0.pdf</v>
      </c>
    </row>
    <row r="158" spans="1:4" x14ac:dyDescent="0.25">
      <c r="A158" t="str">
        <f>Base!A158</f>
        <v>C:\Users\USUARIO\Macros\FACTURAS Y LISTADOS\1130 - Urbanización Alborada 1-4 PH\Urbanización Alborada 1-4 PH - Facturas del mes de_157.pdf</v>
      </c>
      <c r="B158" t="str">
        <f>Base!D158</f>
        <v>Urbanización Alborada 1-4 PH - Facturas del mes de_157.pdf</v>
      </c>
      <c r="C158" s="2" t="str">
        <f>Cálculos!G158</f>
        <v>Urbanización Alborada 1-4 PH - Factura del Mes de Agosto de 2017 0 - 0 - 0.pdf</v>
      </c>
      <c r="D158" t="str">
        <f>Cálculos!H158</f>
        <v>C:\Users\USUARIO\Macros\FACTURAS Y LISTADOS\1130 - Urbanización Alborada 1-4 PH\Agosto de 2017\Urbanización Alborada 1-4 PH - Factura del Mes de Agosto de 2017 0 - 0 - 0.pdf</v>
      </c>
    </row>
    <row r="159" spans="1:4" x14ac:dyDescent="0.25">
      <c r="A159" t="str">
        <f>Base!A159</f>
        <v>C:\Users\USUARIO\Macros\FACTURAS Y LISTADOS\1130 - Urbanización Alborada 1-4 PH\Urbanización Alborada 1-4 PH - Facturas del mes de_158.pdf</v>
      </c>
      <c r="B159" t="str">
        <f>Base!D159</f>
        <v>Urbanización Alborada 1-4 PH - Facturas del mes de_158.pdf</v>
      </c>
      <c r="C159" s="2" t="str">
        <f>Cálculos!G159</f>
        <v>Urbanización Alborada 1-4 PH - Factura del Mes de Agosto de 2017 0 - 0 - 0.pdf</v>
      </c>
      <c r="D159" t="str">
        <f>Cálculos!H159</f>
        <v>C:\Users\USUARIO\Macros\FACTURAS Y LISTADOS\1130 - Urbanización Alborada 1-4 PH\Agosto de 2017\Urbanización Alborada 1-4 PH - Factura del Mes de Agosto de 2017 0 - 0 - 0.pdf</v>
      </c>
    </row>
    <row r="160" spans="1:4" x14ac:dyDescent="0.25">
      <c r="A160" t="str">
        <f>Base!A160</f>
        <v>C:\Users\USUARIO\Macros\FACTURAS Y LISTADOS\1130 - Urbanización Alborada 1-4 PH\Urbanización Alborada 1-4 PH - Facturas del mes de_159.pdf</v>
      </c>
      <c r="B160" t="str">
        <f>Base!D160</f>
        <v>Urbanización Alborada 1-4 PH - Facturas del mes de_159.pdf</v>
      </c>
      <c r="C160" s="2" t="str">
        <f>Cálculos!G160</f>
        <v>Urbanización Alborada 1-4 PH - Factura del Mes de Agosto de 2017 0 - 0 - 0.pdf</v>
      </c>
      <c r="D160" t="str">
        <f>Cálculos!H160</f>
        <v>C:\Users\USUARIO\Macros\FACTURAS Y LISTADOS\1130 - Urbanización Alborada 1-4 PH\Agosto de 2017\Urbanización Alborada 1-4 PH - Factura del Mes de Agosto de 2017 0 - 0 - 0.pdf</v>
      </c>
    </row>
    <row r="161" spans="1:4" x14ac:dyDescent="0.25">
      <c r="A161" t="str">
        <f>Base!A161</f>
        <v>C:\Users\USUARIO\Macros\FACTURAS Y LISTADOS\1130 - Urbanización Alborada 1-4 PH\Urbanización Alborada 1-4 PH - Facturas del mes de_160.pdf</v>
      </c>
      <c r="B161" t="str">
        <f>Base!D161</f>
        <v>Urbanización Alborada 1-4 PH - Facturas del mes de_160.pdf</v>
      </c>
      <c r="C161" s="2" t="str">
        <f>Cálculos!G161</f>
        <v>Urbanización Alborada 1-4 PH - Factura del Mes de Agosto de 2017 0 - 0 - 0.pdf</v>
      </c>
      <c r="D161" t="str">
        <f>Cálculos!H161</f>
        <v>C:\Users\USUARIO\Macros\FACTURAS Y LISTADOS\1130 - Urbanización Alborada 1-4 PH\Agosto de 2017\Urbanización Alborada 1-4 PH - Factura del Mes de Agosto de 2017 0 - 0 - 0.pdf</v>
      </c>
    </row>
    <row r="162" spans="1:4" x14ac:dyDescent="0.25">
      <c r="A162" t="str">
        <f>Base!A162</f>
        <v>C:\Users\USUARIO\Macros\FACTURAS Y LISTADOS\1130 - Urbanización Alborada 1-4 PH\Urbanización Alborada 1-4 PH - Facturas del mes de_161.pdf</v>
      </c>
      <c r="B162" t="str">
        <f>Base!D162</f>
        <v>Urbanización Alborada 1-4 PH - Facturas del mes de_161.pdf</v>
      </c>
      <c r="C162" s="2" t="str">
        <f>Cálculos!G162</f>
        <v>Urbanización Alborada 1-4 PH - Factura del Mes de Agosto de 2017 0 - 0 - 0.pdf</v>
      </c>
      <c r="D162" t="str">
        <f>Cálculos!H162</f>
        <v>C:\Users\USUARIO\Macros\FACTURAS Y LISTADOS\1130 - Urbanización Alborada 1-4 PH\Agosto de 2017\Urbanización Alborada 1-4 PH - Factura del Mes de Agosto de 2017 0 - 0 - 0.pdf</v>
      </c>
    </row>
    <row r="163" spans="1:4" x14ac:dyDescent="0.25">
      <c r="A163" t="str">
        <f>Base!A163</f>
        <v>C:\Users\USUARIO\Macros\FACTURAS Y LISTADOS\1130 - Urbanización Alborada 1-4 PH\Urbanización Alborada 1-4 PH - Facturas del mes de_162.pdf</v>
      </c>
      <c r="B163" t="str">
        <f>Base!D163</f>
        <v>Urbanización Alborada 1-4 PH - Facturas del mes de_162.pdf</v>
      </c>
      <c r="C163" s="2" t="str">
        <f>Cálculos!G163</f>
        <v>Urbanización Alborada 1-4 PH - Factura del Mes de Agosto de 2017 0 - 0 - 0.pdf</v>
      </c>
      <c r="D163" t="str">
        <f>Cálculos!H163</f>
        <v>C:\Users\USUARIO\Macros\FACTURAS Y LISTADOS\1130 - Urbanización Alborada 1-4 PH\Agosto de 2017\Urbanización Alborada 1-4 PH - Factura del Mes de Agosto de 2017 0 - 0 - 0.pdf</v>
      </c>
    </row>
    <row r="164" spans="1:4" x14ac:dyDescent="0.25">
      <c r="A164" t="str">
        <f>Base!A164</f>
        <v>C:\Users\USUARIO\Macros\FACTURAS Y LISTADOS\1130 - Urbanización Alborada 1-4 PH\Urbanización Alborada 1-4 PH - Facturas del mes de_163.pdf</v>
      </c>
      <c r="B164" t="str">
        <f>Base!D164</f>
        <v>Urbanización Alborada 1-4 PH - Facturas del mes de_163.pdf</v>
      </c>
      <c r="C164" s="2" t="str">
        <f>Cálculos!G164</f>
        <v>Urbanización Alborada 1-4 PH - Factura del Mes de Agosto de 2017 0 - 0 - 0.pdf</v>
      </c>
      <c r="D164" t="str">
        <f>Cálculos!H164</f>
        <v>C:\Users\USUARIO\Macros\FACTURAS Y LISTADOS\1130 - Urbanización Alborada 1-4 PH\Agosto de 2017\Urbanización Alborada 1-4 PH - Factura del Mes de Agosto de 2017 0 - 0 - 0.pdf</v>
      </c>
    </row>
    <row r="165" spans="1:4" x14ac:dyDescent="0.25">
      <c r="A165" t="str">
        <f>Base!A165</f>
        <v>C:\Users\USUARIO\Macros\FACTURAS Y LISTADOS\1130 - Urbanización Alborada 1-4 PH\Urbanización Alborada 1-4 PH - Facturas del mes de_164.pdf</v>
      </c>
      <c r="B165" t="str">
        <f>Base!D165</f>
        <v>Urbanización Alborada 1-4 PH - Facturas del mes de_164.pdf</v>
      </c>
      <c r="C165" s="2" t="str">
        <f>Cálculos!G165</f>
        <v>Urbanización Alborada 1-4 PH - Factura del Mes de Agosto de 2017 0 - 0 - 0.pdf</v>
      </c>
      <c r="D165" t="str">
        <f>Cálculos!H165</f>
        <v>C:\Users\USUARIO\Macros\FACTURAS Y LISTADOS\1130 - Urbanización Alborada 1-4 PH\Agosto de 2017\Urbanización Alborada 1-4 PH - Factura del Mes de Agosto de 2017 0 - 0 - 0.pdf</v>
      </c>
    </row>
    <row r="166" spans="1:4" x14ac:dyDescent="0.25">
      <c r="A166" t="str">
        <f>Base!A166</f>
        <v>C:\Users\USUARIO\Macros\FACTURAS Y LISTADOS\1130 - Urbanización Alborada 1-4 PH\Urbanización Alborada 1-4 PH - Facturas del mes de_165.pdf</v>
      </c>
      <c r="B166" t="str">
        <f>Base!D166</f>
        <v>Urbanización Alborada 1-4 PH - Facturas del mes de_165.pdf</v>
      </c>
      <c r="C166" s="2" t="str">
        <f>Cálculos!G166</f>
        <v>Urbanización Alborada 1-4 PH - Factura del Mes de Agosto de 2017 0 - 0 - 0.pdf</v>
      </c>
      <c r="D166" t="str">
        <f>Cálculos!H166</f>
        <v>C:\Users\USUARIO\Macros\FACTURAS Y LISTADOS\1130 - Urbanización Alborada 1-4 PH\Agosto de 2017\Urbanización Alborada 1-4 PH - Factura del Mes de Agosto de 2017 0 - 0 - 0.pdf</v>
      </c>
    </row>
    <row r="167" spans="1:4" x14ac:dyDescent="0.25">
      <c r="A167" t="str">
        <f>Base!A167</f>
        <v>C:\Users\USUARIO\Macros\FACTURAS Y LISTADOS\1130 - Urbanización Alborada 1-4 PH\Urbanización Alborada 1-4 PH - Facturas del mes de_166.pdf</v>
      </c>
      <c r="B167" t="str">
        <f>Base!D167</f>
        <v>Urbanización Alborada 1-4 PH - Facturas del mes de_166.pdf</v>
      </c>
      <c r="C167" s="2" t="str">
        <f>Cálculos!G167</f>
        <v>Urbanización Alborada 1-4 PH - Factura del Mes de Agosto de 2017 0 - 0 - 0.pdf</v>
      </c>
      <c r="D167" t="str">
        <f>Cálculos!H167</f>
        <v>C:\Users\USUARIO\Macros\FACTURAS Y LISTADOS\1130 - Urbanización Alborada 1-4 PH\Agosto de 2017\Urbanización Alborada 1-4 PH - Factura del Mes de Agosto de 2017 0 - 0 - 0.pdf</v>
      </c>
    </row>
    <row r="168" spans="1:4" x14ac:dyDescent="0.25">
      <c r="A168" t="str">
        <f>Base!A168</f>
        <v>C:\Users\USUARIO\Macros\FACTURAS Y LISTADOS\1130 - Urbanización Alborada 1-4 PH\Urbanización Alborada 1-4 PH - Facturas del mes de_167.pdf</v>
      </c>
      <c r="B168" t="str">
        <f>Base!D168</f>
        <v>Urbanización Alborada 1-4 PH - Facturas del mes de_167.pdf</v>
      </c>
      <c r="C168" s="2" t="str">
        <f>Cálculos!G168</f>
        <v>Urbanización Alborada 1-4 PH - Factura del Mes de Agosto de 2017 0 - 0 - 0.pdf</v>
      </c>
      <c r="D168" t="str">
        <f>Cálculos!H168</f>
        <v>C:\Users\USUARIO\Macros\FACTURAS Y LISTADOS\1130 - Urbanización Alborada 1-4 PH\Agosto de 2017\Urbanización Alborada 1-4 PH - Factura del Mes de Agosto de 2017 0 - 0 - 0.pdf</v>
      </c>
    </row>
    <row r="169" spans="1:4" x14ac:dyDescent="0.25">
      <c r="A169" t="str">
        <f>Base!A169</f>
        <v>C:\Users\USUARIO\Macros\FACTURAS Y LISTADOS\1130 - Urbanización Alborada 1-4 PH\Urbanización Alborada 1-4 PH - Facturas del mes de_168.pdf</v>
      </c>
      <c r="B169" t="str">
        <f>Base!D169</f>
        <v>Urbanización Alborada 1-4 PH - Facturas del mes de_168.pdf</v>
      </c>
      <c r="C169" s="2" t="str">
        <f>Cálculos!G169</f>
        <v>Urbanización Alborada 1-4 PH - Factura del Mes de Agosto de 2017 0 - 0 - 0.pdf</v>
      </c>
      <c r="D169" t="str">
        <f>Cálculos!H169</f>
        <v>C:\Users\USUARIO\Macros\FACTURAS Y LISTADOS\1130 - Urbanización Alborada 1-4 PH\Agosto de 2017\Urbanización Alborada 1-4 PH - Factura del Mes de Agosto de 2017 0 - 0 - 0.pdf</v>
      </c>
    </row>
    <row r="170" spans="1:4" x14ac:dyDescent="0.25">
      <c r="A170" t="str">
        <f>Base!A170</f>
        <v>C:\Users\USUARIO\Macros\FACTURAS Y LISTADOS\1130 - Urbanización Alborada 1-4 PH\Urbanización Alborada 1-4 PH - Facturas del mes de_169.pdf</v>
      </c>
      <c r="B170" t="str">
        <f>Base!D170</f>
        <v>Urbanización Alborada 1-4 PH - Facturas del mes de_169.pdf</v>
      </c>
      <c r="C170" s="2" t="str">
        <f>Cálculos!G170</f>
        <v>Urbanización Alborada 1-4 PH - Factura del Mes de Agosto de 2017 0 - 0 - 0.pdf</v>
      </c>
      <c r="D170" t="str">
        <f>Cálculos!H170</f>
        <v>C:\Users\USUARIO\Macros\FACTURAS Y LISTADOS\1130 - Urbanización Alborada 1-4 PH\Agosto de 2017\Urbanización Alborada 1-4 PH - Factura del Mes de Agosto de 2017 0 - 0 - 0.pdf</v>
      </c>
    </row>
    <row r="171" spans="1:4" x14ac:dyDescent="0.25">
      <c r="A171" t="str">
        <f>Base!A171</f>
        <v>C:\Users\USUARIO\Macros\FACTURAS Y LISTADOS\1130 - Urbanización Alborada 1-4 PH\Urbanización Alborada 1-4 PH - Facturas del mes de_170.pdf</v>
      </c>
      <c r="B171" t="str">
        <f>Base!D171</f>
        <v>Urbanización Alborada 1-4 PH - Facturas del mes de_170.pdf</v>
      </c>
      <c r="C171" s="2" t="str">
        <f>Cálculos!G171</f>
        <v>Urbanización Alborada 1-4 PH - Factura del Mes de Agosto de 2017 0 - 0 - 0.pdf</v>
      </c>
      <c r="D171" t="str">
        <f>Cálculos!H171</f>
        <v>C:\Users\USUARIO\Macros\FACTURAS Y LISTADOS\1130 - Urbanización Alborada 1-4 PH\Agosto de 2017\Urbanización Alborada 1-4 PH - Factura del Mes de Agosto de 2017 0 - 0 - 0.pdf</v>
      </c>
    </row>
    <row r="172" spans="1:4" x14ac:dyDescent="0.25">
      <c r="A172" t="str">
        <f>Base!A172</f>
        <v>C:\Users\USUARIO\Macros\FACTURAS Y LISTADOS\1130 - Urbanización Alborada 1-4 PH\Urbanización Alborada 1-4 PH - Facturas del mes de_171.pdf</v>
      </c>
      <c r="B172" t="str">
        <f>Base!D172</f>
        <v>Urbanización Alborada 1-4 PH - Facturas del mes de_171.pdf</v>
      </c>
      <c r="C172" s="2" t="str">
        <f>Cálculos!G172</f>
        <v>Urbanización Alborada 1-4 PH - Factura del Mes de Agosto de 2017 0 - 0 - 0.pdf</v>
      </c>
      <c r="D172" t="str">
        <f>Cálculos!H172</f>
        <v>C:\Users\USUARIO\Macros\FACTURAS Y LISTADOS\1130 - Urbanización Alborada 1-4 PH\Agosto de 2017\Urbanización Alborada 1-4 PH - Factura del Mes de Agosto de 2017 0 - 0 - 0.pdf</v>
      </c>
    </row>
    <row r="173" spans="1:4" x14ac:dyDescent="0.25">
      <c r="A173" t="str">
        <f>Base!A173</f>
        <v>C:\Users\USUARIO\Macros\FACTURAS Y LISTADOS\1130 - Urbanización Alborada 1-4 PH\Urbanización Alborada 1-4 PH - Facturas del mes de_172.pdf</v>
      </c>
      <c r="B173" t="str">
        <f>Base!D173</f>
        <v>Urbanización Alborada 1-4 PH - Facturas del mes de_172.pdf</v>
      </c>
      <c r="C173" s="2" t="str">
        <f>Cálculos!G173</f>
        <v>Urbanización Alborada 1-4 PH - Factura del Mes de Agosto de 2017 0 - 0 - 0.pdf</v>
      </c>
      <c r="D173" t="str">
        <f>Cálculos!H173</f>
        <v>C:\Users\USUARIO\Macros\FACTURAS Y LISTADOS\1130 - Urbanización Alborada 1-4 PH\Agosto de 2017\Urbanización Alborada 1-4 PH - Factura del Mes de Agosto de 2017 0 - 0 - 0.pdf</v>
      </c>
    </row>
    <row r="174" spans="1:4" x14ac:dyDescent="0.25">
      <c r="A174" t="str">
        <f>Base!A174</f>
        <v>C:\Users\USUARIO\Macros\FACTURAS Y LISTADOS\1130 - Urbanización Alborada 1-4 PH\Urbanización Alborada 1-4 PH - Facturas del mes de_173.pdf</v>
      </c>
      <c r="B174" t="str">
        <f>Base!D174</f>
        <v>Urbanización Alborada 1-4 PH - Facturas del mes de_173.pdf</v>
      </c>
      <c r="C174" s="2" t="str">
        <f>Cálculos!G174</f>
        <v>Urbanización Alborada 1-4 PH - Factura del Mes de Agosto de 2017 0 - 0 - 0.pdf</v>
      </c>
      <c r="D174" t="str">
        <f>Cálculos!H174</f>
        <v>C:\Users\USUARIO\Macros\FACTURAS Y LISTADOS\1130 - Urbanización Alborada 1-4 PH\Agosto de 2017\Urbanización Alborada 1-4 PH - Factura del Mes de Agosto de 2017 0 - 0 - 0.pdf</v>
      </c>
    </row>
    <row r="175" spans="1:4" x14ac:dyDescent="0.25">
      <c r="A175" t="str">
        <f>Base!A175</f>
        <v>C:\Users\USUARIO\Macros\FACTURAS Y LISTADOS\1130 - Urbanización Alborada 1-4 PH\Urbanización Alborada 1-4 PH - Facturas del mes de_174.pdf</v>
      </c>
      <c r="B175" t="str">
        <f>Base!D175</f>
        <v>Urbanización Alborada 1-4 PH - Facturas del mes de_174.pdf</v>
      </c>
      <c r="C175" s="2" t="str">
        <f>Cálculos!G175</f>
        <v>Urbanización Alborada 1-4 PH - Factura del Mes de Agosto de 2017 0 - 0 - 0.pdf</v>
      </c>
      <c r="D175" t="str">
        <f>Cálculos!H175</f>
        <v>C:\Users\USUARIO\Macros\FACTURAS Y LISTADOS\1130 - Urbanización Alborada 1-4 PH\Agosto de 2017\Urbanización Alborada 1-4 PH - Factura del Mes de Agosto de 2017 0 - 0 - 0.pdf</v>
      </c>
    </row>
    <row r="176" spans="1:4" x14ac:dyDescent="0.25">
      <c r="A176" t="str">
        <f>Base!A176</f>
        <v>C:\Users\USUARIO\Macros\FACTURAS Y LISTADOS\1130 - Urbanización Alborada 1-4 PH\Urbanización Alborada 1-4 PH - Facturas del mes de_175.pdf</v>
      </c>
      <c r="B176" t="str">
        <f>Base!D176</f>
        <v>Urbanización Alborada 1-4 PH - Facturas del mes de_175.pdf</v>
      </c>
      <c r="C176" s="2" t="str">
        <f>Cálculos!G176</f>
        <v>Urbanización Alborada 1-4 PH - Factura del Mes de Agosto de 2017 0 - 0 - 0.pdf</v>
      </c>
      <c r="D176" t="str">
        <f>Cálculos!H176</f>
        <v>C:\Users\USUARIO\Macros\FACTURAS Y LISTADOS\1130 - Urbanización Alborada 1-4 PH\Agosto de 2017\Urbanización Alborada 1-4 PH - Factura del Mes de Agosto de 2017 0 - 0 - 0.pdf</v>
      </c>
    </row>
    <row r="177" spans="1:4" x14ac:dyDescent="0.25">
      <c r="A177" t="str">
        <f>Base!A177</f>
        <v>C:\Users\USUARIO\Macros\FACTURAS Y LISTADOS\1130 - Urbanización Alborada 1-4 PH\Urbanización Alborada 1-4 PH - Facturas del mes de_176.pdf</v>
      </c>
      <c r="B177" t="str">
        <f>Base!D177</f>
        <v>Urbanización Alborada 1-4 PH - Facturas del mes de_176.pdf</v>
      </c>
      <c r="C177" s="2" t="str">
        <f>Cálculos!G177</f>
        <v>Urbanización Alborada 1-4 PH - Factura del Mes de Agosto de 2017 0 - 0 - 0.pdf</v>
      </c>
      <c r="D177" t="str">
        <f>Cálculos!H177</f>
        <v>C:\Users\USUARIO\Macros\FACTURAS Y LISTADOS\1130 - Urbanización Alborada 1-4 PH\Agosto de 2017\Urbanización Alborada 1-4 PH - Factura del Mes de Agosto de 2017 0 - 0 - 0.pdf</v>
      </c>
    </row>
    <row r="178" spans="1:4" x14ac:dyDescent="0.25">
      <c r="A178" t="str">
        <f>Base!A178</f>
        <v>C:\Users\USUARIO\Macros\FACTURAS Y LISTADOS\1130 - Urbanización Alborada 1-4 PH\Urbanización Alborada 1-4 PH - Facturas del mes de_177.pdf</v>
      </c>
      <c r="B178" t="str">
        <f>Base!D178</f>
        <v>Urbanización Alborada 1-4 PH - Facturas del mes de_177.pdf</v>
      </c>
      <c r="C178" s="2" t="str">
        <f>Cálculos!G178</f>
        <v>Urbanización Alborada 1-4 PH - Factura del Mes de Agosto de 2017 0 - 0 - 0.pdf</v>
      </c>
      <c r="D178" t="str">
        <f>Cálculos!H178</f>
        <v>C:\Users\USUARIO\Macros\FACTURAS Y LISTADOS\1130 - Urbanización Alborada 1-4 PH\Agosto de 2017\Urbanización Alborada 1-4 PH - Factura del Mes de Agosto de 2017 0 - 0 - 0.pdf</v>
      </c>
    </row>
    <row r="179" spans="1:4" x14ac:dyDescent="0.25">
      <c r="A179" t="str">
        <f>Base!A179</f>
        <v>C:\Users\USUARIO\Macros\FACTURAS Y LISTADOS\1130 - Urbanización Alborada 1-4 PH\Urbanización Alborada 1-4 PH - Facturas del mes de_178.pdf</v>
      </c>
      <c r="B179" t="str">
        <f>Base!D179</f>
        <v>Urbanización Alborada 1-4 PH - Facturas del mes de_178.pdf</v>
      </c>
      <c r="C179" s="2" t="str">
        <f>Cálculos!G179</f>
        <v>Urbanización Alborada 1-4 PH - Factura del Mes de Agosto de 2017 0 - 0 - 0.pdf</v>
      </c>
      <c r="D179" t="str">
        <f>Cálculos!H179</f>
        <v>C:\Users\USUARIO\Macros\FACTURAS Y LISTADOS\1130 - Urbanización Alborada 1-4 PH\Agosto de 2017\Urbanización Alborada 1-4 PH - Factura del Mes de Agosto de 2017 0 - 0 - 0.pdf</v>
      </c>
    </row>
    <row r="180" spans="1:4" x14ac:dyDescent="0.25">
      <c r="A180" t="str">
        <f>Base!A180</f>
        <v>C:\Users\USUARIO\Macros\FACTURAS Y LISTADOS\1130 - Urbanización Alborada 1-4 PH\Urbanización Alborada 1-4 PH - Facturas del mes de_179.pdf</v>
      </c>
      <c r="B180" t="str">
        <f>Base!D180</f>
        <v>Urbanización Alborada 1-4 PH - Facturas del mes de_179.pdf</v>
      </c>
      <c r="C180" s="2" t="str">
        <f>Cálculos!G180</f>
        <v>Urbanización Alborada 1-4 PH - Factura del Mes de Agosto de 2017 0 - 0 - 0.pdf</v>
      </c>
      <c r="D180" t="str">
        <f>Cálculos!H180</f>
        <v>C:\Users\USUARIO\Macros\FACTURAS Y LISTADOS\1130 - Urbanización Alborada 1-4 PH\Agosto de 2017\Urbanización Alborada 1-4 PH - Factura del Mes de Agosto de 2017 0 - 0 - 0.pdf</v>
      </c>
    </row>
    <row r="181" spans="1:4" x14ac:dyDescent="0.25">
      <c r="A181" t="str">
        <f>Base!A181</f>
        <v>C:\Users\USUARIO\Macros\FACTURAS Y LISTADOS\1130 - Urbanización Alborada 1-4 PH\Urbanización Alborada 1-4 PH - Facturas del mes de_180.pdf</v>
      </c>
      <c r="B181" t="str">
        <f>Base!D181</f>
        <v>Urbanización Alborada 1-4 PH - Facturas del mes de_180.pdf</v>
      </c>
      <c r="C181" s="2" t="str">
        <f>Cálculos!G181</f>
        <v>Urbanización Alborada 1-4 PH - Factura del Mes de Agosto de 2017 0 - 0 - 0.pdf</v>
      </c>
      <c r="D181" t="str">
        <f>Cálculos!H181</f>
        <v>C:\Users\USUARIO\Macros\FACTURAS Y LISTADOS\1130 - Urbanización Alborada 1-4 PH\Agosto de 2017\Urbanización Alborada 1-4 PH - Factura del Mes de Agosto de 2017 0 - 0 - 0.pdf</v>
      </c>
    </row>
    <row r="182" spans="1:4" x14ac:dyDescent="0.25">
      <c r="A182" t="str">
        <f>Base!A182</f>
        <v>C:\Users\USUARIO\Macros\FACTURAS Y LISTADOS\1130 - Urbanización Alborada 1-4 PH\Urbanización Alborada 1-4 PH - Facturas del mes de_181.pdf</v>
      </c>
      <c r="B182" t="str">
        <f>Base!D182</f>
        <v>Urbanización Alborada 1-4 PH - Facturas del mes de_181.pdf</v>
      </c>
      <c r="C182" s="2" t="str">
        <f>Cálculos!G182</f>
        <v>Urbanización Alborada 1-4 PH - Factura del Mes de Agosto de 2017 0 - 0 - 0.pdf</v>
      </c>
      <c r="D182" t="str">
        <f>Cálculos!H182</f>
        <v>C:\Users\USUARIO\Macros\FACTURAS Y LISTADOS\1130 - Urbanización Alborada 1-4 PH\Agosto de 2017\Urbanización Alborada 1-4 PH - Factura del Mes de Agosto de 2017 0 - 0 - 0.pdf</v>
      </c>
    </row>
    <row r="183" spans="1:4" x14ac:dyDescent="0.25">
      <c r="A183" t="str">
        <f>Base!A183</f>
        <v>C:\Users\USUARIO\Macros\FACTURAS Y LISTADOS\1130 - Urbanización Alborada 1-4 PH\Urbanización Alborada 1-4 PH - Facturas del mes de_182.pdf</v>
      </c>
      <c r="B183" t="str">
        <f>Base!D183</f>
        <v>Urbanización Alborada 1-4 PH - Facturas del mes de_182.pdf</v>
      </c>
      <c r="C183" s="2" t="str">
        <f>Cálculos!G183</f>
        <v>Urbanización Alborada 1-4 PH - Factura del Mes de Agosto de 2017 0 - 0 - 0.pdf</v>
      </c>
      <c r="D183" t="str">
        <f>Cálculos!H183</f>
        <v>C:\Users\USUARIO\Macros\FACTURAS Y LISTADOS\1130 - Urbanización Alborada 1-4 PH\Agosto de 2017\Urbanización Alborada 1-4 PH - Factura del Mes de Agosto de 2017 0 - 0 - 0.pdf</v>
      </c>
    </row>
    <row r="184" spans="1:4" x14ac:dyDescent="0.25">
      <c r="A184" t="str">
        <f>Base!A184</f>
        <v>C:\Users\USUARIO\Macros\FACTURAS Y LISTADOS\1130 - Urbanización Alborada 1-4 PH\Urbanización Alborada 1-4 PH - Facturas del mes de_183.pdf</v>
      </c>
      <c r="B184" t="str">
        <f>Base!D184</f>
        <v>Urbanización Alborada 1-4 PH - Facturas del mes de_183.pdf</v>
      </c>
      <c r="C184" s="2" t="str">
        <f>Cálculos!G184</f>
        <v>Urbanización Alborada 1-4 PH - Factura del Mes de Agosto de 2017 0 - 0 - 0.pdf</v>
      </c>
      <c r="D184" t="str">
        <f>Cálculos!H184</f>
        <v>C:\Users\USUARIO\Macros\FACTURAS Y LISTADOS\1130 - Urbanización Alborada 1-4 PH\Agosto de 2017\Urbanización Alborada 1-4 PH - Factura del Mes de Agosto de 2017 0 - 0 - 0.pdf</v>
      </c>
    </row>
    <row r="185" spans="1:4" x14ac:dyDescent="0.25">
      <c r="A185" t="str">
        <f>Base!A185</f>
        <v>C:\Users\USUARIO\Macros\FACTURAS Y LISTADOS\1130 - Urbanización Alborada 1-4 PH\Urbanización Alborada 1-4 PH - Facturas del mes de_184.pdf</v>
      </c>
      <c r="B185" t="str">
        <f>Base!D185</f>
        <v>Urbanización Alborada 1-4 PH - Facturas del mes de_184.pdf</v>
      </c>
      <c r="C185" s="2" t="str">
        <f>Cálculos!G185</f>
        <v>Urbanización Alborada 1-4 PH - Factura del Mes de Agosto de 2017 0 - 0 - 0.pdf</v>
      </c>
      <c r="D185" t="str">
        <f>Cálculos!H185</f>
        <v>C:\Users\USUARIO\Macros\FACTURAS Y LISTADOS\1130 - Urbanización Alborada 1-4 PH\Agosto de 2017\Urbanización Alborada 1-4 PH - Factura del Mes de Agosto de 2017 0 - 0 - 0.pdf</v>
      </c>
    </row>
    <row r="186" spans="1:4" x14ac:dyDescent="0.25">
      <c r="A186" t="str">
        <f>Base!A186</f>
        <v>C:\Users\USUARIO\Macros\FACTURAS Y LISTADOS\1130 - Urbanización Alborada 1-4 PH\Urbanización Alborada 1-4 PH - Facturas del mes de_185.pdf</v>
      </c>
      <c r="B186" t="str">
        <f>Base!D186</f>
        <v>Urbanización Alborada 1-4 PH - Facturas del mes de_185.pdf</v>
      </c>
      <c r="C186" s="2" t="str">
        <f>Cálculos!G186</f>
        <v>Urbanización Alborada 1-4 PH - Factura del Mes de Agosto de 2017 0 - 0 - 0.pdf</v>
      </c>
      <c r="D186" t="str">
        <f>Cálculos!H186</f>
        <v>C:\Users\USUARIO\Macros\FACTURAS Y LISTADOS\1130 - Urbanización Alborada 1-4 PH\Agosto de 2017\Urbanización Alborada 1-4 PH - Factura del Mes de Agosto de 2017 0 - 0 - 0.pdf</v>
      </c>
    </row>
    <row r="187" spans="1:4" x14ac:dyDescent="0.25">
      <c r="A187" t="str">
        <f>Base!A187</f>
        <v>C:\Users\USUARIO\Macros\FACTURAS Y LISTADOS\1130 - Urbanización Alborada 1-4 PH\Urbanización Alborada 1-4 PH - Facturas del mes de_186.pdf</v>
      </c>
      <c r="B187" t="str">
        <f>Base!D187</f>
        <v>Urbanización Alborada 1-4 PH - Facturas del mes de_186.pdf</v>
      </c>
      <c r="C187" s="2" t="str">
        <f>Cálculos!G187</f>
        <v>Urbanización Alborada 1-4 PH - Factura del Mes de Agosto de 2017 0 - 0 - 0.pdf</v>
      </c>
      <c r="D187" t="str">
        <f>Cálculos!H187</f>
        <v>C:\Users\USUARIO\Macros\FACTURAS Y LISTADOS\1130 - Urbanización Alborada 1-4 PH\Agosto de 2017\Urbanización Alborada 1-4 PH - Factura del Mes de Agosto de 2017 0 - 0 - 0.pdf</v>
      </c>
    </row>
    <row r="188" spans="1:4" x14ac:dyDescent="0.25">
      <c r="A188" t="str">
        <f>Base!A188</f>
        <v>C:\Users\USUARIO\Macros\FACTURAS Y LISTADOS\1130 - Urbanización Alborada 1-4 PH\Urbanización Alborada 1-4 PH - Facturas del mes de_187.pdf</v>
      </c>
      <c r="B188" t="str">
        <f>Base!D188</f>
        <v>Urbanización Alborada 1-4 PH - Facturas del mes de_187.pdf</v>
      </c>
      <c r="C188" s="2" t="str">
        <f>Cálculos!G188</f>
        <v>Urbanización Alborada 1-4 PH - Factura del Mes de Agosto de 2017 0 - 0 - 0.pdf</v>
      </c>
      <c r="D188" t="str">
        <f>Cálculos!H188</f>
        <v>C:\Users\USUARIO\Macros\FACTURAS Y LISTADOS\1130 - Urbanización Alborada 1-4 PH\Agosto de 2017\Urbanización Alborada 1-4 PH - Factura del Mes de Agosto de 2017 0 - 0 - 0.pdf</v>
      </c>
    </row>
    <row r="189" spans="1:4" x14ac:dyDescent="0.25">
      <c r="A189" t="str">
        <f>Base!A189</f>
        <v>C:\Users\USUARIO\Macros\FACTURAS Y LISTADOS\1130 - Urbanización Alborada 1-4 PH\Urbanización Alborada 1-4 PH - Facturas del mes de_188.pdf</v>
      </c>
      <c r="B189" t="str">
        <f>Base!D189</f>
        <v>Urbanización Alborada 1-4 PH - Facturas del mes de_188.pdf</v>
      </c>
      <c r="C189" s="2" t="str">
        <f>Cálculos!G189</f>
        <v>Urbanización Alborada 1-4 PH - Factura del Mes de Agosto de 2017 0 - 0 - 0.pdf</v>
      </c>
      <c r="D189" t="str">
        <f>Cálculos!H189</f>
        <v>C:\Users\USUARIO\Macros\FACTURAS Y LISTADOS\1130 - Urbanización Alborada 1-4 PH\Agosto de 2017\Urbanización Alborada 1-4 PH - Factura del Mes de Agosto de 2017 0 - 0 - 0.pdf</v>
      </c>
    </row>
    <row r="190" spans="1:4" x14ac:dyDescent="0.25">
      <c r="A190" t="str">
        <f>Base!A190</f>
        <v>C:\Users\USUARIO\Macros\FACTURAS Y LISTADOS\1130 - Urbanización Alborada 1-4 PH\Urbanización Alborada 1-4 PH - Facturas del mes de_189.pdf</v>
      </c>
      <c r="B190" t="str">
        <f>Base!D190</f>
        <v>Urbanización Alborada 1-4 PH - Facturas del mes de_189.pdf</v>
      </c>
      <c r="C190" s="2" t="str">
        <f>Cálculos!G190</f>
        <v>Urbanización Alborada 1-4 PH - Factura del Mes de Agosto de 2017 0 - 0 - 0.pdf</v>
      </c>
      <c r="D190" t="str">
        <f>Cálculos!H190</f>
        <v>C:\Users\USUARIO\Macros\FACTURAS Y LISTADOS\1130 - Urbanización Alborada 1-4 PH\Agosto de 2017\Urbanización Alborada 1-4 PH - Factura del Mes de Agosto de 2017 0 - 0 - 0.pdf</v>
      </c>
    </row>
    <row r="191" spans="1:4" x14ac:dyDescent="0.25">
      <c r="A191" t="str">
        <f>Base!A191</f>
        <v>C:\Users\USUARIO\Macros\FACTURAS Y LISTADOS\1130 - Urbanización Alborada 1-4 PH\Urbanización Alborada 1-4 PH - Facturas del mes de_190.pdf</v>
      </c>
      <c r="B191" t="str">
        <f>Base!D191</f>
        <v>Urbanización Alborada 1-4 PH - Facturas del mes de_190.pdf</v>
      </c>
      <c r="C191" s="2" t="str">
        <f>Cálculos!G191</f>
        <v>Urbanización Alborada 1-4 PH - Factura del Mes de Agosto de 2017 0 - 0 - 0.pdf</v>
      </c>
      <c r="D191" t="str">
        <f>Cálculos!H191</f>
        <v>C:\Users\USUARIO\Macros\FACTURAS Y LISTADOS\1130 - Urbanización Alborada 1-4 PH\Agosto de 2017\Urbanización Alborada 1-4 PH - Factura del Mes de Agosto de 2017 0 - 0 - 0.pdf</v>
      </c>
    </row>
    <row r="192" spans="1:4" x14ac:dyDescent="0.25">
      <c r="A192" t="str">
        <f>Base!A192</f>
        <v>C:\Users\USUARIO\Macros\FACTURAS Y LISTADOS\1130 - Urbanización Alborada 1-4 PH\Urbanización Alborada 1-4 PH - Facturas del mes de_191.pdf</v>
      </c>
      <c r="B192" t="str">
        <f>Base!D192</f>
        <v>Urbanización Alborada 1-4 PH - Facturas del mes de_191.pdf</v>
      </c>
      <c r="C192" s="2" t="str">
        <f>Cálculos!G192</f>
        <v>Urbanización Alborada 1-4 PH - Factura del Mes de Agosto de 2017 0 - 0 - 0.pdf</v>
      </c>
      <c r="D192" t="str">
        <f>Cálculos!H192</f>
        <v>C:\Users\USUARIO\Macros\FACTURAS Y LISTADOS\1130 - Urbanización Alborada 1-4 PH\Agosto de 2017\Urbanización Alborada 1-4 PH - Factura del Mes de Agosto de 2017 0 - 0 - 0.pdf</v>
      </c>
    </row>
    <row r="193" spans="1:4" x14ac:dyDescent="0.25">
      <c r="A193" t="str">
        <f>Base!A193</f>
        <v>C:\Users\USUARIO\Macros\FACTURAS Y LISTADOS\1130 - Urbanización Alborada 1-4 PH\Urbanización Alborada 1-4 PH - Facturas del mes de_192.pdf</v>
      </c>
      <c r="B193" t="str">
        <f>Base!D193</f>
        <v>Urbanización Alborada 1-4 PH - Facturas del mes de_192.pdf</v>
      </c>
      <c r="C193" s="2" t="str">
        <f>Cálculos!G193</f>
        <v>Urbanización Alborada 1-4 PH - Factura del Mes de Agosto de 2017 0 - 0 - 0.pdf</v>
      </c>
      <c r="D193" t="str">
        <f>Cálculos!H193</f>
        <v>C:\Users\USUARIO\Macros\FACTURAS Y LISTADOS\1130 - Urbanización Alborada 1-4 PH\Agosto de 2017\Urbanización Alborada 1-4 PH - Factura del Mes de Agosto de 2017 0 - 0 - 0.pdf</v>
      </c>
    </row>
    <row r="194" spans="1:4" x14ac:dyDescent="0.25">
      <c r="A194" t="str">
        <f>Base!A194</f>
        <v>C:\Users\USUARIO\Macros\FACTURAS Y LISTADOS\1130 - Urbanización Alborada 1-4 PH\Urbanización Alborada 1-4 PH - Facturas del mes de_193.pdf</v>
      </c>
      <c r="B194" t="str">
        <f>Base!D194</f>
        <v>Urbanización Alborada 1-4 PH - Facturas del mes de_193.pdf</v>
      </c>
      <c r="C194" s="2" t="str">
        <f>Cálculos!G194</f>
        <v>Urbanización Alborada 1-4 PH - Factura del Mes de Agosto de 2017 0 - 0 - 0.pdf</v>
      </c>
      <c r="D194" t="str">
        <f>Cálculos!H194</f>
        <v>C:\Users\USUARIO\Macros\FACTURAS Y LISTADOS\1130 - Urbanización Alborada 1-4 PH\Agosto de 2017\Urbanización Alborada 1-4 PH - Factura del Mes de Agosto de 2017 0 - 0 - 0.pdf</v>
      </c>
    </row>
    <row r="195" spans="1:4" x14ac:dyDescent="0.25">
      <c r="A195" t="str">
        <f>Base!A195</f>
        <v>C:\Users\USUARIO\Macros\FACTURAS Y LISTADOS\1130 - Urbanización Alborada 1-4 PH\Urbanización Alborada 1-4 PH - Facturas del mes de_194.pdf</v>
      </c>
      <c r="B195" t="str">
        <f>Base!D195</f>
        <v>Urbanización Alborada 1-4 PH - Facturas del mes de_194.pdf</v>
      </c>
      <c r="C195" s="2" t="str">
        <f>Cálculos!G195</f>
        <v>Urbanización Alborada 1-4 PH - Factura del Mes de Agosto de 2017 0 - 0 - 0.pdf</v>
      </c>
      <c r="D195" t="str">
        <f>Cálculos!H195</f>
        <v>C:\Users\USUARIO\Macros\FACTURAS Y LISTADOS\1130 - Urbanización Alborada 1-4 PH\Agosto de 2017\Urbanización Alborada 1-4 PH - Factura del Mes de Agosto de 2017 0 - 0 - 0.pdf</v>
      </c>
    </row>
    <row r="196" spans="1:4" x14ac:dyDescent="0.25">
      <c r="A196" t="str">
        <f>Base!A196</f>
        <v>C:\Users\USUARIO\Macros\FACTURAS Y LISTADOS\1130 - Urbanización Alborada 1-4 PH\Urbanización Alborada 1-4 PH - Facturas del mes de_195.pdf</v>
      </c>
      <c r="B196" t="str">
        <f>Base!D196</f>
        <v>Urbanización Alborada 1-4 PH - Facturas del mes de_195.pdf</v>
      </c>
      <c r="C196" s="2" t="str">
        <f>Cálculos!G196</f>
        <v>Urbanización Alborada 1-4 PH - Factura del Mes de Agosto de 2017 0 - 0 - 0.pdf</v>
      </c>
      <c r="D196" t="str">
        <f>Cálculos!H196</f>
        <v>C:\Users\USUARIO\Macros\FACTURAS Y LISTADOS\1130 - Urbanización Alborada 1-4 PH\Agosto de 2017\Urbanización Alborada 1-4 PH - Factura del Mes de Agosto de 2017 0 - 0 - 0.pdf</v>
      </c>
    </row>
    <row r="197" spans="1:4" x14ac:dyDescent="0.25">
      <c r="A197" t="str">
        <f>Base!A197</f>
        <v>C:\Users\USUARIO\Macros\FACTURAS Y LISTADOS\1130 - Urbanización Alborada 1-4 PH\Urbanización Alborada 1-4 PH - Facturas del mes de_196.pdf</v>
      </c>
      <c r="B197" t="str">
        <f>Base!D197</f>
        <v>Urbanización Alborada 1-4 PH - Facturas del mes de_196.pdf</v>
      </c>
      <c r="C197" s="2" t="str">
        <f>Cálculos!G197</f>
        <v>Urbanización Alborada 1-4 PH - Factura del Mes de Agosto de 2017 0 - 0 - 0.pdf</v>
      </c>
      <c r="D197" t="str">
        <f>Cálculos!H197</f>
        <v>C:\Users\USUARIO\Macros\FACTURAS Y LISTADOS\1130 - Urbanización Alborada 1-4 PH\Agosto de 2017\Urbanización Alborada 1-4 PH - Factura del Mes de Agosto de 2017 0 - 0 - 0.pdf</v>
      </c>
    </row>
    <row r="198" spans="1:4" x14ac:dyDescent="0.25">
      <c r="A198" t="str">
        <f>Base!A198</f>
        <v>C:\Users\USUARIO\Macros\FACTURAS Y LISTADOS\1130 - Urbanización Alborada 1-4 PH\Urbanización Alborada 1-4 PH - Facturas del mes de_197.pdf</v>
      </c>
      <c r="B198" t="str">
        <f>Base!D198</f>
        <v>Urbanización Alborada 1-4 PH - Facturas del mes de_197.pdf</v>
      </c>
      <c r="C198" s="2" t="str">
        <f>Cálculos!G198</f>
        <v>Urbanización Alborada 1-4 PH - Factura del Mes de Agosto de 2017 0 - 0 - 0.pdf</v>
      </c>
      <c r="D198" t="str">
        <f>Cálculos!H198</f>
        <v>C:\Users\USUARIO\Macros\FACTURAS Y LISTADOS\1130 - Urbanización Alborada 1-4 PH\Agosto de 2017\Urbanización Alborada 1-4 PH - Factura del Mes de Agosto de 2017 0 - 0 - 0.pdf</v>
      </c>
    </row>
    <row r="199" spans="1:4" x14ac:dyDescent="0.25">
      <c r="A199" t="str">
        <f>Base!A199</f>
        <v>C:\Users\USUARIO\Macros\FACTURAS Y LISTADOS\1130 - Urbanización Alborada 1-4 PH\Urbanización Alborada 1-4 PH - Facturas del mes de_198.pdf</v>
      </c>
      <c r="B199" t="str">
        <f>Base!D199</f>
        <v>Urbanización Alborada 1-4 PH - Facturas del mes de_198.pdf</v>
      </c>
      <c r="C199" s="2" t="str">
        <f>Cálculos!G199</f>
        <v>Urbanización Alborada 1-4 PH - Factura del Mes de Agosto de 2017 0 - 0 - 0.pdf</v>
      </c>
      <c r="D199" t="str">
        <f>Cálculos!H199</f>
        <v>C:\Users\USUARIO\Macros\FACTURAS Y LISTADOS\1130 - Urbanización Alborada 1-4 PH\Agosto de 2017\Urbanización Alborada 1-4 PH - Factura del Mes de Agosto de 2017 0 - 0 - 0.pdf</v>
      </c>
    </row>
    <row r="200" spans="1:4" x14ac:dyDescent="0.25">
      <c r="A200" t="str">
        <f>Base!A200</f>
        <v>C:\Users\USUARIO\Macros\FACTURAS Y LISTADOS\1130 - Urbanización Alborada 1-4 PH\Urbanización Alborada 1-4 PH - Facturas del mes de_199.pdf</v>
      </c>
      <c r="B200" t="str">
        <f>Base!D200</f>
        <v>Urbanización Alborada 1-4 PH - Facturas del mes de_199.pdf</v>
      </c>
      <c r="C200" s="2" t="str">
        <f>Cálculos!G200</f>
        <v>Urbanización Alborada 1-4 PH - Factura del Mes de Agosto de 2017 0 - 0 - 0.pdf</v>
      </c>
      <c r="D200" t="str">
        <f>Cálculos!H200</f>
        <v>C:\Users\USUARIO\Macros\FACTURAS Y LISTADOS\1130 - Urbanización Alborada 1-4 PH\Agosto de 2017\Urbanización Alborada 1-4 PH - Factura del Mes de Agosto de 2017 0 - 0 - 0.pdf</v>
      </c>
    </row>
    <row r="201" spans="1:4" x14ac:dyDescent="0.25">
      <c r="A201" t="str">
        <f>Base!A201</f>
        <v>C:\Users\USUARIO\Macros\FACTURAS Y LISTADOS\1130 - Urbanización Alborada 1-4 PH\Urbanización Alborada 1-4 PH - Facturas del mes de_200.pdf</v>
      </c>
      <c r="B201" t="str">
        <f>Base!D201</f>
        <v>Urbanización Alborada 1-4 PH - Facturas del mes de_200.pdf</v>
      </c>
      <c r="C201" s="2" t="str">
        <f>Cálculos!G201</f>
        <v>Urbanización Alborada 1-4 PH - Factura del Mes de Agosto de 2017 0 - 0 - 0.pdf</v>
      </c>
      <c r="D201" t="str">
        <f>Cálculos!H201</f>
        <v>C:\Users\USUARIO\Macros\FACTURAS Y LISTADOS\1130 - Urbanización Alborada 1-4 PH\Agosto de 2017\Urbanización Alborada 1-4 PH - Factura del Mes de Agosto de 2017 0 - 0 - 0.pdf</v>
      </c>
    </row>
    <row r="202" spans="1:4" x14ac:dyDescent="0.25">
      <c r="A202" t="str">
        <f>Base!A202</f>
        <v>C:\Users\USUARIO\Macros\FACTURAS Y LISTADOS\1130 - Urbanización Alborada 1-4 PH\Urbanización Alborada 1-4 PH - Facturas del mes de_201.pdf</v>
      </c>
      <c r="B202" t="str">
        <f>Base!D202</f>
        <v>Urbanización Alborada 1-4 PH - Facturas del mes de_201.pdf</v>
      </c>
      <c r="C202" s="2" t="str">
        <f>Cálculos!G202</f>
        <v>Urbanización Alborada 1-4 PH - Factura del Mes de Agosto de 2017 0 - 0 - 0.pdf</v>
      </c>
      <c r="D202" t="str">
        <f>Cálculos!H202</f>
        <v>C:\Users\USUARIO\Macros\FACTURAS Y LISTADOS\1130 - Urbanización Alborada 1-4 PH\Agosto de 2017\Urbanización Alborada 1-4 PH - Factura del Mes de Agosto de 2017 0 - 0 - 0.pdf</v>
      </c>
    </row>
    <row r="203" spans="1:4" x14ac:dyDescent="0.25">
      <c r="A203" t="str">
        <f>Base!A203</f>
        <v>C:\Users\USUARIO\Macros\FACTURAS Y LISTADOS\1130 - Urbanización Alborada 1-4 PH\Urbanización Alborada 1-4 PH - Facturas del mes de_202.pdf</v>
      </c>
      <c r="B203" t="str">
        <f>Base!D203</f>
        <v>Urbanización Alborada 1-4 PH - Facturas del mes de_202.pdf</v>
      </c>
      <c r="C203" s="2" t="str">
        <f>Cálculos!G203</f>
        <v>Urbanización Alborada 1-4 PH - Factura del Mes de Agosto de 2017 0 - 0 - 0.pdf</v>
      </c>
      <c r="D203" t="str">
        <f>Cálculos!H203</f>
        <v>C:\Users\USUARIO\Macros\FACTURAS Y LISTADOS\1130 - Urbanización Alborada 1-4 PH\Agosto de 2017\Urbanización Alborada 1-4 PH - Factura del Mes de Agosto de 2017 0 - 0 - 0.pdf</v>
      </c>
    </row>
    <row r="204" spans="1:4" x14ac:dyDescent="0.25">
      <c r="A204" t="str">
        <f>Base!A204</f>
        <v>C:\Users\USUARIO\Macros\FACTURAS Y LISTADOS\1130 - Urbanización Alborada 1-4 PH\Urbanización Alborada 1-4 PH - Facturas del mes de_203.pdf</v>
      </c>
      <c r="B204" t="str">
        <f>Base!D204</f>
        <v>Urbanización Alborada 1-4 PH - Facturas del mes de_203.pdf</v>
      </c>
      <c r="C204" s="2" t="str">
        <f>Cálculos!G204</f>
        <v>Urbanización Alborada 1-4 PH - Factura del Mes de Agosto de 2017 0 - 0 - 0.pdf</v>
      </c>
      <c r="D204" t="str">
        <f>Cálculos!H204</f>
        <v>C:\Users\USUARIO\Macros\FACTURAS Y LISTADOS\1130 - Urbanización Alborada 1-4 PH\Agosto de 2017\Urbanización Alborada 1-4 PH - Factura del Mes de Agosto de 2017 0 - 0 - 0.pdf</v>
      </c>
    </row>
    <row r="205" spans="1:4" x14ac:dyDescent="0.25">
      <c r="A205" t="str">
        <f>Base!A205</f>
        <v>C:\Users\USUARIO\Macros\FACTURAS Y LISTADOS\1130 - Urbanización Alborada 1-4 PH\Urbanización Alborada 1-4 PH - Facturas del mes de_204.pdf</v>
      </c>
      <c r="B205" t="str">
        <f>Base!D205</f>
        <v>Urbanización Alborada 1-4 PH - Facturas del mes de_204.pdf</v>
      </c>
      <c r="C205" s="2" t="str">
        <f>Cálculos!G205</f>
        <v>Urbanización Alborada 1-4 PH - Factura del Mes de Agosto de 2017 0 - 0 - 0.pdf</v>
      </c>
      <c r="D205" t="str">
        <f>Cálculos!H205</f>
        <v>C:\Users\USUARIO\Macros\FACTURAS Y LISTADOS\1130 - Urbanización Alborada 1-4 PH\Agosto de 2017\Urbanización Alborada 1-4 PH - Factura del Mes de Agosto de 2017 0 - 0 - 0.pdf</v>
      </c>
    </row>
    <row r="206" spans="1:4" x14ac:dyDescent="0.25">
      <c r="A206" t="str">
        <f>Base!A206</f>
        <v>C:\Users\USUARIO\Macros\FACTURAS Y LISTADOS\1130 - Urbanización Alborada 1-4 PH\Urbanización Alborada 1-4 PH - Facturas del mes de_205.pdf</v>
      </c>
      <c r="B206" t="str">
        <f>Base!D206</f>
        <v>Urbanización Alborada 1-4 PH - Facturas del mes de_205.pdf</v>
      </c>
      <c r="C206" s="2" t="str">
        <f>Cálculos!G206</f>
        <v>Urbanización Alborada 1-4 PH - Factura del Mes de Agosto de 2017 0 - 0 - 0.pdf</v>
      </c>
      <c r="D206" t="str">
        <f>Cálculos!H206</f>
        <v>C:\Users\USUARIO\Macros\FACTURAS Y LISTADOS\1130 - Urbanización Alborada 1-4 PH\Agosto de 2017\Urbanización Alborada 1-4 PH - Factura del Mes de Agosto de 2017 0 - 0 - 0.pdf</v>
      </c>
    </row>
    <row r="207" spans="1:4" x14ac:dyDescent="0.25">
      <c r="A207" t="str">
        <f>Base!A207</f>
        <v>C:\Users\USUARIO\Macros\FACTURAS Y LISTADOS\1130 - Urbanización Alborada 1-4 PH\Urbanización Alborada 1-4 PH - Facturas del mes de_206.pdf</v>
      </c>
      <c r="B207" t="str">
        <f>Base!D207</f>
        <v>Urbanización Alborada 1-4 PH - Facturas del mes de_206.pdf</v>
      </c>
      <c r="C207" s="2" t="str">
        <f>Cálculos!G207</f>
        <v>Urbanización Alborada 1-4 PH - Factura del Mes de Agosto de 2017 0 - 0 - 0.pdf</v>
      </c>
      <c r="D207" t="str">
        <f>Cálculos!H207</f>
        <v>C:\Users\USUARIO\Macros\FACTURAS Y LISTADOS\1130 - Urbanización Alborada 1-4 PH\Agosto de 2017\Urbanización Alborada 1-4 PH - Factura del Mes de Agosto de 2017 0 - 0 - 0.pdf</v>
      </c>
    </row>
    <row r="208" spans="1:4" x14ac:dyDescent="0.25">
      <c r="A208" t="str">
        <f>Base!A208</f>
        <v>C:\Users\USUARIO\Macros\FACTURAS Y LISTADOS\1130 - Urbanización Alborada 1-4 PH\Urbanización Alborada 1-4 PH - Facturas del mes de_207.pdf</v>
      </c>
      <c r="B208" t="str">
        <f>Base!D208</f>
        <v>Urbanización Alborada 1-4 PH - Facturas del mes de_207.pdf</v>
      </c>
      <c r="C208" s="2" t="str">
        <f>Cálculos!G208</f>
        <v>Urbanización Alborada 1-4 PH - Factura del Mes de Agosto de 2017 0 - 0 - 0.pdf</v>
      </c>
      <c r="D208" t="str">
        <f>Cálculos!H208</f>
        <v>C:\Users\USUARIO\Macros\FACTURAS Y LISTADOS\1130 - Urbanización Alborada 1-4 PH\Agosto de 2017\Urbanización Alborada 1-4 PH - Factura del Mes de Agosto de 2017 0 - 0 - 0.pdf</v>
      </c>
    </row>
    <row r="209" spans="1:4" x14ac:dyDescent="0.25">
      <c r="A209" t="str">
        <f>Base!A209</f>
        <v>C:\Users\USUARIO\Macros\FACTURAS Y LISTADOS\1130 - Urbanización Alborada 1-4 PH\Urbanización Alborada 1-4 PH - Facturas del mes de_208.pdf</v>
      </c>
      <c r="B209" t="str">
        <f>Base!D209</f>
        <v>Urbanización Alborada 1-4 PH - Facturas del mes de_208.pdf</v>
      </c>
      <c r="C209" s="2" t="str">
        <f>Cálculos!G209</f>
        <v>Urbanización Alborada 1-4 PH - Factura del Mes de Agosto de 2017 0 - 0 - 0.pdf</v>
      </c>
      <c r="D209" t="str">
        <f>Cálculos!H209</f>
        <v>C:\Users\USUARIO\Macros\FACTURAS Y LISTADOS\1130 - Urbanización Alborada 1-4 PH\Agosto de 2017\Urbanización Alborada 1-4 PH - Factura del Mes de Agosto de 2017 0 - 0 - 0.pdf</v>
      </c>
    </row>
    <row r="210" spans="1:4" x14ac:dyDescent="0.25">
      <c r="A210" t="str">
        <f>Base!A210</f>
        <v>C:\Users\USUARIO\Macros\FACTURAS Y LISTADOS\1130 - Urbanización Alborada 1-4 PH\Urbanización Alborada 1-4 PH - Facturas del mes de_209.pdf</v>
      </c>
      <c r="B210" t="str">
        <f>Base!D210</f>
        <v>Urbanización Alborada 1-4 PH - Facturas del mes de_209.pdf</v>
      </c>
      <c r="C210" s="2" t="str">
        <f>Cálculos!G210</f>
        <v>Urbanización Alborada 1-4 PH - Factura del Mes de Agosto de 2017 0 - 0 - 0.pdf</v>
      </c>
      <c r="D210" t="str">
        <f>Cálculos!H210</f>
        <v>C:\Users\USUARIO\Macros\FACTURAS Y LISTADOS\1130 - Urbanización Alborada 1-4 PH\Agosto de 2017\Urbanización Alborada 1-4 PH - Factura del Mes de Agosto de 2017 0 - 0 - 0.pdf</v>
      </c>
    </row>
    <row r="211" spans="1:4" x14ac:dyDescent="0.25">
      <c r="A211" t="str">
        <f>Base!A211</f>
        <v>C:\Users\USUARIO\Macros\FACTURAS Y LISTADOS\1130 - Urbanización Alborada 1-4 PH\Urbanización Alborada 1-4 PH - Facturas del mes de_210.pdf</v>
      </c>
      <c r="B211" t="str">
        <f>Base!D211</f>
        <v>Urbanización Alborada 1-4 PH - Facturas del mes de_210.pdf</v>
      </c>
      <c r="C211" s="2" t="str">
        <f>Cálculos!G211</f>
        <v>Urbanización Alborada 1-4 PH - Factura del Mes de Agosto de 2017 0 - 0 - 0.pdf</v>
      </c>
      <c r="D211" t="str">
        <f>Cálculos!H211</f>
        <v>C:\Users\USUARIO\Macros\FACTURAS Y LISTADOS\1130 - Urbanización Alborada 1-4 PH\Agosto de 2017\Urbanización Alborada 1-4 PH - Factura del Mes de Agosto de 2017 0 - 0 - 0.pdf</v>
      </c>
    </row>
    <row r="212" spans="1:4" x14ac:dyDescent="0.25">
      <c r="A212" t="str">
        <f>Base!A212</f>
        <v>C:\Users\USUARIO\Macros\FACTURAS Y LISTADOS\1130 - Urbanización Alborada 1-4 PH\Urbanización Alborada 1-4 PH - Facturas del mes de_211.pdf</v>
      </c>
      <c r="B212" t="str">
        <f>Base!D212</f>
        <v>Urbanización Alborada 1-4 PH - Facturas del mes de_211.pdf</v>
      </c>
      <c r="C212" s="2" t="str">
        <f>Cálculos!G212</f>
        <v>Urbanización Alborada 1-4 PH - Factura del Mes de Agosto de 2017 0 - 0 - 0.pdf</v>
      </c>
      <c r="D212" t="str">
        <f>Cálculos!H212</f>
        <v>C:\Users\USUARIO\Macros\FACTURAS Y LISTADOS\1130 - Urbanización Alborada 1-4 PH\Agosto de 2017\Urbanización Alborada 1-4 PH - Factura del Mes de Agosto de 2017 0 - 0 - 0.pdf</v>
      </c>
    </row>
    <row r="213" spans="1:4" x14ac:dyDescent="0.25">
      <c r="A213" t="str">
        <f>Base!A213</f>
        <v>C:\Users\USUARIO\Macros\FACTURAS Y LISTADOS\1130 - Urbanización Alborada 1-4 PH\Urbanización Alborada 1-4 PH - Facturas del mes de_212.pdf</v>
      </c>
      <c r="B213" t="str">
        <f>Base!D213</f>
        <v>Urbanización Alborada 1-4 PH - Facturas del mes de_212.pdf</v>
      </c>
      <c r="C213" s="2" t="str">
        <f>Cálculos!G213</f>
        <v>Urbanización Alborada 1-4 PH - Factura del Mes de Agosto de 2017 0 - 0 - 0.pdf</v>
      </c>
      <c r="D213" t="str">
        <f>Cálculos!H213</f>
        <v>C:\Users\USUARIO\Macros\FACTURAS Y LISTADOS\1130 - Urbanización Alborada 1-4 PH\Agosto de 2017\Urbanización Alborada 1-4 PH - Factura del Mes de Agosto de 2017 0 - 0 - 0.pdf</v>
      </c>
    </row>
    <row r="214" spans="1:4" x14ac:dyDescent="0.25">
      <c r="A214" t="str">
        <f>Base!A214</f>
        <v>C:\Users\USUARIO\Macros\FACTURAS Y LISTADOS\1130 - Urbanización Alborada 1-4 PH\Urbanización Alborada 1-4 PH - Facturas del mes de_213.pdf</v>
      </c>
      <c r="B214" t="str">
        <f>Base!D214</f>
        <v>Urbanización Alborada 1-4 PH - Facturas del mes de_213.pdf</v>
      </c>
      <c r="C214" s="2" t="str">
        <f>Cálculos!G214</f>
        <v>Urbanización Alborada 1-4 PH - Factura del Mes de Agosto de 2017 0 - 0 - 0.pdf</v>
      </c>
      <c r="D214" t="str">
        <f>Cálculos!H214</f>
        <v>C:\Users\USUARIO\Macros\FACTURAS Y LISTADOS\1130 - Urbanización Alborada 1-4 PH\Agosto de 2017\Urbanización Alborada 1-4 PH - Factura del Mes de Agosto de 2017 0 - 0 - 0.pdf</v>
      </c>
    </row>
    <row r="215" spans="1:4" x14ac:dyDescent="0.25">
      <c r="A215" t="str">
        <f>Base!A215</f>
        <v>C:\Users\USUARIO\Macros\FACTURAS Y LISTADOS\1130 - Urbanización Alborada 1-4 PH\Urbanización Alborada 1-4 PH - Facturas del mes de_214.pdf</v>
      </c>
      <c r="B215" t="str">
        <f>Base!D215</f>
        <v>Urbanización Alborada 1-4 PH - Facturas del mes de_214.pdf</v>
      </c>
      <c r="C215" s="2" t="str">
        <f>Cálculos!G215</f>
        <v>Urbanización Alborada 1-4 PH - Factura del Mes de Agosto de 2017 0 - 0 - 0.pdf</v>
      </c>
      <c r="D215" t="str">
        <f>Cálculos!H215</f>
        <v>C:\Users\USUARIO\Macros\FACTURAS Y LISTADOS\1130 - Urbanización Alborada 1-4 PH\Agosto de 2017\Urbanización Alborada 1-4 PH - Factura del Mes de Agosto de 2017 0 - 0 - 0.pdf</v>
      </c>
    </row>
    <row r="216" spans="1:4" x14ac:dyDescent="0.25">
      <c r="A216" t="str">
        <f>Base!A216</f>
        <v>C:\Users\USUARIO\Macros\FACTURAS Y LISTADOS\1130 - Urbanización Alborada 1-4 PH\Urbanización Alborada 1-4 PH - Facturas del mes de_215.pdf</v>
      </c>
      <c r="B216" t="str">
        <f>Base!D216</f>
        <v>Urbanización Alborada 1-4 PH - Facturas del mes de_215.pdf</v>
      </c>
      <c r="C216" s="2" t="str">
        <f>Cálculos!G216</f>
        <v>Urbanización Alborada 1-4 PH - Factura del Mes de Agosto de 2017 0 - 0 - 0.pdf</v>
      </c>
      <c r="D216" t="str">
        <f>Cálculos!H216</f>
        <v>C:\Users\USUARIO\Macros\FACTURAS Y LISTADOS\1130 - Urbanización Alborada 1-4 PH\Agosto de 2017\Urbanización Alborada 1-4 PH - Factura del Mes de Agosto de 2017 0 - 0 - 0.pdf</v>
      </c>
    </row>
    <row r="217" spans="1:4" x14ac:dyDescent="0.25">
      <c r="A217" t="str">
        <f>Base!A217</f>
        <v>C:\Users\USUARIO\Macros\FACTURAS Y LISTADOS\1130 - Urbanización Alborada 1-4 PH\Urbanización Alborada 1-4 PH - Facturas del mes de_216.pdf</v>
      </c>
      <c r="B217" t="str">
        <f>Base!D217</f>
        <v>Urbanización Alborada 1-4 PH - Facturas del mes de_216.pdf</v>
      </c>
      <c r="C217" s="2" t="str">
        <f>Cálculos!G217</f>
        <v>Urbanización Alborada 1-4 PH - Factura del Mes de Agosto de 2017 0 - 0 - 0.pdf</v>
      </c>
      <c r="D217" t="str">
        <f>Cálculos!H217</f>
        <v>C:\Users\USUARIO\Macros\FACTURAS Y LISTADOS\1130 - Urbanización Alborada 1-4 PH\Agosto de 2017\Urbanización Alborada 1-4 PH - Factura del Mes de Agosto de 2017 0 - 0 - 0.pdf</v>
      </c>
    </row>
    <row r="218" spans="1:4" x14ac:dyDescent="0.25">
      <c r="A218" t="str">
        <f>Base!A218</f>
        <v>C:\Users\USUARIO\Macros\FACTURAS Y LISTADOS\1130 - Urbanización Alborada 1-4 PH\Urbanización Alborada 1-4 PH - Facturas del mes de_217.pdf</v>
      </c>
      <c r="B218" t="str">
        <f>Base!D218</f>
        <v>Urbanización Alborada 1-4 PH - Facturas del mes de_217.pdf</v>
      </c>
      <c r="C218" s="2" t="str">
        <f>Cálculos!G218</f>
        <v>Urbanización Alborada 1-4 PH - Factura del Mes de Agosto de 2017 0 - 0 - 0.pdf</v>
      </c>
      <c r="D218" t="str">
        <f>Cálculos!H218</f>
        <v>C:\Users\USUARIO\Macros\FACTURAS Y LISTADOS\1130 - Urbanización Alborada 1-4 PH\Agosto de 2017\Urbanización Alborada 1-4 PH - Factura del Mes de Agosto de 2017 0 - 0 - 0.pdf</v>
      </c>
    </row>
    <row r="219" spans="1:4" x14ac:dyDescent="0.25">
      <c r="A219" t="str">
        <f>Base!A219</f>
        <v>C:\Users\USUARIO\Macros\FACTURAS Y LISTADOS\1130 - Urbanización Alborada 1-4 PH\Urbanización Alborada 1-4 PH - Facturas del mes de_218.pdf</v>
      </c>
      <c r="B219" t="str">
        <f>Base!D219</f>
        <v>Urbanización Alborada 1-4 PH - Facturas del mes de_218.pdf</v>
      </c>
      <c r="C219" s="2" t="str">
        <f>Cálculos!G219</f>
        <v>Urbanización Alborada 1-4 PH - Factura del Mes de Agosto de 2017 0 - 0 - 0.pdf</v>
      </c>
      <c r="D219" t="str">
        <f>Cálculos!H219</f>
        <v>C:\Users\USUARIO\Macros\FACTURAS Y LISTADOS\1130 - Urbanización Alborada 1-4 PH\Agosto de 2017\Urbanización Alborada 1-4 PH - Factura del Mes de Agosto de 2017 0 - 0 - 0.pdf</v>
      </c>
    </row>
    <row r="220" spans="1:4" x14ac:dyDescent="0.25">
      <c r="A220" t="str">
        <f>Base!A220</f>
        <v>C:\Users\USUARIO\Macros\FACTURAS Y LISTADOS\1130 - Urbanización Alborada 1-4 PH\Urbanización Alborada 1-4 PH - Facturas del mes de_219.pdf</v>
      </c>
      <c r="B220" t="str">
        <f>Base!D220</f>
        <v>Urbanización Alborada 1-4 PH - Facturas del mes de_219.pdf</v>
      </c>
      <c r="C220" s="2" t="str">
        <f>Cálculos!G220</f>
        <v>Urbanización Alborada 1-4 PH - Factura del Mes de Agosto de 2017 0 - 0 - 0.pdf</v>
      </c>
      <c r="D220" t="str">
        <f>Cálculos!H220</f>
        <v>C:\Users\USUARIO\Macros\FACTURAS Y LISTADOS\1130 - Urbanización Alborada 1-4 PH\Agosto de 2017\Urbanización Alborada 1-4 PH - Factura del Mes de Agosto de 2017 0 - 0 - 0.pdf</v>
      </c>
    </row>
    <row r="221" spans="1:4" x14ac:dyDescent="0.25">
      <c r="A221" t="str">
        <f>Base!A221</f>
        <v>C:\Users\USUARIO\Macros\FACTURAS Y LISTADOS\1130 - Urbanización Alborada 1-4 PH\Urbanización Alborada 1-4 PH - Facturas del mes de_220.pdf</v>
      </c>
      <c r="B221" t="str">
        <f>Base!D221</f>
        <v>Urbanización Alborada 1-4 PH - Facturas del mes de_220.pdf</v>
      </c>
      <c r="C221" s="2" t="str">
        <f>Cálculos!G221</f>
        <v>Urbanización Alborada 1-4 PH - Factura del Mes de Agosto de 2017 0 - 0 - 0.pdf</v>
      </c>
      <c r="D221" t="str">
        <f>Cálculos!H221</f>
        <v>C:\Users\USUARIO\Macros\FACTURAS Y LISTADOS\1130 - Urbanización Alborada 1-4 PH\Agosto de 2017\Urbanización Alborada 1-4 PH - Factura del Mes de Agosto de 2017 0 - 0 - 0.pdf</v>
      </c>
    </row>
    <row r="222" spans="1:4" x14ac:dyDescent="0.25">
      <c r="A222" t="str">
        <f>Base!A222</f>
        <v>C:\Users\USUARIO\Macros\FACTURAS Y LISTADOS\1130 - Urbanización Alborada 1-4 PH\Urbanización Alborada 1-4 PH - Facturas del mes de_221.pdf</v>
      </c>
      <c r="B222" t="str">
        <f>Base!D222</f>
        <v>Urbanización Alborada 1-4 PH - Facturas del mes de_221.pdf</v>
      </c>
      <c r="C222" s="2" t="str">
        <f>Cálculos!G222</f>
        <v>Urbanización Alborada 1-4 PH - Factura del Mes de Agosto de 2017 0 - 0 - 0.pdf</v>
      </c>
      <c r="D222" t="str">
        <f>Cálculos!H222</f>
        <v>C:\Users\USUARIO\Macros\FACTURAS Y LISTADOS\1130 - Urbanización Alborada 1-4 PH\Agosto de 2017\Urbanización Alborada 1-4 PH - Factura del Mes de Agosto de 2017 0 - 0 - 0.pdf</v>
      </c>
    </row>
    <row r="223" spans="1:4" x14ac:dyDescent="0.25">
      <c r="A223" t="str">
        <f>Base!A223</f>
        <v>C:\Users\USUARIO\Macros\FACTURAS Y LISTADOS\1130 - Urbanización Alborada 1-4 PH\Urbanización Alborada 1-4 PH - Facturas del mes de_222.pdf</v>
      </c>
      <c r="B223" t="str">
        <f>Base!D223</f>
        <v>Urbanización Alborada 1-4 PH - Facturas del mes de_222.pdf</v>
      </c>
      <c r="C223" s="2" t="str">
        <f>Cálculos!G223</f>
        <v>Urbanización Alborada 1-4 PH - Factura del Mes de Agosto de 2017 0 - 0 - 0.pdf</v>
      </c>
      <c r="D223" t="str">
        <f>Cálculos!H223</f>
        <v>C:\Users\USUARIO\Macros\FACTURAS Y LISTADOS\1130 - Urbanización Alborada 1-4 PH\Agosto de 2017\Urbanización Alborada 1-4 PH - Factura del Mes de Agosto de 2017 0 - 0 - 0.pdf</v>
      </c>
    </row>
    <row r="224" spans="1:4" x14ac:dyDescent="0.25">
      <c r="A224" t="str">
        <f>Base!A224</f>
        <v>C:\Users\USUARIO\Macros\FACTURAS Y LISTADOS\1130 - Urbanización Alborada 1-4 PH\Urbanización Alborada 1-4 PH - Facturas del mes de_223.pdf</v>
      </c>
      <c r="B224" t="str">
        <f>Base!D224</f>
        <v>Urbanización Alborada 1-4 PH - Facturas del mes de_223.pdf</v>
      </c>
      <c r="C224" s="2" t="str">
        <f>Cálculos!G224</f>
        <v>Urbanización Alborada 1-4 PH - Factura del Mes de Agosto de 2017 0 - 0 - 0.pdf</v>
      </c>
      <c r="D224" t="str">
        <f>Cálculos!H224</f>
        <v>C:\Users\USUARIO\Macros\FACTURAS Y LISTADOS\1130 - Urbanización Alborada 1-4 PH\Agosto de 2017\Urbanización Alborada 1-4 PH - Factura del Mes de Agosto de 2017 0 - 0 - 0.pdf</v>
      </c>
    </row>
    <row r="225" spans="1:4" x14ac:dyDescent="0.25">
      <c r="A225" t="str">
        <f>Base!A225</f>
        <v>C:\Users\USUARIO\Macros\FACTURAS Y LISTADOS\1130 - Urbanización Alborada 1-4 PH\Urbanización Alborada 1-4 PH - Facturas del mes de_224.pdf</v>
      </c>
      <c r="B225" t="str">
        <f>Base!D225</f>
        <v>Urbanización Alborada 1-4 PH - Facturas del mes de_224.pdf</v>
      </c>
      <c r="C225" s="2" t="str">
        <f>Cálculos!G225</f>
        <v>Urbanización Alborada 1-4 PH - Factura del Mes de Agosto de 2017 0 - 0 - 0.pdf</v>
      </c>
      <c r="D225" t="str">
        <f>Cálculos!H225</f>
        <v>C:\Users\USUARIO\Macros\FACTURAS Y LISTADOS\1130 - Urbanización Alborada 1-4 PH\Agosto de 2017\Urbanización Alborada 1-4 PH - Factura del Mes de Agosto de 2017 0 - 0 - 0.pdf</v>
      </c>
    </row>
    <row r="226" spans="1:4" x14ac:dyDescent="0.25">
      <c r="A226" t="str">
        <f>Base!A226</f>
        <v>C:\Users\USUARIO\Macros\FACTURAS Y LISTADOS\1130 - Urbanización Alborada 1-4 PH\Urbanización Alborada 1-4 PH - Facturas del mes de_225.pdf</v>
      </c>
      <c r="B226" t="str">
        <f>Base!D226</f>
        <v>Urbanización Alborada 1-4 PH - Facturas del mes de_225.pdf</v>
      </c>
      <c r="C226" s="2" t="str">
        <f>Cálculos!G226</f>
        <v>Urbanización Alborada 1-4 PH - Factura del Mes de Agosto de 2017 0 - 0 - 0.pdf</v>
      </c>
      <c r="D226" t="str">
        <f>Cálculos!H226</f>
        <v>C:\Users\USUARIO\Macros\FACTURAS Y LISTADOS\1130 - Urbanización Alborada 1-4 PH\Agosto de 2017\Urbanización Alborada 1-4 PH - Factura del Mes de Agosto de 2017 0 - 0 - 0.pdf</v>
      </c>
    </row>
    <row r="227" spans="1:4" x14ac:dyDescent="0.25">
      <c r="A227" t="str">
        <f>Base!A227</f>
        <v>C:\Users\USUARIO\Macros\FACTURAS Y LISTADOS\1130 - Urbanización Alborada 1-4 PH\Urbanización Alborada 1-4 PH - Facturas del mes de_226.pdf</v>
      </c>
      <c r="B227" t="str">
        <f>Base!D227</f>
        <v>Urbanización Alborada 1-4 PH - Facturas del mes de_226.pdf</v>
      </c>
      <c r="C227" s="2" t="str">
        <f>Cálculos!G227</f>
        <v>Urbanización Alborada 1-4 PH - Factura del Mes de Agosto de 2017 0 - 0 - 0.pdf</v>
      </c>
      <c r="D227" t="str">
        <f>Cálculos!H227</f>
        <v>C:\Users\USUARIO\Macros\FACTURAS Y LISTADOS\1130 - Urbanización Alborada 1-4 PH\Agosto de 2017\Urbanización Alborada 1-4 PH - Factura del Mes de Agosto de 2017 0 - 0 - 0.pdf</v>
      </c>
    </row>
    <row r="228" spans="1:4" x14ac:dyDescent="0.25">
      <c r="A228" t="str">
        <f>Base!A228</f>
        <v>C:\Users\USUARIO\Macros\FACTURAS Y LISTADOS\1130 - Urbanización Alborada 1-4 PH\Urbanización Alborada 1-4 PH - Facturas del mes de_227.pdf</v>
      </c>
      <c r="B228" t="str">
        <f>Base!D228</f>
        <v>Urbanización Alborada 1-4 PH - Facturas del mes de_227.pdf</v>
      </c>
      <c r="C228" s="2" t="str">
        <f>Cálculos!G228</f>
        <v>Urbanización Alborada 1-4 PH - Factura del Mes de Agosto de 2017 0 - 0 - 0.pdf</v>
      </c>
      <c r="D228" t="str">
        <f>Cálculos!H228</f>
        <v>C:\Users\USUARIO\Macros\FACTURAS Y LISTADOS\1130 - Urbanización Alborada 1-4 PH\Agosto de 2017\Urbanización Alborada 1-4 PH - Factura del Mes de Agosto de 2017 0 - 0 - 0.pdf</v>
      </c>
    </row>
    <row r="229" spans="1:4" x14ac:dyDescent="0.25">
      <c r="A229" t="str">
        <f>Base!A229</f>
        <v>C:\Users\USUARIO\Macros\FACTURAS Y LISTADOS\1130 - Urbanización Alborada 1-4 PH\Urbanización Alborada 1-4 PH - Facturas del mes de_228.pdf</v>
      </c>
      <c r="B229" t="str">
        <f>Base!D229</f>
        <v>Urbanización Alborada 1-4 PH - Facturas del mes de_228.pdf</v>
      </c>
      <c r="C229" s="2" t="str">
        <f>Cálculos!G229</f>
        <v>Urbanización Alborada 1-4 PH - Factura del Mes de Agosto de 2017 0 - 0 - 0.pdf</v>
      </c>
      <c r="D229" t="str">
        <f>Cálculos!H229</f>
        <v>C:\Users\USUARIO\Macros\FACTURAS Y LISTADOS\1130 - Urbanización Alborada 1-4 PH\Agosto de 2017\Urbanización Alborada 1-4 PH - Factura del Mes de Agosto de 2017 0 - 0 - 0.pdf</v>
      </c>
    </row>
    <row r="230" spans="1:4" x14ac:dyDescent="0.25">
      <c r="A230" t="str">
        <f>Base!A230</f>
        <v>C:\Users\USUARIO\Macros\FACTURAS Y LISTADOS\1130 - Urbanización Alborada 1-4 PH\Urbanización Alborada 1-4 PH - Facturas del mes de_229.pdf</v>
      </c>
      <c r="B230" t="str">
        <f>Base!D230</f>
        <v>Urbanización Alborada 1-4 PH - Facturas del mes de_229.pdf</v>
      </c>
      <c r="C230" s="2" t="str">
        <f>Cálculos!G230</f>
        <v>Urbanización Alborada 1-4 PH - Factura del Mes de Agosto de 2017 0 - 0 - 0.pdf</v>
      </c>
      <c r="D230" t="str">
        <f>Cálculos!H230</f>
        <v>C:\Users\USUARIO\Macros\FACTURAS Y LISTADOS\1130 - Urbanización Alborada 1-4 PH\Agosto de 2017\Urbanización Alborada 1-4 PH - Factura del Mes de Agosto de 2017 0 - 0 - 0.pdf</v>
      </c>
    </row>
    <row r="231" spans="1:4" x14ac:dyDescent="0.25">
      <c r="A231" t="str">
        <f>Base!A231</f>
        <v>C:\Users\USUARIO\Macros\FACTURAS Y LISTADOS\1130 - Urbanización Alborada 1-4 PH\Urbanización Alborada 1-4 PH - Facturas del mes de_230.pdf</v>
      </c>
      <c r="B231" t="str">
        <f>Base!D231</f>
        <v>Urbanización Alborada 1-4 PH - Facturas del mes de_230.pdf</v>
      </c>
      <c r="C231" s="2" t="str">
        <f>Cálculos!G231</f>
        <v>Urbanización Alborada 1-4 PH - Factura del Mes de Agosto de 2017 0 - 0 - 0.pdf</v>
      </c>
      <c r="D231" t="str">
        <f>Cálculos!H231</f>
        <v>C:\Users\USUARIO\Macros\FACTURAS Y LISTADOS\1130 - Urbanización Alborada 1-4 PH\Agosto de 2017\Urbanización Alborada 1-4 PH - Factura del Mes de Agosto de 2017 0 - 0 - 0.pdf</v>
      </c>
    </row>
    <row r="232" spans="1:4" x14ac:dyDescent="0.25">
      <c r="A232" t="str">
        <f>Base!A232</f>
        <v>C:\Users\USUARIO\Macros\FACTURAS Y LISTADOS\1130 - Urbanización Alborada 1-4 PH\Urbanización Alborada 1-4 PH - Facturas del mes de_231.pdf</v>
      </c>
      <c r="B232" t="str">
        <f>Base!D232</f>
        <v>Urbanización Alborada 1-4 PH - Facturas del mes de_231.pdf</v>
      </c>
      <c r="C232" s="2" t="str">
        <f>Cálculos!G232</f>
        <v>Urbanización Alborada 1-4 PH - Factura del Mes de Agosto de 2017 0 - 0 - 0.pdf</v>
      </c>
      <c r="D232" t="str">
        <f>Cálculos!H232</f>
        <v>C:\Users\USUARIO\Macros\FACTURAS Y LISTADOS\1130 - Urbanización Alborada 1-4 PH\Agosto de 2017\Urbanización Alborada 1-4 PH - Factura del Mes de Agosto de 2017 0 - 0 - 0.pdf</v>
      </c>
    </row>
    <row r="233" spans="1:4" x14ac:dyDescent="0.25">
      <c r="A233" t="str">
        <f>Base!A233</f>
        <v>C:\Users\USUARIO\Macros\FACTURAS Y LISTADOS\1130 - Urbanización Alborada 1-4 PH\Urbanización Alborada 1-4 PH - Facturas del mes de_232.pdf</v>
      </c>
      <c r="B233" t="str">
        <f>Base!D233</f>
        <v>Urbanización Alborada 1-4 PH - Facturas del mes de_232.pdf</v>
      </c>
      <c r="C233" s="2" t="str">
        <f>Cálculos!G233</f>
        <v>Urbanización Alborada 1-4 PH - Factura del Mes de Agosto de 2017 0 - 0 - 0.pdf</v>
      </c>
      <c r="D233" t="str">
        <f>Cálculos!H233</f>
        <v>C:\Users\USUARIO\Macros\FACTURAS Y LISTADOS\1130 - Urbanización Alborada 1-4 PH\Agosto de 2017\Urbanización Alborada 1-4 PH - Factura del Mes de Agosto de 2017 0 - 0 - 0.pdf</v>
      </c>
    </row>
    <row r="234" spans="1:4" x14ac:dyDescent="0.25">
      <c r="A234" t="str">
        <f>Base!A234</f>
        <v>C:\Users\USUARIO\Macros\FACTURAS Y LISTADOS\1130 - Urbanización Alborada 1-4 PH\Urbanización Alborada 1-4 PH - Facturas del mes de_233.pdf</v>
      </c>
      <c r="B234" t="str">
        <f>Base!D234</f>
        <v>Urbanización Alborada 1-4 PH - Facturas del mes de_233.pdf</v>
      </c>
      <c r="C234" s="2" t="str">
        <f>Cálculos!G234</f>
        <v>Urbanización Alborada 1-4 PH - Factura del Mes de Agosto de 2017 0 - 0 - 0.pdf</v>
      </c>
      <c r="D234" t="str">
        <f>Cálculos!H234</f>
        <v>C:\Users\USUARIO\Macros\FACTURAS Y LISTADOS\1130 - Urbanización Alborada 1-4 PH\Agosto de 2017\Urbanización Alborada 1-4 PH - Factura del Mes de Agosto de 2017 0 - 0 - 0.pdf</v>
      </c>
    </row>
    <row r="235" spans="1:4" x14ac:dyDescent="0.25">
      <c r="A235" t="str">
        <f>Base!A235</f>
        <v>C:\Users\USUARIO\Macros\FACTURAS Y LISTADOS\1130 - Urbanización Alborada 1-4 PH\Urbanización Alborada 1-4 PH - Facturas del mes de_234.pdf</v>
      </c>
      <c r="B235" t="str">
        <f>Base!D235</f>
        <v>Urbanización Alborada 1-4 PH - Facturas del mes de_234.pdf</v>
      </c>
      <c r="C235" s="2" t="str">
        <f>Cálculos!G235</f>
        <v>Urbanización Alborada 1-4 PH - Factura del Mes de Agosto de 2017 0 - 0 - 0.pdf</v>
      </c>
      <c r="D235" t="str">
        <f>Cálculos!H235</f>
        <v>C:\Users\USUARIO\Macros\FACTURAS Y LISTADOS\1130 - Urbanización Alborada 1-4 PH\Agosto de 2017\Urbanización Alborada 1-4 PH - Factura del Mes de Agosto de 2017 0 - 0 - 0.pdf</v>
      </c>
    </row>
    <row r="236" spans="1:4" x14ac:dyDescent="0.25">
      <c r="A236" t="str">
        <f>Base!A236</f>
        <v>C:\Users\USUARIO\Macros\FACTURAS Y LISTADOS\1130 - Urbanización Alborada 1-4 PH\Urbanización Alborada 1-4 PH - Facturas del mes de_235.pdf</v>
      </c>
      <c r="B236" t="str">
        <f>Base!D236</f>
        <v>Urbanización Alborada 1-4 PH - Facturas del mes de_235.pdf</v>
      </c>
      <c r="C236" s="2" t="str">
        <f>Cálculos!G236</f>
        <v>Urbanización Alborada 1-4 PH - Factura del Mes de Agosto de 2017 0 - 0 - 0.pdf</v>
      </c>
      <c r="D236" t="str">
        <f>Cálculos!H236</f>
        <v>C:\Users\USUARIO\Macros\FACTURAS Y LISTADOS\1130 - Urbanización Alborada 1-4 PH\Agosto de 2017\Urbanización Alborada 1-4 PH - Factura del Mes de Agosto de 2017 0 - 0 - 0.pdf</v>
      </c>
    </row>
    <row r="237" spans="1:4" x14ac:dyDescent="0.25">
      <c r="A237" t="str">
        <f>Base!A237</f>
        <v>C:\Users\USUARIO\Macros\FACTURAS Y LISTADOS\1130 - Urbanización Alborada 1-4 PH\Urbanización Alborada 1-4 PH - Facturas del mes de_236.pdf</v>
      </c>
      <c r="B237" t="str">
        <f>Base!D237</f>
        <v>Urbanización Alborada 1-4 PH - Facturas del mes de_236.pdf</v>
      </c>
      <c r="C237" s="2" t="str">
        <f>Cálculos!G237</f>
        <v>Urbanización Alborada 1-4 PH - Factura del Mes de Agosto de 2017 0 - 0 - 0.pdf</v>
      </c>
      <c r="D237" t="str">
        <f>Cálculos!H237</f>
        <v>C:\Users\USUARIO\Macros\FACTURAS Y LISTADOS\1130 - Urbanización Alborada 1-4 PH\Agosto de 2017\Urbanización Alborada 1-4 PH - Factura del Mes de Agosto de 2017 0 - 0 - 0.pdf</v>
      </c>
    </row>
    <row r="238" spans="1:4" x14ac:dyDescent="0.25">
      <c r="A238" t="str">
        <f>Base!A238</f>
        <v>C:\Users\USUARIO\Macros\FACTURAS Y LISTADOS\1130 - Urbanización Alborada 1-4 PH\Urbanización Alborada 1-4 PH - Facturas del mes de_237.pdf</v>
      </c>
      <c r="B238" t="str">
        <f>Base!D238</f>
        <v>Urbanización Alborada 1-4 PH - Facturas del mes de_237.pdf</v>
      </c>
      <c r="C238" s="2" t="str">
        <f>Cálculos!G238</f>
        <v>Urbanización Alborada 1-4 PH - Factura del Mes de Agosto de 2017 0 - 0 - 0.pdf</v>
      </c>
      <c r="D238" t="str">
        <f>Cálculos!H238</f>
        <v>C:\Users\USUARIO\Macros\FACTURAS Y LISTADOS\1130 - Urbanización Alborada 1-4 PH\Agosto de 2017\Urbanización Alborada 1-4 PH - Factura del Mes de Agosto de 2017 0 - 0 - 0.pdf</v>
      </c>
    </row>
    <row r="239" spans="1:4" x14ac:dyDescent="0.25">
      <c r="A239" t="str">
        <f>Base!A239</f>
        <v>C:\Users\USUARIO\Macros\FACTURAS Y LISTADOS\1130 - Urbanización Alborada 1-4 PH\Urbanización Alborada 1-4 PH - Facturas del mes de_238.pdf</v>
      </c>
      <c r="B239" t="str">
        <f>Base!D239</f>
        <v>Urbanización Alborada 1-4 PH - Facturas del mes de_238.pdf</v>
      </c>
      <c r="C239" s="2" t="str">
        <f>Cálculos!G239</f>
        <v>Urbanización Alborada 1-4 PH - Factura del Mes de Agosto de 2017 0 - 0 - 0.pdf</v>
      </c>
      <c r="D239" t="str">
        <f>Cálculos!H239</f>
        <v>C:\Users\USUARIO\Macros\FACTURAS Y LISTADOS\1130 - Urbanización Alborada 1-4 PH\Agosto de 2017\Urbanización Alborada 1-4 PH - Factura del Mes de Agosto de 2017 0 - 0 - 0.pdf</v>
      </c>
    </row>
    <row r="240" spans="1:4" x14ac:dyDescent="0.25">
      <c r="A240" t="str">
        <f>Base!A240</f>
        <v>C:\Users\USUARIO\Macros\FACTURAS Y LISTADOS\1130 - Urbanización Alborada 1-4 PH\Urbanización Alborada 1-4 PH - Facturas del mes de_239.pdf</v>
      </c>
      <c r="B240" t="str">
        <f>Base!D240</f>
        <v>Urbanización Alborada 1-4 PH - Facturas del mes de_239.pdf</v>
      </c>
      <c r="C240" s="2" t="str">
        <f>Cálculos!G240</f>
        <v>Urbanización Alborada 1-4 PH - Factura del Mes de Agosto de 2017 0 - 0 - 0.pdf</v>
      </c>
      <c r="D240" t="str">
        <f>Cálculos!H240</f>
        <v>C:\Users\USUARIO\Macros\FACTURAS Y LISTADOS\1130 - Urbanización Alborada 1-4 PH\Agosto de 2017\Urbanización Alborada 1-4 PH - Factura del Mes de Agosto de 2017 0 - 0 - 0.pdf</v>
      </c>
    </row>
    <row r="241" spans="1:4" x14ac:dyDescent="0.25">
      <c r="A241" t="str">
        <f>Base!A241</f>
        <v>C:\Users\USUARIO\Macros\FACTURAS Y LISTADOS\1130 - Urbanización Alborada 1-4 PH\Urbanización Alborada 1-4 PH - Facturas del mes de_240.pdf</v>
      </c>
      <c r="B241" t="str">
        <f>Base!D241</f>
        <v>Urbanización Alborada 1-4 PH - Facturas del mes de_240.pdf</v>
      </c>
      <c r="C241" s="2" t="str">
        <f>Cálculos!G241</f>
        <v>Urbanización Alborada 1-4 PH - Factura del Mes de Agosto de 2017 0 - 0 - 0.pdf</v>
      </c>
      <c r="D241" t="str">
        <f>Cálculos!H241</f>
        <v>C:\Users\USUARIO\Macros\FACTURAS Y LISTADOS\1130 - Urbanización Alborada 1-4 PH\Agosto de 2017\Urbanización Alborada 1-4 PH - Factura del Mes de Agosto de 2017 0 - 0 - 0.pdf</v>
      </c>
    </row>
    <row r="242" spans="1:4" x14ac:dyDescent="0.25">
      <c r="A242" t="str">
        <f>Base!A242</f>
        <v>C:\Users\USUARIO\Macros\FACTURAS Y LISTADOS\1130 - Urbanización Alborada 1-4 PH\Urbanización Alborada 1-4 PH - Facturas del mes de_241.pdf</v>
      </c>
      <c r="B242" t="str">
        <f>Base!D242</f>
        <v>Urbanización Alborada 1-4 PH - Facturas del mes de_241.pdf</v>
      </c>
      <c r="C242" s="2" t="str">
        <f>Cálculos!G242</f>
        <v>Urbanización Alborada 1-4 PH - Factura del Mes de Agosto de 2017 0 - 0 - 0.pdf</v>
      </c>
      <c r="D242" t="str">
        <f>Cálculos!H242</f>
        <v>C:\Users\USUARIO\Macros\FACTURAS Y LISTADOS\1130 - Urbanización Alborada 1-4 PH\Agosto de 2017\Urbanización Alborada 1-4 PH - Factura del Mes de Agosto de 2017 0 - 0 - 0.pdf</v>
      </c>
    </row>
    <row r="243" spans="1:4" x14ac:dyDescent="0.25">
      <c r="A243" t="str">
        <f>Base!A243</f>
        <v>C:\Users\USUARIO\Macros\FACTURAS Y LISTADOS\1130 - Urbanización Alborada 1-4 PH\Urbanización Alborada 1-4 PH - Facturas del mes de_242.pdf</v>
      </c>
      <c r="B243" t="str">
        <f>Base!D243</f>
        <v>Urbanización Alborada 1-4 PH - Facturas del mes de_242.pdf</v>
      </c>
      <c r="C243" s="2" t="str">
        <f>Cálculos!G243</f>
        <v>Urbanización Alborada 1-4 PH - Factura del Mes de Agosto de 2017 0 - 0 - 0.pdf</v>
      </c>
      <c r="D243" t="str">
        <f>Cálculos!H243</f>
        <v>C:\Users\USUARIO\Macros\FACTURAS Y LISTADOS\1130 - Urbanización Alborada 1-4 PH\Agosto de 2017\Urbanización Alborada 1-4 PH - Factura del Mes de Agosto de 2017 0 - 0 - 0.pdf</v>
      </c>
    </row>
    <row r="244" spans="1:4" x14ac:dyDescent="0.25">
      <c r="A244" t="str">
        <f>Base!A244</f>
        <v>C:\Users\USUARIO\Macros\FACTURAS Y LISTADOS\1130 - Urbanización Alborada 1-4 PH\Urbanización Alborada 1-4 PH - Facturas del mes de_243.pdf</v>
      </c>
      <c r="B244" t="str">
        <f>Base!D244</f>
        <v>Urbanización Alborada 1-4 PH - Facturas del mes de_243.pdf</v>
      </c>
      <c r="C244" s="2" t="str">
        <f>Cálculos!G244</f>
        <v>Urbanización Alborada 1-4 PH - Factura del Mes de Agosto de 2017 0 - 0 - 0.pdf</v>
      </c>
      <c r="D244" t="str">
        <f>Cálculos!H244</f>
        <v>C:\Users\USUARIO\Macros\FACTURAS Y LISTADOS\1130 - Urbanización Alborada 1-4 PH\Agosto de 2017\Urbanización Alborada 1-4 PH - Factura del Mes de Agosto de 2017 0 - 0 - 0.pdf</v>
      </c>
    </row>
    <row r="245" spans="1:4" x14ac:dyDescent="0.25">
      <c r="A245" t="str">
        <f>Base!A245</f>
        <v>C:\Users\USUARIO\Macros\FACTURAS Y LISTADOS\1130 - Urbanización Alborada 1-4 PH\Urbanización Alborada 1-4 PH - Facturas del mes de_244.pdf</v>
      </c>
      <c r="B245" t="str">
        <f>Base!D245</f>
        <v>Urbanización Alborada 1-4 PH - Facturas del mes de_244.pdf</v>
      </c>
      <c r="C245" s="2" t="str">
        <f>Cálculos!G245</f>
        <v>Urbanización Alborada 1-4 PH - Factura del Mes de Agosto de 2017 0 - 0 - 0.pdf</v>
      </c>
      <c r="D245" t="str">
        <f>Cálculos!H245</f>
        <v>C:\Users\USUARIO\Macros\FACTURAS Y LISTADOS\1130 - Urbanización Alborada 1-4 PH\Agosto de 2017\Urbanización Alborada 1-4 PH - Factura del Mes de Agosto de 2017 0 - 0 - 0.pdf</v>
      </c>
    </row>
    <row r="246" spans="1:4" x14ac:dyDescent="0.25">
      <c r="A246" t="str">
        <f>Base!A246</f>
        <v>C:\Users\USUARIO\Macros\FACTURAS Y LISTADOS\1130 - Urbanización Alborada 1-4 PH\Urbanización Alborada 1-4 PH - Facturas del mes de_245.pdf</v>
      </c>
      <c r="B246" t="str">
        <f>Base!D246</f>
        <v>Urbanización Alborada 1-4 PH - Facturas del mes de_245.pdf</v>
      </c>
      <c r="C246" s="2" t="str">
        <f>Cálculos!G246</f>
        <v>Urbanización Alborada 1-4 PH - Factura del Mes de Agosto de 2017 0 - 0 - 0.pdf</v>
      </c>
      <c r="D246" t="str">
        <f>Cálculos!H246</f>
        <v>C:\Users\USUARIO\Macros\FACTURAS Y LISTADOS\1130 - Urbanización Alborada 1-4 PH\Agosto de 2017\Urbanización Alborada 1-4 PH - Factura del Mes de Agosto de 2017 0 - 0 - 0.pdf</v>
      </c>
    </row>
    <row r="247" spans="1:4" x14ac:dyDescent="0.25">
      <c r="A247" t="str">
        <f>Base!A247</f>
        <v>C:\Users\USUARIO\Macros\FACTURAS Y LISTADOS\1130 - Urbanización Alborada 1-4 PH\Urbanización Alborada 1-4 PH - Facturas del mes de_246.pdf</v>
      </c>
      <c r="B247" t="str">
        <f>Base!D247</f>
        <v>Urbanización Alborada 1-4 PH - Facturas del mes de_246.pdf</v>
      </c>
      <c r="C247" s="2" t="str">
        <f>Cálculos!G247</f>
        <v>Urbanización Alborada 1-4 PH - Factura del Mes de Agosto de 2017 0 - 0 - 0.pdf</v>
      </c>
      <c r="D247" t="str">
        <f>Cálculos!H247</f>
        <v>C:\Users\USUARIO\Macros\FACTURAS Y LISTADOS\1130 - Urbanización Alborada 1-4 PH\Agosto de 2017\Urbanización Alborada 1-4 PH - Factura del Mes de Agosto de 2017 0 - 0 - 0.pdf</v>
      </c>
    </row>
    <row r="248" spans="1:4" x14ac:dyDescent="0.25">
      <c r="A248" t="str">
        <f>Base!A248</f>
        <v>C:\Users\USUARIO\Macros\FACTURAS Y LISTADOS\1130 - Urbanización Alborada 1-4 PH\Urbanización Alborada 1-4 PH - Facturas del mes de_247.pdf</v>
      </c>
      <c r="B248" t="str">
        <f>Base!D248</f>
        <v>Urbanización Alborada 1-4 PH - Facturas del mes de_247.pdf</v>
      </c>
      <c r="C248" s="2" t="str">
        <f>Cálculos!G248</f>
        <v>Urbanización Alborada 1-4 PH - Factura del Mes de Agosto de 2017 0 - 0 - 0.pdf</v>
      </c>
      <c r="D248" t="str">
        <f>Cálculos!H248</f>
        <v>C:\Users\USUARIO\Macros\FACTURAS Y LISTADOS\1130 - Urbanización Alborada 1-4 PH\Agosto de 2017\Urbanización Alborada 1-4 PH - Factura del Mes de Agosto de 2017 0 - 0 - 0.pdf</v>
      </c>
    </row>
    <row r="249" spans="1:4" x14ac:dyDescent="0.25">
      <c r="A249" t="str">
        <f>Base!A249</f>
        <v>C:\Users\USUARIO\Macros\FACTURAS Y LISTADOS\1130 - Urbanización Alborada 1-4 PH\Urbanización Alborada 1-4 PH - Facturas del mes de_248.pdf</v>
      </c>
      <c r="B249" t="str">
        <f>Base!D249</f>
        <v>Urbanización Alborada 1-4 PH - Facturas del mes de_248.pdf</v>
      </c>
      <c r="C249" s="2" t="str">
        <f>Cálculos!G249</f>
        <v>Urbanización Alborada 1-4 PH - Factura del Mes de Agosto de 2017 0 - 0 - 0.pdf</v>
      </c>
      <c r="D249" t="str">
        <f>Cálculos!H249</f>
        <v>C:\Users\USUARIO\Macros\FACTURAS Y LISTADOS\1130 - Urbanización Alborada 1-4 PH\Agosto de 2017\Urbanización Alborada 1-4 PH - Factura del Mes de Agosto de 2017 0 - 0 - 0.pdf</v>
      </c>
    </row>
    <row r="250" spans="1:4" x14ac:dyDescent="0.25">
      <c r="A250" t="str">
        <f>Base!A250</f>
        <v>C:\Users\USUARIO\Macros\FACTURAS Y LISTADOS\1130 - Urbanización Alborada 1-4 PH\Urbanización Alborada 1-4 PH - Facturas del mes de_249.pdf</v>
      </c>
      <c r="B250" t="str">
        <f>Base!D250</f>
        <v>Urbanización Alborada 1-4 PH - Facturas del mes de_249.pdf</v>
      </c>
      <c r="C250" s="2" t="str">
        <f>Cálculos!G250</f>
        <v>Urbanización Alborada 1-4 PH - Factura del Mes de Agosto de 2017 0 - 0 - 0.pdf</v>
      </c>
      <c r="D250" t="str">
        <f>Cálculos!H250</f>
        <v>C:\Users\USUARIO\Macros\FACTURAS Y LISTADOS\1130 - Urbanización Alborada 1-4 PH\Agosto de 2017\Urbanización Alborada 1-4 PH - Factura del Mes de Agosto de 2017 0 - 0 - 0.pdf</v>
      </c>
    </row>
    <row r="251" spans="1:4" x14ac:dyDescent="0.25">
      <c r="A251" t="str">
        <f>Base!A251</f>
        <v>C:\Users\USUARIO\Macros\FACTURAS Y LISTADOS\1130 - Urbanización Alborada 1-4 PH\Urbanización Alborada 1-4 PH - Facturas del mes de_250.pdf</v>
      </c>
      <c r="B251" t="str">
        <f>Base!D251</f>
        <v>Urbanización Alborada 1-4 PH - Facturas del mes de_250.pdf</v>
      </c>
      <c r="C251" s="2" t="str">
        <f>Cálculos!G251</f>
        <v>Urbanización Alborada 1-4 PH - Factura del Mes de Agosto de 2017 0 - 0 - 0.pdf</v>
      </c>
      <c r="D251" t="str">
        <f>Cálculos!H251</f>
        <v>C:\Users\USUARIO\Macros\FACTURAS Y LISTADOS\1130 - Urbanización Alborada 1-4 PH\Agosto de 2017\Urbanización Alborada 1-4 PH - Factura del Mes de Agosto de 2017 0 - 0 - 0.pdf</v>
      </c>
    </row>
    <row r="252" spans="1:4" x14ac:dyDescent="0.25">
      <c r="A252" t="str">
        <f>Base!A252</f>
        <v>C:\Users\USUARIO\Macros\FACTURAS Y LISTADOS\1130 - Urbanización Alborada 1-4 PH\Urbanización Alborada 1-4 PH - Facturas del mes de_251.pdf</v>
      </c>
      <c r="B252" t="str">
        <f>Base!D252</f>
        <v>Urbanización Alborada 1-4 PH - Facturas del mes de_251.pdf</v>
      </c>
      <c r="C252" s="2" t="str">
        <f>Cálculos!G252</f>
        <v>Urbanización Alborada 1-4 PH - Factura del Mes de Agosto de 2017 0 - 0 - 0.pdf</v>
      </c>
      <c r="D252" t="str">
        <f>Cálculos!H252</f>
        <v>C:\Users\USUARIO\Macros\FACTURAS Y LISTADOS\1130 - Urbanización Alborada 1-4 PH\Agosto de 2017\Urbanización Alborada 1-4 PH - Factura del Mes de Agosto de 2017 0 - 0 - 0.pdf</v>
      </c>
    </row>
    <row r="253" spans="1:4" x14ac:dyDescent="0.25">
      <c r="A253" t="str">
        <f>Base!A253</f>
        <v>C:\Users\USUARIO\Macros\FACTURAS Y LISTADOS\1130 - Urbanización Alborada 1-4 PH\Urbanización Alborada 1-4 PH - Facturas del mes de_252.pdf</v>
      </c>
      <c r="B253" t="str">
        <f>Base!D253</f>
        <v>Urbanización Alborada 1-4 PH - Facturas del mes de_252.pdf</v>
      </c>
      <c r="C253" s="2" t="str">
        <f>Cálculos!G253</f>
        <v>Urbanización Alborada 1-4 PH - Factura del Mes de Agosto de 2017 0 - 0 - 0.pdf</v>
      </c>
      <c r="D253" t="str">
        <f>Cálculos!H253</f>
        <v>C:\Users\USUARIO\Macros\FACTURAS Y LISTADOS\1130 - Urbanización Alborada 1-4 PH\Agosto de 2017\Urbanización Alborada 1-4 PH - Factura del Mes de Agosto de 2017 0 - 0 - 0.pdf</v>
      </c>
    </row>
    <row r="254" spans="1:4" x14ac:dyDescent="0.25">
      <c r="A254" t="str">
        <f>Base!A254</f>
        <v>C:\Users\USUARIO\Macros\FACTURAS Y LISTADOS\1130 - Urbanización Alborada 1-4 PH\Urbanización Alborada 1-4 PH - Facturas del mes de_253.pdf</v>
      </c>
      <c r="B254" t="str">
        <f>Base!D254</f>
        <v>Urbanización Alborada 1-4 PH - Facturas del mes de_253.pdf</v>
      </c>
      <c r="C254" s="2" t="str">
        <f>Cálculos!G254</f>
        <v>Urbanización Alborada 1-4 PH - Factura del Mes de Agosto de 2017 0 - 0 - 0.pdf</v>
      </c>
      <c r="D254" t="str">
        <f>Cálculos!H254</f>
        <v>C:\Users\USUARIO\Macros\FACTURAS Y LISTADOS\1130 - Urbanización Alborada 1-4 PH\Agosto de 2017\Urbanización Alborada 1-4 PH - Factura del Mes de Agosto de 2017 0 - 0 - 0.pdf</v>
      </c>
    </row>
    <row r="255" spans="1:4" x14ac:dyDescent="0.25">
      <c r="A255" t="str">
        <f>Base!A255</f>
        <v>C:\Users\USUARIO\Macros\FACTURAS Y LISTADOS\1130 - Urbanización Alborada 1-4 PH\Urbanización Alborada 1-4 PH - Facturas del mes de_254.pdf</v>
      </c>
      <c r="B255" t="str">
        <f>Base!D255</f>
        <v>Urbanización Alborada 1-4 PH - Facturas del mes de_254.pdf</v>
      </c>
      <c r="C255" s="2" t="str">
        <f>Cálculos!G255</f>
        <v>Urbanización Alborada 1-4 PH - Factura del Mes de Agosto de 2017 0 - 0 - 0.pdf</v>
      </c>
      <c r="D255" t="str">
        <f>Cálculos!H255</f>
        <v>C:\Users\USUARIO\Macros\FACTURAS Y LISTADOS\1130 - Urbanización Alborada 1-4 PH\Agosto de 2017\Urbanización Alborada 1-4 PH - Factura del Mes de Agosto de 2017 0 - 0 - 0.pdf</v>
      </c>
    </row>
    <row r="256" spans="1:4" x14ac:dyDescent="0.25">
      <c r="A256" t="str">
        <f>Base!A256</f>
        <v>C:\Users\USUARIO\Macros\FACTURAS Y LISTADOS\1130 - Urbanización Alborada 1-4 PH\Urbanización Alborada 1-4 PH - Facturas del mes de_255.pdf</v>
      </c>
      <c r="B256" t="str">
        <f>Base!D256</f>
        <v>Urbanización Alborada 1-4 PH - Facturas del mes de_255.pdf</v>
      </c>
      <c r="C256" s="2" t="str">
        <f>Cálculos!G256</f>
        <v>Urbanización Alborada 1-4 PH - Factura del Mes de Agosto de 2017 0 - 0 - 0.pdf</v>
      </c>
      <c r="D256" t="str">
        <f>Cálculos!H256</f>
        <v>C:\Users\USUARIO\Macros\FACTURAS Y LISTADOS\1130 - Urbanización Alborada 1-4 PH\Agosto de 2017\Urbanización Alborada 1-4 PH - Factura del Mes de Agosto de 2017 0 - 0 - 0.pdf</v>
      </c>
    </row>
    <row r="257" spans="1:4" x14ac:dyDescent="0.25">
      <c r="A257" t="str">
        <f>Base!A257</f>
        <v>C:\Users\USUARIO\Macros\FACTURAS Y LISTADOS\1130 - Urbanización Alborada 1-4 PH\Urbanización Alborada 1-4 PH - Facturas del mes de_256.pdf</v>
      </c>
      <c r="B257" t="str">
        <f>Base!D257</f>
        <v>Urbanización Alborada 1-4 PH - Facturas del mes de_256.pdf</v>
      </c>
      <c r="C257" s="2" t="str">
        <f>Cálculos!G257</f>
        <v>Urbanización Alborada 1-4 PH - Factura del Mes de Agosto de 2017 0 - 0 - 0.pdf</v>
      </c>
      <c r="D257" t="str">
        <f>Cálculos!H257</f>
        <v>C:\Users\USUARIO\Macros\FACTURAS Y LISTADOS\1130 - Urbanización Alborada 1-4 PH\Agosto de 2017\Urbanización Alborada 1-4 PH - Factura del Mes de Agosto de 2017 0 - 0 - 0.pdf</v>
      </c>
    </row>
    <row r="258" spans="1:4" x14ac:dyDescent="0.25">
      <c r="A258" t="str">
        <f>Base!A258</f>
        <v>C:\Users\USUARIO\Macros\FACTURAS Y LISTADOS\1130 - Urbanización Alborada 1-4 PH\Urbanización Alborada 1-4 PH - Facturas del mes de_257.pdf</v>
      </c>
      <c r="B258" t="str">
        <f>Base!D258</f>
        <v>Urbanización Alborada 1-4 PH - Facturas del mes de_257.pdf</v>
      </c>
      <c r="C258" s="2" t="str">
        <f>Cálculos!G258</f>
        <v>Urbanización Alborada 1-4 PH - Factura del Mes de Agosto de 2017 0 - 0 - 0.pdf</v>
      </c>
      <c r="D258" t="str">
        <f>Cálculos!H258</f>
        <v>C:\Users\USUARIO\Macros\FACTURAS Y LISTADOS\1130 - Urbanización Alborada 1-4 PH\Agosto de 2017\Urbanización Alborada 1-4 PH - Factura del Mes de Agosto de 2017 0 - 0 - 0.pdf</v>
      </c>
    </row>
    <row r="259" spans="1:4" x14ac:dyDescent="0.25">
      <c r="A259" t="str">
        <f>Base!A259</f>
        <v>C:\Users\USUARIO\Macros\FACTURAS Y LISTADOS\1130 - Urbanización Alborada 1-4 PH\Urbanización Alborada 1-4 PH - Facturas del mes de_258.pdf</v>
      </c>
      <c r="B259" t="str">
        <f>Base!D259</f>
        <v>Urbanización Alborada 1-4 PH - Facturas del mes de_258.pdf</v>
      </c>
      <c r="C259" s="2" t="str">
        <f>Cálculos!G259</f>
        <v>Urbanización Alborada 1-4 PH - Factura del Mes de Agosto de 2017 0 - 0 - 0.pdf</v>
      </c>
      <c r="D259" t="str">
        <f>Cálculos!H259</f>
        <v>C:\Users\USUARIO\Macros\FACTURAS Y LISTADOS\1130 - Urbanización Alborada 1-4 PH\Agosto de 2017\Urbanización Alborada 1-4 PH - Factura del Mes de Agosto de 2017 0 - 0 - 0.pdf</v>
      </c>
    </row>
    <row r="260" spans="1:4" x14ac:dyDescent="0.25">
      <c r="A260" t="str">
        <f>Base!A260</f>
        <v>C:\Users\USUARIO\Macros\FACTURAS Y LISTADOS\1130 - Urbanización Alborada 1-4 PH\Urbanización Alborada 1-4 PH - Facturas del mes de_259.pdf</v>
      </c>
      <c r="B260" t="str">
        <f>Base!D260</f>
        <v>Urbanización Alborada 1-4 PH - Facturas del mes de_259.pdf</v>
      </c>
      <c r="C260" s="2" t="str">
        <f>Cálculos!G260</f>
        <v>Urbanización Alborada 1-4 PH - Factura del Mes de Agosto de 2017 0 - 0 - 0.pdf</v>
      </c>
      <c r="D260" t="str">
        <f>Cálculos!H260</f>
        <v>C:\Users\USUARIO\Macros\FACTURAS Y LISTADOS\1130 - Urbanización Alborada 1-4 PH\Agosto de 2017\Urbanización Alborada 1-4 PH - Factura del Mes de Agosto de 2017 0 - 0 - 0.pdf</v>
      </c>
    </row>
    <row r="261" spans="1:4" x14ac:dyDescent="0.25">
      <c r="A261" t="str">
        <f>Base!A261</f>
        <v>C:\Users\USUARIO\Macros\FACTURAS Y LISTADOS\1130 - Urbanización Alborada 1-4 PH\Urbanización Alborada 1-4 PH - Facturas del mes de_260.pdf</v>
      </c>
      <c r="B261" t="str">
        <f>Base!D261</f>
        <v>Urbanización Alborada 1-4 PH - Facturas del mes de_260.pdf</v>
      </c>
      <c r="C261" s="2" t="str">
        <f>Cálculos!G261</f>
        <v>Urbanización Alborada 1-4 PH - Factura del Mes de Agosto de 2017 0 - 0 - 0.pdf</v>
      </c>
      <c r="D261" t="str">
        <f>Cálculos!H261</f>
        <v>C:\Users\USUARIO\Macros\FACTURAS Y LISTADOS\1130 - Urbanización Alborada 1-4 PH\Agosto de 2017\Urbanización Alborada 1-4 PH - Factura del Mes de Agosto de 2017 0 - 0 - 0.pdf</v>
      </c>
    </row>
    <row r="262" spans="1:4" x14ac:dyDescent="0.25">
      <c r="A262" t="str">
        <f>Base!A262</f>
        <v>C:\Users\USUARIO\Macros\FACTURAS Y LISTADOS\1130 - Urbanización Alborada 1-4 PH\Urbanización Alborada 1-4 PH - Facturas del mes de_261.pdf</v>
      </c>
      <c r="B262" t="str">
        <f>Base!D262</f>
        <v>Urbanización Alborada 1-4 PH - Facturas del mes de_261.pdf</v>
      </c>
      <c r="C262" s="2" t="str">
        <f>Cálculos!G262</f>
        <v>Urbanización Alborada 1-4 PH - Factura del Mes de Agosto de 2017 0 - 0 - 0.pdf</v>
      </c>
      <c r="D262" t="str">
        <f>Cálculos!H262</f>
        <v>C:\Users\USUARIO\Macros\FACTURAS Y LISTADOS\1130 - Urbanización Alborada 1-4 PH\Agosto de 2017\Urbanización Alborada 1-4 PH - Factura del Mes de Agosto de 2017 0 - 0 - 0.pdf</v>
      </c>
    </row>
    <row r="263" spans="1:4" x14ac:dyDescent="0.25">
      <c r="A263" t="str">
        <f>Base!A263</f>
        <v>C:\Users\USUARIO\Macros\FACTURAS Y LISTADOS\1130 - Urbanización Alborada 1-4 PH\Urbanización Alborada 1-4 PH - Facturas del mes de_262.pdf</v>
      </c>
      <c r="B263" t="str">
        <f>Base!D263</f>
        <v>Urbanización Alborada 1-4 PH - Facturas del mes de_262.pdf</v>
      </c>
      <c r="C263" s="2" t="str">
        <f>Cálculos!G263</f>
        <v>Urbanización Alborada 1-4 PH - Factura del Mes de Agosto de 2017 0 - 0 - 0.pdf</v>
      </c>
      <c r="D263" t="str">
        <f>Cálculos!H263</f>
        <v>C:\Users\USUARIO\Macros\FACTURAS Y LISTADOS\1130 - Urbanización Alborada 1-4 PH\Agosto de 2017\Urbanización Alborada 1-4 PH - Factura del Mes de Agosto de 2017 0 - 0 - 0.pdf</v>
      </c>
    </row>
    <row r="264" spans="1:4" x14ac:dyDescent="0.25">
      <c r="A264" t="str">
        <f>Base!A264</f>
        <v>C:\Users\USUARIO\Macros\FACTURAS Y LISTADOS\1130 - Urbanización Alborada 1-4 PH\Urbanización Alborada 1-4 PH - Facturas del mes de_263.pdf</v>
      </c>
      <c r="B264" t="str">
        <f>Base!D264</f>
        <v>Urbanización Alborada 1-4 PH - Facturas del mes de_263.pdf</v>
      </c>
      <c r="C264" s="2" t="str">
        <f>Cálculos!G264</f>
        <v>Urbanización Alborada 1-4 PH - Factura del Mes de Agosto de 2017 0 - 0 - 0.pdf</v>
      </c>
      <c r="D264" t="str">
        <f>Cálculos!H264</f>
        <v>C:\Users\USUARIO\Macros\FACTURAS Y LISTADOS\1130 - Urbanización Alborada 1-4 PH\Agosto de 2017\Urbanización Alborada 1-4 PH - Factura del Mes de Agosto de 2017 0 - 0 - 0.pdf</v>
      </c>
    </row>
    <row r="265" spans="1:4" x14ac:dyDescent="0.25">
      <c r="A265" t="str">
        <f>Base!A265</f>
        <v>C:\Users\USUARIO\Macros\FACTURAS Y LISTADOS\1130 - Urbanización Alborada 1-4 PH\Urbanización Alborada 1-4 PH - Facturas del mes de_264.pdf</v>
      </c>
      <c r="B265" t="str">
        <f>Base!D265</f>
        <v>Urbanización Alborada 1-4 PH - Facturas del mes de_264.pdf</v>
      </c>
      <c r="C265" s="2" t="str">
        <f>Cálculos!G265</f>
        <v>Urbanización Alborada 1-4 PH - Factura del Mes de Agosto de 2017 0 - 0 - 0.pdf</v>
      </c>
      <c r="D265" t="str">
        <f>Cálculos!H265</f>
        <v>C:\Users\USUARIO\Macros\FACTURAS Y LISTADOS\1130 - Urbanización Alborada 1-4 PH\Agosto de 2017\Urbanización Alborada 1-4 PH - Factura del Mes de Agosto de 2017 0 - 0 - 0.pdf</v>
      </c>
    </row>
    <row r="266" spans="1:4" x14ac:dyDescent="0.25">
      <c r="A266" t="str">
        <f>Base!A266</f>
        <v>C:\Users\USUARIO\Macros\FACTURAS Y LISTADOS\1130 - Urbanización Alborada 1-4 PH\Urbanización Alborada 1-4 PH - Facturas del mes de_265.pdf</v>
      </c>
      <c r="B266" t="str">
        <f>Base!D266</f>
        <v>Urbanización Alborada 1-4 PH - Facturas del mes de_265.pdf</v>
      </c>
      <c r="C266" s="2" t="str">
        <f>Cálculos!G266</f>
        <v>Urbanización Alborada 1-4 PH - Factura del Mes de Agosto de 2017 0 - 0 - 0.pdf</v>
      </c>
      <c r="D266" t="str">
        <f>Cálculos!H266</f>
        <v>C:\Users\USUARIO\Macros\FACTURAS Y LISTADOS\1130 - Urbanización Alborada 1-4 PH\Agosto de 2017\Urbanización Alborada 1-4 PH - Factura del Mes de Agosto de 2017 0 - 0 - 0.pdf</v>
      </c>
    </row>
    <row r="267" spans="1:4" x14ac:dyDescent="0.25">
      <c r="A267" t="str">
        <f>Base!A267</f>
        <v>C:\Users\USUARIO\Macros\FACTURAS Y LISTADOS\1130 - Urbanización Alborada 1-4 PH\Urbanización Alborada 1-4 PH - Facturas del mes de_266.pdf</v>
      </c>
      <c r="B267" t="str">
        <f>Base!D267</f>
        <v>Urbanización Alborada 1-4 PH - Facturas del mes de_266.pdf</v>
      </c>
      <c r="C267" s="2" t="str">
        <f>Cálculos!G267</f>
        <v>Urbanización Alborada 1-4 PH - Factura del Mes de Agosto de 2017 0 - 0 - 0.pdf</v>
      </c>
      <c r="D267" t="str">
        <f>Cálculos!H267</f>
        <v>C:\Users\USUARIO\Macros\FACTURAS Y LISTADOS\1130 - Urbanización Alborada 1-4 PH\Agosto de 2017\Urbanización Alborada 1-4 PH - Factura del Mes de Agosto de 2017 0 - 0 - 0.pdf</v>
      </c>
    </row>
    <row r="268" spans="1:4" x14ac:dyDescent="0.25">
      <c r="A268" t="str">
        <f>Base!A268</f>
        <v>C:\Users\USUARIO\Macros\FACTURAS Y LISTADOS\1130 - Urbanización Alborada 1-4 PH\Urbanización Alborada 1-4 PH - Facturas del mes de_267.pdf</v>
      </c>
      <c r="B268" t="str">
        <f>Base!D268</f>
        <v>Urbanización Alborada 1-4 PH - Facturas del mes de_267.pdf</v>
      </c>
      <c r="C268" s="2" t="str">
        <f>Cálculos!G268</f>
        <v>Urbanización Alborada 1-4 PH - Factura del Mes de Agosto de 2017 0 - 0 - 0.pdf</v>
      </c>
      <c r="D268" t="str">
        <f>Cálculos!H268</f>
        <v>C:\Users\USUARIO\Macros\FACTURAS Y LISTADOS\1130 - Urbanización Alborada 1-4 PH\Agosto de 2017\Urbanización Alborada 1-4 PH - Factura del Mes de Agosto de 2017 0 - 0 - 0.pdf</v>
      </c>
    </row>
    <row r="269" spans="1:4" x14ac:dyDescent="0.25">
      <c r="A269" t="str">
        <f>Base!A269</f>
        <v>C:\Users\USUARIO\Macros\FACTURAS Y LISTADOS\1130 - Urbanización Alborada 1-4 PH\Urbanización Alborada 1-4 PH - Facturas del mes de_268.pdf</v>
      </c>
      <c r="B269" t="str">
        <f>Base!D269</f>
        <v>Urbanización Alborada 1-4 PH - Facturas del mes de_268.pdf</v>
      </c>
      <c r="C269" s="2" t="str">
        <f>Cálculos!G269</f>
        <v>Urbanización Alborada 1-4 PH - Factura del Mes de Agosto de 2017 0 - 0 - 0.pdf</v>
      </c>
      <c r="D269" t="str">
        <f>Cálculos!H269</f>
        <v>C:\Users\USUARIO\Macros\FACTURAS Y LISTADOS\1130 - Urbanización Alborada 1-4 PH\Agosto de 2017\Urbanización Alborada 1-4 PH - Factura del Mes de Agosto de 2017 0 - 0 - 0.pdf</v>
      </c>
    </row>
    <row r="270" spans="1:4" x14ac:dyDescent="0.25">
      <c r="A270" t="str">
        <f>Base!A270</f>
        <v>C:\Users\USUARIO\Macros\FACTURAS Y LISTADOS\1130 - Urbanización Alborada 1-4 PH\Urbanización Alborada 1-4 PH - Facturas del mes de_269.pdf</v>
      </c>
      <c r="B270" t="str">
        <f>Base!D270</f>
        <v>Urbanización Alborada 1-4 PH - Facturas del mes de_269.pdf</v>
      </c>
      <c r="C270" s="2" t="str">
        <f>Cálculos!G270</f>
        <v>Urbanización Alborada 1-4 PH - Factura del Mes de Agosto de 2017 0 - 0 - 0.pdf</v>
      </c>
      <c r="D270" t="str">
        <f>Cálculos!H270</f>
        <v>C:\Users\USUARIO\Macros\FACTURAS Y LISTADOS\1130 - Urbanización Alborada 1-4 PH\Agosto de 2017\Urbanización Alborada 1-4 PH - Factura del Mes de Agosto de 2017 0 - 0 - 0.pdf</v>
      </c>
    </row>
    <row r="271" spans="1:4" x14ac:dyDescent="0.25">
      <c r="A271" t="str">
        <f>Base!A271</f>
        <v>C:\Users\USUARIO\Macros\FACTURAS Y LISTADOS\1130 - Urbanización Alborada 1-4 PH\Urbanización Alborada 1-4 PH - Facturas del mes de_270.pdf</v>
      </c>
      <c r="B271" t="str">
        <f>Base!D271</f>
        <v>Urbanización Alborada 1-4 PH - Facturas del mes de_270.pdf</v>
      </c>
      <c r="C271" s="2" t="str">
        <f>Cálculos!G271</f>
        <v>Urbanización Alborada 1-4 PH - Factura del Mes de Agosto de 2017 0 - 0 - 0.pdf</v>
      </c>
      <c r="D271" t="str">
        <f>Cálculos!H271</f>
        <v>C:\Users\USUARIO\Macros\FACTURAS Y LISTADOS\1130 - Urbanización Alborada 1-4 PH\Agosto de 2017\Urbanización Alborada 1-4 PH - Factura del Mes de Agosto de 2017 0 - 0 - 0.pdf</v>
      </c>
    </row>
    <row r="272" spans="1:4" x14ac:dyDescent="0.25">
      <c r="A272" t="str">
        <f>Base!A272</f>
        <v>C:\Users\USUARIO\Macros\FACTURAS Y LISTADOS\1130 - Urbanización Alborada 1-4 PH\Urbanización Alborada 1-4 PH - Facturas del mes de_271.pdf</v>
      </c>
      <c r="B272" t="str">
        <f>Base!D272</f>
        <v>Urbanización Alborada 1-4 PH - Facturas del mes de_271.pdf</v>
      </c>
      <c r="C272" s="2" t="str">
        <f>Cálculos!G272</f>
        <v>Urbanización Alborada 1-4 PH - Factura del Mes de Agosto de 2017 0 - 0 - 0.pdf</v>
      </c>
      <c r="D272" t="str">
        <f>Cálculos!H272</f>
        <v>C:\Users\USUARIO\Macros\FACTURAS Y LISTADOS\1130 - Urbanización Alborada 1-4 PH\Agosto de 2017\Urbanización Alborada 1-4 PH - Factura del Mes de Agosto de 2017 0 - 0 - 0.pdf</v>
      </c>
    </row>
    <row r="273" spans="1:4" x14ac:dyDescent="0.25">
      <c r="A273" t="str">
        <f>Base!A273</f>
        <v>C:\Users\USUARIO\Macros\FACTURAS Y LISTADOS\1130 - Urbanización Alborada 1-4 PH\Urbanización Alborada 1-4 PH - Facturas del mes de_272.pdf</v>
      </c>
      <c r="B273" t="str">
        <f>Base!D273</f>
        <v>Urbanización Alborada 1-4 PH - Facturas del mes de_272.pdf</v>
      </c>
      <c r="C273" s="2" t="str">
        <f>Cálculos!G273</f>
        <v>Urbanización Alborada 1-4 PH - Factura del Mes de Agosto de 2017 0 - 0 - 0.pdf</v>
      </c>
      <c r="D273" t="str">
        <f>Cálculos!H273</f>
        <v>C:\Users\USUARIO\Macros\FACTURAS Y LISTADOS\1130 - Urbanización Alborada 1-4 PH\Agosto de 2017\Urbanización Alborada 1-4 PH - Factura del Mes de Agosto de 2017 0 - 0 - 0.pdf</v>
      </c>
    </row>
    <row r="274" spans="1:4" x14ac:dyDescent="0.25">
      <c r="A274" t="str">
        <f>Base!A274</f>
        <v>C:\Users\USUARIO\Macros\FACTURAS Y LISTADOS\1130 - Urbanización Alborada 1-4 PH\Urbanización Alborada 1-4 PH - Facturas del mes de_273.pdf</v>
      </c>
      <c r="B274" t="str">
        <f>Base!D274</f>
        <v>Urbanización Alborada 1-4 PH - Facturas del mes de_273.pdf</v>
      </c>
      <c r="C274" s="2" t="str">
        <f>Cálculos!G274</f>
        <v>Urbanización Alborada 1-4 PH - Factura del Mes de Agosto de 2017 0 - 0 - 0.pdf</v>
      </c>
      <c r="D274" t="str">
        <f>Cálculos!H274</f>
        <v>C:\Users\USUARIO\Macros\FACTURAS Y LISTADOS\1130 - Urbanización Alborada 1-4 PH\Agosto de 2017\Urbanización Alborada 1-4 PH - Factura del Mes de Agosto de 2017 0 - 0 - 0.pdf</v>
      </c>
    </row>
    <row r="275" spans="1:4" x14ac:dyDescent="0.25">
      <c r="A275" t="str">
        <f>Base!A275</f>
        <v>C:\Users\USUARIO\Macros\FACTURAS Y LISTADOS\1130 - Urbanización Alborada 1-4 PH\Urbanización Alborada 1-4 PH - Facturas del mes de_274.pdf</v>
      </c>
      <c r="B275" t="str">
        <f>Base!D275</f>
        <v>Urbanización Alborada 1-4 PH - Facturas del mes de_274.pdf</v>
      </c>
      <c r="C275" s="2" t="str">
        <f>Cálculos!G275</f>
        <v>Urbanización Alborada 1-4 PH - Factura del Mes de Agosto de 2017 0 - 0 - 0.pdf</v>
      </c>
      <c r="D275" t="str">
        <f>Cálculos!H275</f>
        <v>C:\Users\USUARIO\Macros\FACTURAS Y LISTADOS\1130 - Urbanización Alborada 1-4 PH\Agosto de 2017\Urbanización Alborada 1-4 PH - Factura del Mes de Agosto de 2017 0 - 0 - 0.pdf</v>
      </c>
    </row>
    <row r="276" spans="1:4" x14ac:dyDescent="0.25">
      <c r="A276" t="str">
        <f>Base!A276</f>
        <v>C:\Users\USUARIO\Macros\FACTURAS Y LISTADOS\1130 - Urbanización Alborada 1-4 PH\Urbanización Alborada 1-4 PH - Facturas del mes de_275.pdf</v>
      </c>
      <c r="B276" t="str">
        <f>Base!D276</f>
        <v>Urbanización Alborada 1-4 PH - Facturas del mes de_275.pdf</v>
      </c>
      <c r="C276" s="2" t="str">
        <f>Cálculos!G276</f>
        <v>Urbanización Alborada 1-4 PH - Factura del Mes de Agosto de 2017 0 - 0 - 0.pdf</v>
      </c>
      <c r="D276" t="str">
        <f>Cálculos!H276</f>
        <v>C:\Users\USUARIO\Macros\FACTURAS Y LISTADOS\1130 - Urbanización Alborada 1-4 PH\Agosto de 2017\Urbanización Alborada 1-4 PH - Factura del Mes de Agosto de 2017 0 - 0 - 0.pdf</v>
      </c>
    </row>
    <row r="277" spans="1:4" x14ac:dyDescent="0.25">
      <c r="A277" t="str">
        <f>Base!A277</f>
        <v>C:\Users\USUARIO\Macros\FACTURAS Y LISTADOS\1130 - Urbanización Alborada 1-4 PH\Urbanización Alborada 1-4 PH - Facturas del mes de_276.pdf</v>
      </c>
      <c r="B277" t="str">
        <f>Base!D277</f>
        <v>Urbanización Alborada 1-4 PH - Facturas del mes de_276.pdf</v>
      </c>
      <c r="C277" s="2" t="str">
        <f>Cálculos!G277</f>
        <v>Urbanización Alborada 1-4 PH - Factura del Mes de Agosto de 2017 0 - 0 - 0.pdf</v>
      </c>
      <c r="D277" t="str">
        <f>Cálculos!H277</f>
        <v>C:\Users\USUARIO\Macros\FACTURAS Y LISTADOS\1130 - Urbanización Alborada 1-4 PH\Agosto de 2017\Urbanización Alborada 1-4 PH - Factura del Mes de Agosto de 2017 0 - 0 - 0.pdf</v>
      </c>
    </row>
    <row r="278" spans="1:4" x14ac:dyDescent="0.25">
      <c r="A278" t="str">
        <f>Base!A278</f>
        <v>C:\Users\USUARIO\Macros\FACTURAS Y LISTADOS\1130 - Urbanización Alborada 1-4 PH\Urbanización Alborada 1-4 PH - Facturas del mes de_277.pdf</v>
      </c>
      <c r="B278" t="str">
        <f>Base!D278</f>
        <v>Urbanización Alborada 1-4 PH - Facturas del mes de_277.pdf</v>
      </c>
      <c r="C278" s="2" t="str">
        <f>Cálculos!G278</f>
        <v>Urbanización Alborada 1-4 PH - Factura del Mes de Agosto de 2017 0 - 0 - 0.pdf</v>
      </c>
      <c r="D278" t="str">
        <f>Cálculos!H278</f>
        <v>C:\Users\USUARIO\Macros\FACTURAS Y LISTADOS\1130 - Urbanización Alborada 1-4 PH\Agosto de 2017\Urbanización Alborada 1-4 PH - Factura del Mes de Agosto de 2017 0 - 0 - 0.pdf</v>
      </c>
    </row>
    <row r="279" spans="1:4" x14ac:dyDescent="0.25">
      <c r="A279" t="str">
        <f>Base!A279</f>
        <v>C:\Users\USUARIO\Macros\FACTURAS Y LISTADOS\1130 - Urbanización Alborada 1-4 PH\Urbanización Alborada 1-4 PH - Facturas del mes de_278.pdf</v>
      </c>
      <c r="B279" t="str">
        <f>Base!D279</f>
        <v>Urbanización Alborada 1-4 PH - Facturas del mes de_278.pdf</v>
      </c>
      <c r="C279" s="2" t="str">
        <f>Cálculos!G279</f>
        <v>Urbanización Alborada 1-4 PH - Factura del Mes de Agosto de 2017 0 - 0 - 0.pdf</v>
      </c>
      <c r="D279" t="str">
        <f>Cálculos!H279</f>
        <v>C:\Users\USUARIO\Macros\FACTURAS Y LISTADOS\1130 - Urbanización Alborada 1-4 PH\Agosto de 2017\Urbanización Alborada 1-4 PH - Factura del Mes de Agosto de 2017 0 - 0 - 0.pdf</v>
      </c>
    </row>
    <row r="280" spans="1:4" x14ac:dyDescent="0.25">
      <c r="A280" t="str">
        <f>Base!A280</f>
        <v>C:\Users\USUARIO\Macros\FACTURAS Y LISTADOS\1130 - Urbanización Alborada 1-4 PH\Urbanización Alborada 1-4 PH - Facturas del mes de_279.pdf</v>
      </c>
      <c r="B280" t="str">
        <f>Base!D280</f>
        <v>Urbanización Alborada 1-4 PH - Facturas del mes de_279.pdf</v>
      </c>
      <c r="C280" s="2" t="str">
        <f>Cálculos!G280</f>
        <v>Urbanización Alborada 1-4 PH - Factura del Mes de Agosto de 2017 0 - 0 - 0.pdf</v>
      </c>
      <c r="D280" t="str">
        <f>Cálculos!H280</f>
        <v>C:\Users\USUARIO\Macros\FACTURAS Y LISTADOS\1130 - Urbanización Alborada 1-4 PH\Agosto de 2017\Urbanización Alborada 1-4 PH - Factura del Mes de Agosto de 2017 0 - 0 - 0.pdf</v>
      </c>
    </row>
    <row r="281" spans="1:4" x14ac:dyDescent="0.25">
      <c r="A281" t="str">
        <f>Base!A281</f>
        <v>C:\Users\USUARIO\Macros\FACTURAS Y LISTADOS\1130 - Urbanización Alborada 1-4 PH\Urbanización Alborada 1-4 PH - Facturas del mes de_280.pdf</v>
      </c>
      <c r="B281" t="str">
        <f>Base!D281</f>
        <v>Urbanización Alborada 1-4 PH - Facturas del mes de_280.pdf</v>
      </c>
      <c r="C281" s="2" t="str">
        <f>Cálculos!G281</f>
        <v>Urbanización Alborada 1-4 PH - Factura del Mes de Agosto de 2017 0 - 0 - 0.pdf</v>
      </c>
      <c r="D281" t="str">
        <f>Cálculos!H281</f>
        <v>C:\Users\USUARIO\Macros\FACTURAS Y LISTADOS\1130 - Urbanización Alborada 1-4 PH\Agosto de 2017\Urbanización Alborada 1-4 PH - Factura del Mes de Agosto de 2017 0 - 0 - 0.pdf</v>
      </c>
    </row>
    <row r="282" spans="1:4" x14ac:dyDescent="0.25">
      <c r="A282" t="str">
        <f>Base!A282</f>
        <v>C:\Users\USUARIO\Macros\FACTURAS Y LISTADOS\1130 - Urbanización Alborada 1-4 PH\Urbanización Alborada 1-4 PH - Facturas del mes de_281.pdf</v>
      </c>
      <c r="B282" t="str">
        <f>Base!D282</f>
        <v>Urbanización Alborada 1-4 PH - Facturas del mes de_281.pdf</v>
      </c>
      <c r="C282" s="2" t="str">
        <f>Cálculos!G282</f>
        <v>Urbanización Alborada 1-4 PH - Factura del Mes de Agosto de 2017 0 - 0 - 0.pdf</v>
      </c>
      <c r="D282" t="str">
        <f>Cálculos!H282</f>
        <v>C:\Users\USUARIO\Macros\FACTURAS Y LISTADOS\1130 - Urbanización Alborada 1-4 PH\Agosto de 2017\Urbanización Alborada 1-4 PH - Factura del Mes de Agosto de 2017 0 - 0 - 0.pdf</v>
      </c>
    </row>
    <row r="283" spans="1:4" x14ac:dyDescent="0.25">
      <c r="A283" t="str">
        <f>Base!A283</f>
        <v>C:\Users\USUARIO\Macros\FACTURAS Y LISTADOS\1130 - Urbanización Alborada 1-4 PH\Urbanización Alborada 1-4 PH - Facturas del mes de_282.pdf</v>
      </c>
      <c r="B283" t="str">
        <f>Base!D283</f>
        <v>Urbanización Alborada 1-4 PH - Facturas del mes de_282.pdf</v>
      </c>
      <c r="C283" s="2" t="str">
        <f>Cálculos!G283</f>
        <v>Urbanización Alborada 1-4 PH - Factura del Mes de Agosto de 2017 0 - 0 - 0.pdf</v>
      </c>
      <c r="D283" t="str">
        <f>Cálculos!H283</f>
        <v>C:\Users\USUARIO\Macros\FACTURAS Y LISTADOS\1130 - Urbanización Alborada 1-4 PH\Agosto de 2017\Urbanización Alborada 1-4 PH - Factura del Mes de Agosto de 2017 0 - 0 - 0.pdf</v>
      </c>
    </row>
    <row r="284" spans="1:4" x14ac:dyDescent="0.25">
      <c r="A284" t="str">
        <f>Base!A284</f>
        <v>C:\Users\USUARIO\Macros\FACTURAS Y LISTADOS\1130 - Urbanización Alborada 1-4 PH\Urbanización Alborada 1-4 PH - Facturas del mes de_283.pdf</v>
      </c>
      <c r="B284" t="str">
        <f>Base!D284</f>
        <v>Urbanización Alborada 1-4 PH - Facturas del mes de_283.pdf</v>
      </c>
      <c r="C284" s="2" t="str">
        <f>Cálculos!G284</f>
        <v>Urbanización Alborada 1-4 PH - Factura del Mes de Agosto de 2017 0 - 0 - 0.pdf</v>
      </c>
      <c r="D284" t="str">
        <f>Cálculos!H284</f>
        <v>C:\Users\USUARIO\Macros\FACTURAS Y LISTADOS\1130 - Urbanización Alborada 1-4 PH\Agosto de 2017\Urbanización Alborada 1-4 PH - Factura del Mes de Agosto de 2017 0 - 0 - 0.pdf</v>
      </c>
    </row>
    <row r="285" spans="1:4" x14ac:dyDescent="0.25">
      <c r="A285" t="str">
        <f>Base!A285</f>
        <v>C:\Users\USUARIO\Macros\FACTURAS Y LISTADOS\1130 - Urbanización Alborada 1-4 PH\Urbanización Alborada 1-4 PH - Facturas del mes de_284.pdf</v>
      </c>
      <c r="B285" t="str">
        <f>Base!D285</f>
        <v>Urbanización Alborada 1-4 PH - Facturas del mes de_284.pdf</v>
      </c>
      <c r="C285" s="2" t="str">
        <f>Cálculos!G285</f>
        <v>Urbanización Alborada 1-4 PH - Factura del Mes de Agosto de 2017 0 - 0 - 0.pdf</v>
      </c>
      <c r="D285" t="str">
        <f>Cálculos!H285</f>
        <v>C:\Users\USUARIO\Macros\FACTURAS Y LISTADOS\1130 - Urbanización Alborada 1-4 PH\Agosto de 2017\Urbanización Alborada 1-4 PH - Factura del Mes de Agosto de 2017 0 - 0 - 0.pdf</v>
      </c>
    </row>
    <row r="286" spans="1:4" x14ac:dyDescent="0.25">
      <c r="A286" t="str">
        <f>Base!A286</f>
        <v>C:\Users\USUARIO\Macros\FACTURAS Y LISTADOS\1130 - Urbanización Alborada 1-4 PH\Urbanización Alborada 1-4 PH - Facturas del mes de_285.pdf</v>
      </c>
      <c r="B286" t="str">
        <f>Base!D286</f>
        <v>Urbanización Alborada 1-4 PH - Facturas del mes de_285.pdf</v>
      </c>
      <c r="C286" s="2" t="str">
        <f>Cálculos!G286</f>
        <v>Urbanización Alborada 1-4 PH - Factura del Mes de Agosto de 2017 0 - 0 - 0.pdf</v>
      </c>
      <c r="D286" t="str">
        <f>Cálculos!H286</f>
        <v>C:\Users\USUARIO\Macros\FACTURAS Y LISTADOS\1130 - Urbanización Alborada 1-4 PH\Agosto de 2017\Urbanización Alborada 1-4 PH - Factura del Mes de Agosto de 2017 0 - 0 - 0.pdf</v>
      </c>
    </row>
    <row r="287" spans="1:4" x14ac:dyDescent="0.25">
      <c r="A287" t="str">
        <f>Base!A287</f>
        <v>C:\Users\USUARIO\Macros\FACTURAS Y LISTADOS\1130 - Urbanización Alborada 1-4 PH\Urbanización Alborada 1-4 PH - Facturas del mes de_286.pdf</v>
      </c>
      <c r="B287" t="str">
        <f>Base!D287</f>
        <v>Urbanización Alborada 1-4 PH - Facturas del mes de_286.pdf</v>
      </c>
      <c r="C287" s="2" t="str">
        <f>Cálculos!G287</f>
        <v>Urbanización Alborada 1-4 PH - Factura del Mes de Agosto de 2017 0 - 0 - 0.pdf</v>
      </c>
      <c r="D287" t="str">
        <f>Cálculos!H287</f>
        <v>C:\Users\USUARIO\Macros\FACTURAS Y LISTADOS\1130 - Urbanización Alborada 1-4 PH\Agosto de 2017\Urbanización Alborada 1-4 PH - Factura del Mes de Agosto de 2017 0 - 0 - 0.pdf</v>
      </c>
    </row>
    <row r="288" spans="1:4" x14ac:dyDescent="0.25">
      <c r="A288" t="str">
        <f>Base!A288</f>
        <v>C:\Users\USUARIO\Macros\FACTURAS Y LISTADOS\1130 - Urbanización Alborada 1-4 PH\Urbanización Alborada 1-4 PH - Facturas del mes de_287.pdf</v>
      </c>
      <c r="B288" t="str">
        <f>Base!D288</f>
        <v>Urbanización Alborada 1-4 PH - Facturas del mes de_287.pdf</v>
      </c>
      <c r="C288" s="2" t="str">
        <f>Cálculos!G288</f>
        <v>Urbanización Alborada 1-4 PH - Factura del Mes de Agosto de 2017 0 - 0 - 0.pdf</v>
      </c>
      <c r="D288" t="str">
        <f>Cálculos!H288</f>
        <v>C:\Users\USUARIO\Macros\FACTURAS Y LISTADOS\1130 - Urbanización Alborada 1-4 PH\Agosto de 2017\Urbanización Alborada 1-4 PH - Factura del Mes de Agosto de 2017 0 - 0 - 0.pdf</v>
      </c>
    </row>
    <row r="289" spans="1:4" x14ac:dyDescent="0.25">
      <c r="A289" t="str">
        <f>Base!A289</f>
        <v>C:\Users\USUARIO\Macros\FACTURAS Y LISTADOS\1130 - Urbanización Alborada 1-4 PH\Urbanización Alborada 1-4 PH - Facturas del mes de_288.pdf</v>
      </c>
      <c r="B289" t="str">
        <f>Base!D289</f>
        <v>Urbanización Alborada 1-4 PH - Facturas del mes de_288.pdf</v>
      </c>
      <c r="C289" s="2" t="str">
        <f>Cálculos!G289</f>
        <v>Urbanización Alborada 1-4 PH - Factura del Mes de Agosto de 2017 0 - 0 - 0.pdf</v>
      </c>
      <c r="D289" t="str">
        <f>Cálculos!H289</f>
        <v>C:\Users\USUARIO\Macros\FACTURAS Y LISTADOS\1130 - Urbanización Alborada 1-4 PH\Agosto de 2017\Urbanización Alborada 1-4 PH - Factura del Mes de Agosto de 2017 0 - 0 - 0.pdf</v>
      </c>
    </row>
    <row r="290" spans="1:4" x14ac:dyDescent="0.25">
      <c r="A290" t="str">
        <f>Base!A290</f>
        <v>C:\Users\USUARIO\Macros\FACTURAS Y LISTADOS\1130 - Urbanización Alborada 1-4 PH\Urbanización Alborada 1-4 PH - Facturas del mes de_289.pdf</v>
      </c>
      <c r="B290" t="str">
        <f>Base!D290</f>
        <v>Urbanización Alborada 1-4 PH - Facturas del mes de_289.pdf</v>
      </c>
      <c r="C290" s="2" t="str">
        <f>Cálculos!G290</f>
        <v>Urbanización Alborada 1-4 PH - Factura del Mes de Agosto de 2017 0 - 0 - 0.pdf</v>
      </c>
      <c r="D290" t="str">
        <f>Cálculos!H290</f>
        <v>C:\Users\USUARIO\Macros\FACTURAS Y LISTADOS\1130 - Urbanización Alborada 1-4 PH\Agosto de 2017\Urbanización Alborada 1-4 PH - Factura del Mes de Agosto de 2017 0 - 0 - 0.pdf</v>
      </c>
    </row>
    <row r="291" spans="1:4" x14ac:dyDescent="0.25">
      <c r="A291" t="str">
        <f>Base!A291</f>
        <v>C:\Users\USUARIO\Macros\FACTURAS Y LISTADOS\1130 - Urbanización Alborada 1-4 PH\Urbanización Alborada 1-4 PH - Facturas del mes de_290.pdf</v>
      </c>
      <c r="B291" t="str">
        <f>Base!D291</f>
        <v>Urbanización Alborada 1-4 PH - Facturas del mes de_290.pdf</v>
      </c>
      <c r="C291" s="2" t="str">
        <f>Cálculos!G291</f>
        <v>Urbanización Alborada 1-4 PH - Factura del Mes de Agosto de 2017 0 - 0 - 0.pdf</v>
      </c>
      <c r="D291" t="str">
        <f>Cálculos!H291</f>
        <v>C:\Users\USUARIO\Macros\FACTURAS Y LISTADOS\1130 - Urbanización Alborada 1-4 PH\Agosto de 2017\Urbanización Alborada 1-4 PH - Factura del Mes de Agosto de 2017 0 - 0 - 0.pdf</v>
      </c>
    </row>
    <row r="292" spans="1:4" x14ac:dyDescent="0.25">
      <c r="A292" t="str">
        <f>Base!A292</f>
        <v>C:\Users\USUARIO\Macros\FACTURAS Y LISTADOS\1130 - Urbanización Alborada 1-4 PH\Urbanización Alborada 1-4 PH - Facturas del mes de_291.pdf</v>
      </c>
      <c r="B292" t="str">
        <f>Base!D292</f>
        <v>Urbanización Alborada 1-4 PH - Facturas del mes de_291.pdf</v>
      </c>
      <c r="C292" s="2" t="str">
        <f>Cálculos!G292</f>
        <v>Urbanización Alborada 1-4 PH - Factura del Mes de Agosto de 2017 0 - 0 - 0.pdf</v>
      </c>
      <c r="D292" t="str">
        <f>Cálculos!H292</f>
        <v>C:\Users\USUARIO\Macros\FACTURAS Y LISTADOS\1130 - Urbanización Alborada 1-4 PH\Agosto de 2017\Urbanización Alborada 1-4 PH - Factura del Mes de Agosto de 2017 0 - 0 - 0.pdf</v>
      </c>
    </row>
    <row r="293" spans="1:4" x14ac:dyDescent="0.25">
      <c r="A293" t="str">
        <f>Base!A293</f>
        <v>C:\Users\USUARIO\Macros\FACTURAS Y LISTADOS\1130 - Urbanización Alborada 1-4 PH\Urbanización Alborada 1-4 PH - Facturas del mes de_292.pdf</v>
      </c>
      <c r="B293" t="str">
        <f>Base!D293</f>
        <v>Urbanización Alborada 1-4 PH - Facturas del mes de_292.pdf</v>
      </c>
      <c r="C293" s="2" t="str">
        <f>Cálculos!G293</f>
        <v>Urbanización Alborada 1-4 PH - Factura del Mes de Agosto de 2017 0 - 0 - 0.pdf</v>
      </c>
      <c r="D293" t="str">
        <f>Cálculos!H293</f>
        <v>C:\Users\USUARIO\Macros\FACTURAS Y LISTADOS\1130 - Urbanización Alborada 1-4 PH\Agosto de 2017\Urbanización Alborada 1-4 PH - Factura del Mes de Agosto de 2017 0 - 0 - 0.pdf</v>
      </c>
    </row>
    <row r="294" spans="1:4" x14ac:dyDescent="0.25">
      <c r="A294" t="str">
        <f>Base!A294</f>
        <v>C:\Users\USUARIO\Macros\FACTURAS Y LISTADOS\1130 - Urbanización Alborada 1-4 PH\Urbanización Alborada 1-4 PH - Facturas del mes de_293.pdf</v>
      </c>
      <c r="B294" t="str">
        <f>Base!D294</f>
        <v>Urbanización Alborada 1-4 PH - Facturas del mes de_293.pdf</v>
      </c>
      <c r="C294" s="2" t="str">
        <f>Cálculos!G294</f>
        <v>Urbanización Alborada 1-4 PH - Factura del Mes de Agosto de 2017 0 - 0 - 0.pdf</v>
      </c>
      <c r="D294" t="str">
        <f>Cálculos!H294</f>
        <v>C:\Users\USUARIO\Macros\FACTURAS Y LISTADOS\1130 - Urbanización Alborada 1-4 PH\Agosto de 2017\Urbanización Alborada 1-4 PH - Factura del Mes de Agosto de 2017 0 - 0 - 0.pdf</v>
      </c>
    </row>
    <row r="295" spans="1:4" x14ac:dyDescent="0.25">
      <c r="A295" t="str">
        <f>Base!A295</f>
        <v>C:\Users\USUARIO\Macros\FACTURAS Y LISTADOS\1130 - Urbanización Alborada 1-4 PH\Urbanización Alborada 1-4 PH - Facturas del mes de_294.pdf</v>
      </c>
      <c r="B295" t="str">
        <f>Base!D295</f>
        <v>Urbanización Alborada 1-4 PH - Facturas del mes de_294.pdf</v>
      </c>
      <c r="C295" s="2" t="str">
        <f>Cálculos!G295</f>
        <v>Urbanización Alborada 1-4 PH - Factura del Mes de Agosto de 2017 0 - 0 - 0.pdf</v>
      </c>
      <c r="D295" t="str">
        <f>Cálculos!H295</f>
        <v>C:\Users\USUARIO\Macros\FACTURAS Y LISTADOS\1130 - Urbanización Alborada 1-4 PH\Agosto de 2017\Urbanización Alborada 1-4 PH - Factura del Mes de Agosto de 2017 0 - 0 - 0.pdf</v>
      </c>
    </row>
    <row r="296" spans="1:4" x14ac:dyDescent="0.25">
      <c r="A296" t="str">
        <f>Base!A296</f>
        <v>C:\Users\USUARIO\Macros\FACTURAS Y LISTADOS\1130 - Urbanización Alborada 1-4 PH\Urbanización Alborada 1-4 PH - Facturas del mes de_295.pdf</v>
      </c>
      <c r="B296" t="str">
        <f>Base!D296</f>
        <v>Urbanización Alborada 1-4 PH - Facturas del mes de_295.pdf</v>
      </c>
      <c r="C296" s="2" t="str">
        <f>Cálculos!G296</f>
        <v>Urbanización Alborada 1-4 PH - Factura del Mes de Agosto de 2017 0 - 0 - 0.pdf</v>
      </c>
      <c r="D296" t="str">
        <f>Cálculos!H296</f>
        <v>C:\Users\USUARIO\Macros\FACTURAS Y LISTADOS\1130 - Urbanización Alborada 1-4 PH\Agosto de 2017\Urbanización Alborada 1-4 PH - Factura del Mes de Agosto de 2017 0 - 0 - 0.pdf</v>
      </c>
    </row>
    <row r="297" spans="1:4" x14ac:dyDescent="0.25">
      <c r="A297" t="str">
        <f>Base!A297</f>
        <v>C:\Users\USUARIO\Macros\FACTURAS Y LISTADOS\1130 - Urbanización Alborada 1-4 PH\Urbanización Alborada 1-4 PH - Facturas del mes de_296.pdf</v>
      </c>
      <c r="B297" t="str">
        <f>Base!D297</f>
        <v>Urbanización Alborada 1-4 PH - Facturas del mes de_296.pdf</v>
      </c>
      <c r="C297" s="2" t="str">
        <f>Cálculos!G297</f>
        <v>Urbanización Alborada 1-4 PH - Factura del Mes de Agosto de 2017 0 - 0 - 0.pdf</v>
      </c>
      <c r="D297" t="str">
        <f>Cálculos!H297</f>
        <v>C:\Users\USUARIO\Macros\FACTURAS Y LISTADOS\1130 - Urbanización Alborada 1-4 PH\Agosto de 2017\Urbanización Alborada 1-4 PH - Factura del Mes de Agosto de 2017 0 - 0 - 0.pdf</v>
      </c>
    </row>
    <row r="298" spans="1:4" x14ac:dyDescent="0.25">
      <c r="A298" t="str">
        <f>Base!A298</f>
        <v>C:\Users\USUARIO\Macros\FACTURAS Y LISTADOS\1130 - Urbanización Alborada 1-4 PH\Urbanización Alborada 1-4 PH - Facturas del mes de_297.pdf</v>
      </c>
      <c r="B298" t="str">
        <f>Base!D298</f>
        <v>Urbanización Alborada 1-4 PH - Facturas del mes de_297.pdf</v>
      </c>
      <c r="C298" s="2" t="str">
        <f>Cálculos!G298</f>
        <v>Urbanización Alborada 1-4 PH - Factura del Mes de Agosto de 2017 0 - 0 - 0.pdf</v>
      </c>
      <c r="D298" t="str">
        <f>Cálculos!H298</f>
        <v>C:\Users\USUARIO\Macros\FACTURAS Y LISTADOS\1130 - Urbanización Alborada 1-4 PH\Agosto de 2017\Urbanización Alborada 1-4 PH - Factura del Mes de Agosto de 2017 0 - 0 - 0.pdf</v>
      </c>
    </row>
    <row r="299" spans="1:4" x14ac:dyDescent="0.25">
      <c r="A299" t="str">
        <f>Base!A299</f>
        <v>C:\Users\USUARIO\Macros\FACTURAS Y LISTADOS\1130 - Urbanización Alborada 1-4 PH\Urbanización Alborada 1-4 PH - Facturas del mes de_298.pdf</v>
      </c>
      <c r="B299" t="str">
        <f>Base!D299</f>
        <v>Urbanización Alborada 1-4 PH - Facturas del mes de_298.pdf</v>
      </c>
      <c r="C299" s="2" t="str">
        <f>Cálculos!G299</f>
        <v>Urbanización Alborada 1-4 PH - Factura del Mes de Agosto de 2017 0 - 0 - 0.pdf</v>
      </c>
      <c r="D299" t="str">
        <f>Cálculos!H299</f>
        <v>C:\Users\USUARIO\Macros\FACTURAS Y LISTADOS\1130 - Urbanización Alborada 1-4 PH\Agosto de 2017\Urbanización Alborada 1-4 PH - Factura del Mes de Agosto de 2017 0 - 0 - 0.pdf</v>
      </c>
    </row>
    <row r="300" spans="1:4" x14ac:dyDescent="0.25">
      <c r="A300" t="str">
        <f>Base!A300</f>
        <v>C:\Users\USUARIO\Macros\FACTURAS Y LISTADOS\1130 - Urbanización Alborada 1-4 PH\Urbanización Alborada 1-4 PH - Facturas del mes de_299.pdf</v>
      </c>
      <c r="B300" t="str">
        <f>Base!D300</f>
        <v>Urbanización Alborada 1-4 PH - Facturas del mes de_299.pdf</v>
      </c>
      <c r="C300" s="2" t="str">
        <f>Cálculos!G300</f>
        <v>Urbanización Alborada 1-4 PH - Factura del Mes de Agosto de 2017 0 - 0 - 0.pdf</v>
      </c>
      <c r="D300" t="str">
        <f>Cálculos!H300</f>
        <v>C:\Users\USUARIO\Macros\FACTURAS Y LISTADOS\1130 - Urbanización Alborada 1-4 PH\Agosto de 2017\Urbanización Alborada 1-4 PH - Factura del Mes de Agosto de 2017 0 - 0 - 0.pdf</v>
      </c>
    </row>
    <row r="301" spans="1:4" x14ac:dyDescent="0.25">
      <c r="A301" t="str">
        <f>Base!A301</f>
        <v>C:\Users\USUARIO\Macros\FACTURAS Y LISTADOS\1130 - Urbanización Alborada 1-4 PH\Urbanización Alborada 1-4 PH - Facturas del mes de.pdf</v>
      </c>
      <c r="B301" t="str">
        <f>Base!D301</f>
        <v>Urbanización Alborada 1-4 PH - Facturas del mes de.pdf</v>
      </c>
      <c r="C301" s="2" t="str">
        <f>Cálculos!G301</f>
        <v>Urbanización Alborada 1-4 PH - Facturas del mes de Agosto de 2017.pdf</v>
      </c>
      <c r="D301" t="str">
        <f>Cálculos!H301</f>
        <v>C:\Users\USUARIO\Macros\FACTURAS Y LISTADOS\1130 - Urbanización Alborada 1-4 PH\Agosto de 2017\Urbanización Alborada 1-4 PH - Facturas del mes de Agosto de 2017.pdf</v>
      </c>
    </row>
    <row r="302" spans="1:4" x14ac:dyDescent="0.25">
      <c r="A302" t="str">
        <f>Base!A302</f>
        <v>C:\Users\USUARIO\Macros\FACTURAS Y LISTADOS\1130 - Urbanización Alborada 1-4 PH\Urbanización Alborada 1-4 PH - Listado de Pagos del mes de.xlsx</v>
      </c>
      <c r="B302" t="str">
        <f>Base!D302</f>
        <v>Urbanización Alborada 1-4 PH - Listado de Pagos del mes de.xlsx</v>
      </c>
      <c r="C302" s="2" t="str">
        <f>Cálculos!G302</f>
        <v>Urbanización Alborada 1-4 PH - Listado de Pagos del mes de Julio de 2017.xlsx</v>
      </c>
      <c r="D302" t="str">
        <f>Cálculos!H302</f>
        <v>C:\Users\USUARIO\Macros\FACTURAS Y LISTADOS\1130 - Urbanización Alborada 1-4 PH\Agosto de 2017\Urbanización Alborada 1-4 PH - Listado de Pagos del mes de Julio de 2017.xlsx</v>
      </c>
    </row>
    <row r="303" spans="1:4" x14ac:dyDescent="0.25">
      <c r="A303" t="str">
        <f>Base!A303</f>
        <v>C:\Users\USUARIO\Macros\FACTURAS Y LISTADOS\1130 - Urbanización Alborada 1-4 PH\Urbanización Alborada 1-4 PH - Listado de Pendientes del mes de.xlsx</v>
      </c>
      <c r="B303" t="str">
        <f>Base!D303</f>
        <v>Urbanización Alborada 1-4 PH - Listado de Pendientes del mes de.xlsx</v>
      </c>
      <c r="C303" s="2" t="str">
        <f>Cálculos!G303</f>
        <v>Urbanización Alborada 1-4 PH - Listado de Pendientes del mes de Agosto de 2017.xlsx</v>
      </c>
      <c r="D303" t="str">
        <f>Cálculos!H303</f>
        <v>C:\Users\USUARIO\Macros\FACTURAS Y LISTADOS\1130 - Urbanización Alborada 1-4 PH\Agosto de 2017\Urbanización Alborada 1-4 PH - Listado de Pendientes del mes de Agosto de 2017.xlsx</v>
      </c>
    </row>
    <row r="304" spans="1:4" x14ac:dyDescent="0.25">
      <c r="A304" t="str">
        <f>Base!A304</f>
        <v>C:\Users\USUARIO\Macros\FACTURAS Y LISTADOS\1130 - Urbanización Alborada 1-4 PH\Urbanización Alborada 1-4 PH - Listado de Facturación del mes de.xlsx</v>
      </c>
      <c r="B304" t="str">
        <f>Base!D304</f>
        <v>Urbanización Alborada 1-4 PH - Listado de Facturación del mes de.xlsx</v>
      </c>
      <c r="C304" s="2" t="str">
        <f>Cálculos!G304</f>
        <v>Urbanización Alborada 1-4 PH - Listado de Facturación del mes de Agosto de 2017.xlsx</v>
      </c>
      <c r="D304" t="str">
        <f>Cálculos!H304</f>
        <v>C:\Users\USUARIO\Macros\FACTURAS Y LISTADOS\1130 - Urbanización Alborada 1-4 PH\Agosto de 2017\Urbanización Alborada 1-4 PH - Listado de Facturación del mes de Agosto de 2017.xlsx</v>
      </c>
    </row>
    <row r="305" spans="1:4" x14ac:dyDescent="0.25">
      <c r="A305" t="str">
        <f>Base!A305</f>
        <v>C:\Users\USUARIO\Macros\FACTURAS Y LISTADOS\1130 - Urbanización Alborada 1-4 PH\Urbanización Alborada 1-4 PH - Listado de Pagos del mes de.pdf</v>
      </c>
      <c r="B305" t="str">
        <f>Base!D305</f>
        <v>Urbanización Alborada 1-4 PH - Listado de Pagos del mes de.pdf</v>
      </c>
      <c r="C305" s="2" t="str">
        <f>Cálculos!G305</f>
        <v>Urbanización Alborada 1-4 PH - Listado de Pagos del mes de Julio de 2017.pdf</v>
      </c>
      <c r="D305" t="str">
        <f>Cálculos!H305</f>
        <v>C:\Users\USUARIO\Macros\FACTURAS Y LISTADOS\1130 - Urbanización Alborada 1-4 PH\Agosto de 2017\Urbanización Alborada 1-4 PH - Listado de Pagos del mes de Julio de 2017.pdf</v>
      </c>
    </row>
    <row r="306" spans="1:4" x14ac:dyDescent="0.25">
      <c r="A306" t="str">
        <f>Base!A306</f>
        <v>C:\Users\USUARIO\Macros\FACTURAS Y LISTADOS\1130 - Urbanización Alborada 1-4 PH\Urbanización Alborada 1-4 PH - Listado de Pendientes del mes de.pdf</v>
      </c>
      <c r="B306" t="str">
        <f>Base!D306</f>
        <v>Urbanización Alborada 1-4 PH - Listado de Pendientes del mes de.pdf</v>
      </c>
      <c r="C306" s="2" t="str">
        <f>Cálculos!G306</f>
        <v>Urbanización Alborada 1-4 PH - Listado de Pendientes del mes de Agosto de 2017.pdf</v>
      </c>
      <c r="D306" t="str">
        <f>Cálculos!H306</f>
        <v>C:\Users\USUARIO\Macros\FACTURAS Y LISTADOS\1130 - Urbanización Alborada 1-4 PH\Agosto de 2017\Urbanización Alborada 1-4 PH - Listado de Pendientes del mes de Agosto de 2017.pdf</v>
      </c>
    </row>
    <row r="307" spans="1:4" x14ac:dyDescent="0.25">
      <c r="A307" t="str">
        <f>Base!A307</f>
        <v>C:\Users\USUARIO\Macros\FACTURAS Y LISTADOS\1130 - Urbanización Alborada 1-4 PH\Urbanización Alborada 1-4 PH - Listado de Facturación del mes de.pdf</v>
      </c>
      <c r="B307" t="str">
        <f>Base!D307</f>
        <v>Urbanización Alborada 1-4 PH - Listado de Facturación del mes de.pdf</v>
      </c>
      <c r="C307" s="2" t="str">
        <f>Cálculos!G307</f>
        <v>Urbanización Alborada 1-4 PH - Listado de Facturación del mes de Agosto de 2017.pdf</v>
      </c>
      <c r="D307" t="str">
        <f>Cálculos!H307</f>
        <v>C:\Users\USUARIO\Macros\FACTURAS Y LISTADOS\1130 - Urbanización Alborada 1-4 PH\Agosto de 2017\Urbanización Alborada 1-4 PH - Listado de Facturación del mes de Agosto de 2017.pdf</v>
      </c>
    </row>
    <row r="308" spans="1:4" x14ac:dyDescent="0.25">
      <c r="A308" t="str">
        <f>Base!A308</f>
        <v>C:\Users\USUARIO\Macros\FACTURAS Y LISTADOS\1130 - Urbanización Alborada 1-4 PH\Urbanización Alborada 1-4 PH - Listado de Descuentos del mes de.xlsx</v>
      </c>
      <c r="B308" t="str">
        <f>Base!D308</f>
        <v>Urbanización Alborada 1-4 PH - Listado de Descuentos del mes de.xlsx</v>
      </c>
      <c r="C308" s="2" t="str">
        <f>Cálculos!G308</f>
        <v>Urbanización Alborada 1-4 PH - Listado de Descuentos del mes de Julio de 2017.xlsx</v>
      </c>
      <c r="D308" t="str">
        <f>Cálculos!H308</f>
        <v>C:\Users\USUARIO\Macros\FACTURAS Y LISTADOS\1130 - Urbanización Alborada 1-4 PH\Agosto de 2017\Urbanización Alborada 1-4 PH - Listado de Descuentos del mes de Julio de 2017.xlsx</v>
      </c>
    </row>
    <row r="309" spans="1:4" x14ac:dyDescent="0.25">
      <c r="A309" t="str">
        <f>Base!A309</f>
        <v>C:\Users\USUARIO\Macros\FACTURAS Y LISTADOS\1130 - Urbanización Alborada 1-4 PH\Urbanización Alborada 1-4 PH - Listado de Descuentos del mes de.pdf</v>
      </c>
      <c r="B309" t="str">
        <f>Base!D309</f>
        <v>Urbanización Alborada 1-4 PH - Listado de Descuentos del mes de.pdf</v>
      </c>
      <c r="C309" s="2" t="str">
        <f>Cálculos!G309</f>
        <v>Urbanización Alborada 1-4 PH - Listado de Descuentos del mes de Julio de 2017.pdf</v>
      </c>
      <c r="D309" t="str">
        <f>Cálculos!H309</f>
        <v>C:\Users\USUARIO\Macros\FACTURAS Y LISTADOS\1130 - Urbanización Alborada 1-4 PH\Agosto de 2017\Urbanización Alborada 1-4 PH - Listado de Descuentos del mes de Julio de 2017.pdf</v>
      </c>
    </row>
    <row r="310" spans="1:4" x14ac:dyDescent="0.25">
      <c r="A310" t="str">
        <f>Base!A310</f>
        <v>C:\Users\USUARIO\Macros\FACTURAS Y LISTADOS\1130 - Urbanización Alborada 1-4 PH\1130 - Urbanización Alborada 1-4 PH - Archivo para facturas.xlsx</v>
      </c>
      <c r="B310" t="str">
        <f>Base!D310</f>
        <v>1130 - Urbanización Alborada 1-4 PH - Archivo para facturas.xlsx</v>
      </c>
      <c r="C310" s="2" t="str">
        <f>Cálculos!G310</f>
        <v>1130 - Urbanización Alborada 1-4 PH - Archivo para facturas.xlsx</v>
      </c>
      <c r="D310" t="str">
        <f>Cálculos!H310</f>
        <v>C:\Users\USUARIO\Macros\FACTURAS Y LISTADOS\1130 - Urbanización Alborada 1-4 PH\Agosto de 2017\1130 - Urbanización Alborada 1-4 PH - Archivo para facturas.xlsx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310"/>
  <sheetViews>
    <sheetView workbookViewId="0"/>
  </sheetViews>
  <sheetFormatPr baseColWidth="10" defaultRowHeight="15" x14ac:dyDescent="0.25"/>
  <cols>
    <col min="1" max="1" width="31.140625" bestFit="1" customWidth="1"/>
    <col min="4" max="4" width="6.28515625" style="3" bestFit="1" customWidth="1"/>
    <col min="5" max="5" width="6.28515625" style="3" customWidth="1"/>
    <col min="6" max="6" width="54.5703125" style="3" bestFit="1" customWidth="1"/>
    <col min="7" max="7" width="70.7109375" customWidth="1"/>
    <col min="8" max="8" width="175.5703125" bestFit="1" customWidth="1"/>
  </cols>
  <sheetData>
    <row r="1" spans="1:8" x14ac:dyDescent="0.25">
      <c r="A1" s="8" t="str">
        <f>[1]Proyectos!$E$2</f>
        <v>Agosto</v>
      </c>
      <c r="B1" s="8">
        <f>[1]Proyectos!$H$2</f>
        <v>2017</v>
      </c>
      <c r="E1" s="3" t="s">
        <v>8</v>
      </c>
      <c r="F1" s="3" t="s">
        <v>3</v>
      </c>
      <c r="G1" s="7" t="s">
        <v>68</v>
      </c>
      <c r="H1" s="7" t="s">
        <v>69</v>
      </c>
    </row>
    <row r="2" spans="1:8" x14ac:dyDescent="0.25">
      <c r="A2" s="8" t="str">
        <f>[1]Proyectos!$E$4</f>
        <v>Julio</v>
      </c>
      <c r="B2" s="8">
        <f>[1]Proyectos!$H$4</f>
        <v>2017</v>
      </c>
      <c r="D2" s="3" t="str">
        <f>Maestro!D2</f>
        <v>101</v>
      </c>
      <c r="E2" s="3" t="str">
        <f>Maestro!C2</f>
        <v>1</v>
      </c>
      <c r="F2" s="3" t="str">
        <f>Maestro!L2</f>
        <v>GUSTAVO ALONSO RIOS JIMENEZ</v>
      </c>
      <c r="G2" t="str">
        <f t="shared" ref="G2:G65" si="0">CONCATENATE($G$1,$A$6,$A$15,$A$3,$A$1,$A$4,$B$1,$A$5,$A$7,E2,$A$6,D2, $A$6, F2,$A$8 )</f>
        <v>Urbanización Alborada 1-4 PH - Factura del Mes de Agosto de 2017 1 - 101 - GUSTAVO ALONSO RIOS JIMENEZ.pdf</v>
      </c>
      <c r="H2" t="str">
        <f t="shared" ref="H2:H65" si="1">CONCATENATE($H$1,$A$10,$A$1,$A$4,$B$1,$A$10,G2)</f>
        <v>C:\Users\USUARIO\Macros\FACTURAS Y LISTADOS\1130 - Urbanización Alborada 1-4 PH\Agosto de 2017\Urbanización Alborada 1-4 PH - Factura del Mes de Agosto de 2017 1 - 101 - GUSTAVO ALONSO RIOS JIMENEZ.pdf</v>
      </c>
    </row>
    <row r="3" spans="1:8" x14ac:dyDescent="0.25">
      <c r="A3" t="s">
        <v>49</v>
      </c>
      <c r="D3" s="3" t="str">
        <f>Maestro!D3</f>
        <v>102</v>
      </c>
      <c r="E3" s="3" t="str">
        <f>Maestro!C3</f>
        <v>1</v>
      </c>
      <c r="F3" s="3" t="str">
        <f>Maestro!L3</f>
        <v>JAIRO ELIAS ORTIZ VALLEJO</v>
      </c>
      <c r="G3" t="str">
        <f t="shared" si="0"/>
        <v>Urbanización Alborada 1-4 PH - Factura del Mes de Agosto de 2017 1 - 102 - JAIRO ELIAS ORTIZ VALLEJO.pdf</v>
      </c>
      <c r="H3" t="str">
        <f t="shared" si="1"/>
        <v>C:\Users\USUARIO\Macros\FACTURAS Y LISTADOS\1130 - Urbanización Alborada 1-4 PH\Agosto de 2017\Urbanización Alborada 1-4 PH - Factura del Mes de Agosto de 2017 1 - 102 - JAIRO ELIAS ORTIZ VALLEJO.pdf</v>
      </c>
    </row>
    <row r="4" spans="1:8" x14ac:dyDescent="0.25">
      <c r="A4" t="s">
        <v>45</v>
      </c>
      <c r="D4" s="3" t="str">
        <f>Maestro!D4</f>
        <v>103</v>
      </c>
      <c r="E4" s="3" t="str">
        <f>Maestro!C4</f>
        <v>1</v>
      </c>
      <c r="F4" s="3" t="str">
        <f>Maestro!L4</f>
        <v>HERNAN DARIO AGUDELO MUÑOZ</v>
      </c>
      <c r="G4" t="str">
        <f t="shared" si="0"/>
        <v>Urbanización Alborada 1-4 PH - Factura del Mes de Agosto de 2017 1 - 103 - HERNAN DARIO AGUDELO MUÑOZ.pdf</v>
      </c>
      <c r="H4" t="str">
        <f t="shared" si="1"/>
        <v>C:\Users\USUARIO\Macros\FACTURAS Y LISTADOS\1130 - Urbanización Alborada 1-4 PH\Agosto de 2017\Urbanización Alborada 1-4 PH - Factura del Mes de Agosto de 2017 1 - 103 - HERNAN DARIO AGUDELO MUÑOZ.pdf</v>
      </c>
    </row>
    <row r="5" spans="1:8" x14ac:dyDescent="0.25">
      <c r="A5" t="s">
        <v>44</v>
      </c>
      <c r="D5" s="3" t="str">
        <f>Maestro!D5</f>
        <v>104</v>
      </c>
      <c r="E5" s="3" t="str">
        <f>Maestro!C5</f>
        <v>1</v>
      </c>
      <c r="F5" s="3" t="str">
        <f>Maestro!L5</f>
        <v>JORGE HUMBERTO SANTANA RUEDA</v>
      </c>
      <c r="G5" t="str">
        <f t="shared" si="0"/>
        <v>Urbanización Alborada 1-4 PH - Factura del Mes de Agosto de 2017 1 - 104 - JORGE HUMBERTO SANTANA RUEDA.pdf</v>
      </c>
      <c r="H5" t="str">
        <f t="shared" si="1"/>
        <v>C:\Users\USUARIO\Macros\FACTURAS Y LISTADOS\1130 - Urbanización Alborada 1-4 PH\Agosto de 2017\Urbanización Alborada 1-4 PH - Factura del Mes de Agosto de 2017 1 - 104 - JORGE HUMBERTO SANTANA RUEDA.pdf</v>
      </c>
    </row>
    <row r="6" spans="1:8" x14ac:dyDescent="0.25">
      <c r="A6" t="s">
        <v>4</v>
      </c>
      <c r="D6" s="3" t="str">
        <f>Maestro!D6</f>
        <v>201</v>
      </c>
      <c r="E6" s="3" t="str">
        <f>Maestro!C6</f>
        <v>1</v>
      </c>
      <c r="F6" s="3" t="str">
        <f>Maestro!L6</f>
        <v>MARTHA QUINTERO GIRALDO</v>
      </c>
      <c r="G6" t="str">
        <f t="shared" si="0"/>
        <v>Urbanización Alborada 1-4 PH - Factura del Mes de Agosto de 2017 1 - 201 - MARTHA QUINTERO GIRALDO.pdf</v>
      </c>
      <c r="H6" t="str">
        <f t="shared" si="1"/>
        <v>C:\Users\USUARIO\Macros\FACTURAS Y LISTADOS\1130 - Urbanización Alborada 1-4 PH\Agosto de 2017\Urbanización Alborada 1-4 PH - Factura del Mes de Agosto de 2017 1 - 201 - MARTHA QUINTERO GIRALDO.pdf</v>
      </c>
    </row>
    <row r="7" spans="1:8" x14ac:dyDescent="0.25">
      <c r="A7" s="3"/>
      <c r="D7" s="3" t="str">
        <f>Maestro!D7</f>
        <v>202</v>
      </c>
      <c r="E7" s="3" t="str">
        <f>Maestro!C7</f>
        <v>1</v>
      </c>
      <c r="F7" s="3" t="str">
        <f>Maestro!L7</f>
        <v>VICTORIA EUGENIA PEREZ PEREZ</v>
      </c>
      <c r="G7" t="str">
        <f t="shared" si="0"/>
        <v>Urbanización Alborada 1-4 PH - Factura del Mes de Agosto de 2017 1 - 202 - VICTORIA EUGENIA PEREZ PEREZ.pdf</v>
      </c>
      <c r="H7" t="str">
        <f t="shared" si="1"/>
        <v>C:\Users\USUARIO\Macros\FACTURAS Y LISTADOS\1130 - Urbanización Alborada 1-4 PH\Agosto de 2017\Urbanización Alborada 1-4 PH - Factura del Mes de Agosto de 2017 1 - 202 - VICTORIA EUGENIA PEREZ PEREZ.pdf</v>
      </c>
    </row>
    <row r="8" spans="1:8" x14ac:dyDescent="0.25">
      <c r="A8" s="3" t="s">
        <v>5</v>
      </c>
      <c r="D8" s="3" t="str">
        <f>Maestro!D8</f>
        <v>203</v>
      </c>
      <c r="E8" s="3" t="str">
        <f>Maestro!C8</f>
        <v>1</v>
      </c>
      <c r="F8" s="3" t="str">
        <f>Maestro!L8</f>
        <v>MARGARITA ROSA VELEZ GOMEZ</v>
      </c>
      <c r="G8" t="str">
        <f t="shared" si="0"/>
        <v>Urbanización Alborada 1-4 PH - Factura del Mes de Agosto de 2017 1 - 203 - MARGARITA ROSA VELEZ GOMEZ.pdf</v>
      </c>
      <c r="H8" t="str">
        <f t="shared" si="1"/>
        <v>C:\Users\USUARIO\Macros\FACTURAS Y LISTADOS\1130 - Urbanización Alborada 1-4 PH\Agosto de 2017\Urbanización Alborada 1-4 PH - Factura del Mes de Agosto de 2017 1 - 203 - MARGARITA ROSA VELEZ GOMEZ.pdf</v>
      </c>
    </row>
    <row r="9" spans="1:8" x14ac:dyDescent="0.25">
      <c r="A9" t="s">
        <v>54</v>
      </c>
      <c r="D9" s="3" t="str">
        <f>Maestro!D9</f>
        <v>204</v>
      </c>
      <c r="E9" s="3" t="str">
        <f>Maestro!C9</f>
        <v>1</v>
      </c>
      <c r="F9" s="3" t="str">
        <f>Maestro!L9</f>
        <v>MARIA ELENA HOYOS TOBON</v>
      </c>
      <c r="G9" t="str">
        <f t="shared" si="0"/>
        <v>Urbanización Alborada 1-4 PH - Factura del Mes de Agosto de 2017 1 - 204 - MARIA ELENA HOYOS TOBON.pdf</v>
      </c>
      <c r="H9" t="str">
        <f t="shared" si="1"/>
        <v>C:\Users\USUARIO\Macros\FACTURAS Y LISTADOS\1130 - Urbanización Alborada 1-4 PH\Agosto de 2017\Urbanización Alborada 1-4 PH - Factura del Mes de Agosto de 2017 1 - 204 - MARIA ELENA HOYOS TOBON.pdf</v>
      </c>
    </row>
    <row r="10" spans="1:8" x14ac:dyDescent="0.25">
      <c r="A10" t="s">
        <v>48</v>
      </c>
      <c r="D10" s="3" t="str">
        <f>Maestro!D10</f>
        <v>301</v>
      </c>
      <c r="E10" s="3" t="str">
        <f>Maestro!C10</f>
        <v>1</v>
      </c>
      <c r="F10" s="3" t="str">
        <f>Maestro!L10</f>
        <v>MARTA NELLY CADAVID RESTREPO</v>
      </c>
      <c r="G10" t="str">
        <f t="shared" si="0"/>
        <v>Urbanización Alborada 1-4 PH - Factura del Mes de Agosto de 2017 1 - 301 - MARTA NELLY CADAVID RESTREPO.pdf</v>
      </c>
      <c r="H10" t="str">
        <f t="shared" si="1"/>
        <v>C:\Users\USUARIO\Macros\FACTURAS Y LISTADOS\1130 - Urbanización Alborada 1-4 PH\Agosto de 2017\Urbanización Alborada 1-4 PH - Factura del Mes de Agosto de 2017 1 - 301 - MARTA NELLY CADAVID RESTREPO.pdf</v>
      </c>
    </row>
    <row r="11" spans="1:8" x14ac:dyDescent="0.25">
      <c r="A11" t="s">
        <v>50</v>
      </c>
      <c r="D11" s="3" t="str">
        <f>Maestro!D11</f>
        <v>302</v>
      </c>
      <c r="E11" s="3" t="str">
        <f>Maestro!C11</f>
        <v>1</v>
      </c>
      <c r="F11" s="3" t="str">
        <f>Maestro!L11</f>
        <v>ELKIN RAMIREZ</v>
      </c>
      <c r="G11" t="str">
        <f t="shared" si="0"/>
        <v>Urbanización Alborada 1-4 PH - Factura del Mes de Agosto de 2017 1 - 302 - ELKIN RAMIREZ.pdf</v>
      </c>
      <c r="H11" t="str">
        <f t="shared" si="1"/>
        <v>C:\Users\USUARIO\Macros\FACTURAS Y LISTADOS\1130 - Urbanización Alborada 1-4 PH\Agosto de 2017\Urbanización Alborada 1-4 PH - Factura del Mes de Agosto de 2017 1 - 302 - ELKIN RAMIREZ.pdf</v>
      </c>
    </row>
    <row r="12" spans="1:8" x14ac:dyDescent="0.25">
      <c r="A12" t="s">
        <v>51</v>
      </c>
      <c r="D12" s="3" t="str">
        <f>Maestro!D12</f>
        <v>303</v>
      </c>
      <c r="E12" s="3" t="str">
        <f>Maestro!C12</f>
        <v>1</v>
      </c>
      <c r="F12" s="3" t="str">
        <f>Maestro!L12</f>
        <v>Marta Elena Gomez Hernandez</v>
      </c>
      <c r="G12" t="str">
        <f t="shared" si="0"/>
        <v>Urbanización Alborada 1-4 PH - Factura del Mes de Agosto de 2017 1 - 303 - Marta Elena Gomez Hernandez.pdf</v>
      </c>
      <c r="H12" t="str">
        <f t="shared" si="1"/>
        <v>C:\Users\USUARIO\Macros\FACTURAS Y LISTADOS\1130 - Urbanización Alborada 1-4 PH\Agosto de 2017\Urbanización Alborada 1-4 PH - Factura del Mes de Agosto de 2017 1 - 303 - Marta Elena Gomez Hernandez.pdf</v>
      </c>
    </row>
    <row r="13" spans="1:8" x14ac:dyDescent="0.25">
      <c r="A13" t="s">
        <v>52</v>
      </c>
      <c r="D13" s="3" t="str">
        <f>Maestro!D13</f>
        <v>304</v>
      </c>
      <c r="E13" s="3" t="str">
        <f>Maestro!C13</f>
        <v>1</v>
      </c>
      <c r="F13" s="3" t="str">
        <f>Maestro!L13</f>
        <v>MARTHA LIGIA MESA GOMEZ</v>
      </c>
      <c r="G13" t="str">
        <f t="shared" si="0"/>
        <v>Urbanización Alborada 1-4 PH - Factura del Mes de Agosto de 2017 1 - 304 - MARTHA LIGIA MESA GOMEZ.pdf</v>
      </c>
      <c r="H13" t="str">
        <f t="shared" si="1"/>
        <v>C:\Users\USUARIO\Macros\FACTURAS Y LISTADOS\1130 - Urbanización Alborada 1-4 PH\Agosto de 2017\Urbanización Alborada 1-4 PH - Factura del Mes de Agosto de 2017 1 - 304 - MARTHA LIGIA MESA GOMEZ.pdf</v>
      </c>
    </row>
    <row r="14" spans="1:8" x14ac:dyDescent="0.25">
      <c r="A14" t="s">
        <v>53</v>
      </c>
      <c r="D14" s="3" t="str">
        <f>Maestro!D14</f>
        <v>401</v>
      </c>
      <c r="E14" s="3" t="str">
        <f>Maestro!C14</f>
        <v>1</v>
      </c>
      <c r="F14" s="3" t="str">
        <f>Maestro!L14</f>
        <v>CARLOS ANDRES LOPEZ VASQUEZ</v>
      </c>
      <c r="G14" t="str">
        <f t="shared" si="0"/>
        <v>Urbanización Alborada 1-4 PH - Factura del Mes de Agosto de 2017 1 - 401 - CARLOS ANDRES LOPEZ VASQUEZ.pdf</v>
      </c>
      <c r="H14" t="str">
        <f t="shared" si="1"/>
        <v>C:\Users\USUARIO\Macros\FACTURAS Y LISTADOS\1130 - Urbanización Alborada 1-4 PH\Agosto de 2017\Urbanización Alborada 1-4 PH - Factura del Mes de Agosto de 2017 1 - 401 - CARLOS ANDRES LOPEZ VASQUEZ.pdf</v>
      </c>
    </row>
    <row r="15" spans="1:8" x14ac:dyDescent="0.25">
      <c r="A15" t="s">
        <v>60</v>
      </c>
      <c r="D15" s="3" t="str">
        <f>Maestro!D15</f>
        <v>402</v>
      </c>
      <c r="E15" s="3" t="str">
        <f>Maestro!C15</f>
        <v>1</v>
      </c>
      <c r="F15" s="3" t="str">
        <f>Maestro!L15</f>
        <v>LUZ MARINA BETANCUR ARANGO</v>
      </c>
      <c r="G15" t="str">
        <f t="shared" si="0"/>
        <v>Urbanización Alborada 1-4 PH - Factura del Mes de Agosto de 2017 1 - 402 - LUZ MARINA BETANCUR ARANGO.pdf</v>
      </c>
      <c r="H15" t="str">
        <f t="shared" si="1"/>
        <v>C:\Users\USUARIO\Macros\FACTURAS Y LISTADOS\1130 - Urbanización Alborada 1-4 PH\Agosto de 2017\Urbanización Alborada 1-4 PH - Factura del Mes de Agosto de 2017 1 - 402 - LUZ MARINA BETANCUR ARANGO.pdf</v>
      </c>
    </row>
    <row r="16" spans="1:8" x14ac:dyDescent="0.25">
      <c r="A16" t="s">
        <v>65</v>
      </c>
      <c r="D16" s="3" t="str">
        <f>Maestro!D16</f>
        <v>403</v>
      </c>
      <c r="E16" s="3" t="str">
        <f>Maestro!C16</f>
        <v>1</v>
      </c>
      <c r="F16" s="3" t="str">
        <f>Maestro!L16</f>
        <v>GLORIA NANCY VERGARA</v>
      </c>
      <c r="G16" t="str">
        <f t="shared" si="0"/>
        <v>Urbanización Alborada 1-4 PH - Factura del Mes de Agosto de 2017 1 - 403 - GLORIA NANCY VERGARA.pdf</v>
      </c>
      <c r="H16" t="str">
        <f t="shared" si="1"/>
        <v>C:\Users\USUARIO\Macros\FACTURAS Y LISTADOS\1130 - Urbanización Alborada 1-4 PH\Agosto de 2017\Urbanización Alborada 1-4 PH - Factura del Mes de Agosto de 2017 1 - 403 - GLORIA NANCY VERGARA.pdf</v>
      </c>
    </row>
    <row r="17" spans="1:8" x14ac:dyDescent="0.25">
      <c r="A17" s="11" t="s">
        <v>67</v>
      </c>
      <c r="D17" s="3" t="str">
        <f>Maestro!D17</f>
        <v>404</v>
      </c>
      <c r="E17" s="3" t="str">
        <f>Maestro!C17</f>
        <v>1</v>
      </c>
      <c r="F17" s="3" t="str">
        <f>Maestro!L17</f>
        <v>JORGE GOMEZ-LUISA PELAEZ</v>
      </c>
      <c r="G17" t="str">
        <f t="shared" si="0"/>
        <v>Urbanización Alborada 1-4 PH - Factura del Mes de Agosto de 2017 1 - 404 - JORGE GOMEZ-LUISA PELAEZ.pdf</v>
      </c>
      <c r="H17" t="str">
        <f t="shared" si="1"/>
        <v>C:\Users\USUARIO\Macros\FACTURAS Y LISTADOS\1130 - Urbanización Alborada 1-4 PH\Agosto de 2017\Urbanización Alborada 1-4 PH - Factura del Mes de Agosto de 2017 1 - 404 - JORGE GOMEZ-LUISA PELAEZ.pdf</v>
      </c>
    </row>
    <row r="18" spans="1:8" x14ac:dyDescent="0.25">
      <c r="A18" s="13" t="str">
        <f>Maestro!A2</f>
        <v>1130</v>
      </c>
      <c r="D18" s="3" t="str">
        <f>Maestro!D18</f>
        <v>501</v>
      </c>
      <c r="E18" s="3" t="str">
        <f>Maestro!C18</f>
        <v>1</v>
      </c>
      <c r="F18" s="3" t="str">
        <f>Maestro!L18</f>
        <v>REINA MARGARITA PEREZ PALACIO</v>
      </c>
      <c r="G18" t="str">
        <f t="shared" si="0"/>
        <v>Urbanización Alborada 1-4 PH - Factura del Mes de Agosto de 2017 1 - 501 - REINA MARGARITA PEREZ PALACIO.pdf</v>
      </c>
      <c r="H18" t="str">
        <f t="shared" si="1"/>
        <v>C:\Users\USUARIO\Macros\FACTURAS Y LISTADOS\1130 - Urbanización Alborada 1-4 PH\Agosto de 2017\Urbanización Alborada 1-4 PH - Factura del Mes de Agosto de 2017 1 - 501 - REINA MARGARITA PEREZ PALACIO.pdf</v>
      </c>
    </row>
    <row r="19" spans="1:8" x14ac:dyDescent="0.25">
      <c r="D19" s="3" t="str">
        <f>Maestro!D19</f>
        <v>502</v>
      </c>
      <c r="E19" s="3" t="str">
        <f>Maestro!C19</f>
        <v>1</v>
      </c>
      <c r="F19" s="3" t="str">
        <f>Maestro!L19</f>
        <v>LUZ MARINA BELEÑO CORDERO</v>
      </c>
      <c r="G19" t="str">
        <f t="shared" si="0"/>
        <v>Urbanización Alborada 1-4 PH - Factura del Mes de Agosto de 2017 1 - 502 - LUZ MARINA BELEÑO CORDERO.pdf</v>
      </c>
      <c r="H19" t="str">
        <f t="shared" si="1"/>
        <v>C:\Users\USUARIO\Macros\FACTURAS Y LISTADOS\1130 - Urbanización Alborada 1-4 PH\Agosto de 2017\Urbanización Alborada 1-4 PH - Factura del Mes de Agosto de 2017 1 - 502 - LUZ MARINA BELEÑO CORDERO.pdf</v>
      </c>
    </row>
    <row r="20" spans="1:8" x14ac:dyDescent="0.25">
      <c r="D20" s="3" t="str">
        <f>Maestro!D20</f>
        <v>503</v>
      </c>
      <c r="E20" s="3" t="str">
        <f>Maestro!C20</f>
        <v>1</v>
      </c>
      <c r="F20" s="3" t="str">
        <f>Maestro!L20</f>
        <v>DANIEL MUNERA</v>
      </c>
      <c r="G20" t="str">
        <f t="shared" si="0"/>
        <v>Urbanización Alborada 1-4 PH - Factura del Mes de Agosto de 2017 1 - 503 - DANIEL MUNERA.pdf</v>
      </c>
      <c r="H20" t="str">
        <f t="shared" si="1"/>
        <v>C:\Users\USUARIO\Macros\FACTURAS Y LISTADOS\1130 - Urbanización Alborada 1-4 PH\Agosto de 2017\Urbanización Alborada 1-4 PH - Factura del Mes de Agosto de 2017 1 - 503 - DANIEL MUNERA.pdf</v>
      </c>
    </row>
    <row r="21" spans="1:8" x14ac:dyDescent="0.25">
      <c r="D21" s="3" t="str">
        <f>Maestro!D21</f>
        <v>504</v>
      </c>
      <c r="E21" s="3" t="str">
        <f>Maestro!C21</f>
        <v>1</v>
      </c>
      <c r="F21" s="3" t="str">
        <f>Maestro!L21</f>
        <v>OSCAR DARIO GALLEGO BETANCUR</v>
      </c>
      <c r="G21" t="str">
        <f t="shared" si="0"/>
        <v>Urbanización Alborada 1-4 PH - Factura del Mes de Agosto de 2017 1 - 504 - OSCAR DARIO GALLEGO BETANCUR.pdf</v>
      </c>
      <c r="H21" t="str">
        <f t="shared" si="1"/>
        <v>C:\Users\USUARIO\Macros\FACTURAS Y LISTADOS\1130 - Urbanización Alborada 1-4 PH\Agosto de 2017\Urbanización Alborada 1-4 PH - Factura del Mes de Agosto de 2017 1 - 504 - OSCAR DARIO GALLEGO BETANCUR.pdf</v>
      </c>
    </row>
    <row r="22" spans="1:8" x14ac:dyDescent="0.25">
      <c r="D22" s="3" t="str">
        <f>Maestro!D22</f>
        <v>101</v>
      </c>
      <c r="E22" s="3" t="str">
        <f>Maestro!C22</f>
        <v>2</v>
      </c>
      <c r="F22" s="3" t="str">
        <f>Maestro!L22</f>
        <v>MARGARITA MARIA LONDOÑO RAMIRE</v>
      </c>
      <c r="G22" t="str">
        <f t="shared" si="0"/>
        <v>Urbanización Alborada 1-4 PH - Factura del Mes de Agosto de 2017 2 - 101 - MARGARITA MARIA LONDOÑO RAMIRE.pdf</v>
      </c>
      <c r="H22" t="str">
        <f t="shared" si="1"/>
        <v>C:\Users\USUARIO\Macros\FACTURAS Y LISTADOS\1130 - Urbanización Alborada 1-4 PH\Agosto de 2017\Urbanización Alborada 1-4 PH - Factura del Mes de Agosto de 2017 2 - 101 - MARGARITA MARIA LONDOÑO RAMIRE.pdf</v>
      </c>
    </row>
    <row r="23" spans="1:8" x14ac:dyDescent="0.25">
      <c r="D23" s="3" t="str">
        <f>Maestro!D23</f>
        <v>102</v>
      </c>
      <c r="E23" s="3" t="str">
        <f>Maestro!C23</f>
        <v>2</v>
      </c>
      <c r="F23" s="3" t="str">
        <f>Maestro!L23</f>
        <v>JAIRO ELIAS ORTIZ VALLEJO</v>
      </c>
      <c r="G23" t="str">
        <f t="shared" si="0"/>
        <v>Urbanización Alborada 1-4 PH - Factura del Mes de Agosto de 2017 2 - 102 - JAIRO ELIAS ORTIZ VALLEJO.pdf</v>
      </c>
      <c r="H23" t="str">
        <f t="shared" si="1"/>
        <v>C:\Users\USUARIO\Macros\FACTURAS Y LISTADOS\1130 - Urbanización Alborada 1-4 PH\Agosto de 2017\Urbanización Alborada 1-4 PH - Factura del Mes de Agosto de 2017 2 - 102 - JAIRO ELIAS ORTIZ VALLEJO.pdf</v>
      </c>
    </row>
    <row r="24" spans="1:8" x14ac:dyDescent="0.25">
      <c r="D24" s="3" t="str">
        <f>Maestro!D24</f>
        <v>201</v>
      </c>
      <c r="E24" s="3" t="str">
        <f>Maestro!C24</f>
        <v>2</v>
      </c>
      <c r="F24" s="3" t="str">
        <f>Maestro!L24</f>
        <v>ALICIA MARIA OTALVARO CASTRILL</v>
      </c>
      <c r="G24" t="str">
        <f t="shared" si="0"/>
        <v>Urbanización Alborada 1-4 PH - Factura del Mes de Agosto de 2017 2 - 201 - ALICIA MARIA OTALVARO CASTRILL.pdf</v>
      </c>
      <c r="H24" t="str">
        <f t="shared" si="1"/>
        <v>C:\Users\USUARIO\Macros\FACTURAS Y LISTADOS\1130 - Urbanización Alborada 1-4 PH\Agosto de 2017\Urbanización Alborada 1-4 PH - Factura del Mes de Agosto de 2017 2 - 201 - ALICIA MARIA OTALVARO CASTRILL.pdf</v>
      </c>
    </row>
    <row r="25" spans="1:8" x14ac:dyDescent="0.25">
      <c r="D25" s="3" t="str">
        <f>Maestro!D25</f>
        <v>202</v>
      </c>
      <c r="E25" s="3" t="str">
        <f>Maestro!C25</f>
        <v>2</v>
      </c>
      <c r="F25" s="3" t="str">
        <f>Maestro!L25</f>
        <v>JAEL CARO DE PATIÑO</v>
      </c>
      <c r="G25" t="str">
        <f t="shared" si="0"/>
        <v>Urbanización Alborada 1-4 PH - Factura del Mes de Agosto de 2017 2 - 202 - JAEL CARO DE PATIÑO.pdf</v>
      </c>
      <c r="H25" t="str">
        <f t="shared" si="1"/>
        <v>C:\Users\USUARIO\Macros\FACTURAS Y LISTADOS\1130 - Urbanización Alborada 1-4 PH\Agosto de 2017\Urbanización Alborada 1-4 PH - Factura del Mes de Agosto de 2017 2 - 202 - JAEL CARO DE PATIÑO.pdf</v>
      </c>
    </row>
    <row r="26" spans="1:8" x14ac:dyDescent="0.25">
      <c r="D26" s="3" t="str">
        <f>Maestro!D26</f>
        <v>301</v>
      </c>
      <c r="E26" s="3" t="str">
        <f>Maestro!C26</f>
        <v>2</v>
      </c>
      <c r="F26" s="3" t="str">
        <f>Maestro!L26</f>
        <v>AMPARO PEREZ ALVAREZ</v>
      </c>
      <c r="G26" t="str">
        <f t="shared" si="0"/>
        <v>Urbanización Alborada 1-4 PH - Factura del Mes de Agosto de 2017 2 - 301 - AMPARO PEREZ ALVAREZ.pdf</v>
      </c>
      <c r="H26" t="str">
        <f t="shared" si="1"/>
        <v>C:\Users\USUARIO\Macros\FACTURAS Y LISTADOS\1130 - Urbanización Alborada 1-4 PH\Agosto de 2017\Urbanización Alborada 1-4 PH - Factura del Mes de Agosto de 2017 2 - 301 - AMPARO PEREZ ALVAREZ.pdf</v>
      </c>
    </row>
    <row r="27" spans="1:8" x14ac:dyDescent="0.25">
      <c r="D27" s="3" t="str">
        <f>Maestro!D27</f>
        <v>302</v>
      </c>
      <c r="E27" s="3" t="str">
        <f>Maestro!C27</f>
        <v>2</v>
      </c>
      <c r="F27" s="3" t="str">
        <f>Maestro!L27</f>
        <v>WILLIAM FRANCO GONZALEZ</v>
      </c>
      <c r="G27" t="str">
        <f t="shared" si="0"/>
        <v>Urbanización Alborada 1-4 PH - Factura del Mes de Agosto de 2017 2 - 302 - WILLIAM FRANCO GONZALEZ.pdf</v>
      </c>
      <c r="H27" t="str">
        <f t="shared" si="1"/>
        <v>C:\Users\USUARIO\Macros\FACTURAS Y LISTADOS\1130 - Urbanización Alborada 1-4 PH\Agosto de 2017\Urbanización Alborada 1-4 PH - Factura del Mes de Agosto de 2017 2 - 302 - WILLIAM FRANCO GONZALEZ.pdf</v>
      </c>
    </row>
    <row r="28" spans="1:8" x14ac:dyDescent="0.25">
      <c r="D28" s="3" t="str">
        <f>Maestro!D28</f>
        <v>401</v>
      </c>
      <c r="E28" s="3" t="str">
        <f>Maestro!C28</f>
        <v>2</v>
      </c>
      <c r="F28" s="3" t="str">
        <f>Maestro!L28</f>
        <v>GUILLERMO PEREZ RESTREPO</v>
      </c>
      <c r="G28" t="str">
        <f t="shared" si="0"/>
        <v>Urbanización Alborada 1-4 PH - Factura del Mes de Agosto de 2017 2 - 401 - GUILLERMO PEREZ RESTREPO.pdf</v>
      </c>
      <c r="H28" t="str">
        <f t="shared" si="1"/>
        <v>C:\Users\USUARIO\Macros\FACTURAS Y LISTADOS\1130 - Urbanización Alborada 1-4 PH\Agosto de 2017\Urbanización Alborada 1-4 PH - Factura del Mes de Agosto de 2017 2 - 401 - GUILLERMO PEREZ RESTREPO.pdf</v>
      </c>
    </row>
    <row r="29" spans="1:8" x14ac:dyDescent="0.25">
      <c r="D29" s="3" t="str">
        <f>Maestro!D29</f>
        <v>402</v>
      </c>
      <c r="E29" s="3" t="str">
        <f>Maestro!C29</f>
        <v>2</v>
      </c>
      <c r="F29" s="3" t="str">
        <f>Maestro!L29</f>
        <v>PABLO ALEJANDRO LONDOÑO L</v>
      </c>
      <c r="G29" t="str">
        <f t="shared" si="0"/>
        <v>Urbanización Alborada 1-4 PH - Factura del Mes de Agosto de 2017 2 - 402 - PABLO ALEJANDRO LONDOÑO L.pdf</v>
      </c>
      <c r="H29" t="str">
        <f t="shared" si="1"/>
        <v>C:\Users\USUARIO\Macros\FACTURAS Y LISTADOS\1130 - Urbanización Alborada 1-4 PH\Agosto de 2017\Urbanización Alborada 1-4 PH - Factura del Mes de Agosto de 2017 2 - 402 - PABLO ALEJANDRO LONDOÑO L.pdf</v>
      </c>
    </row>
    <row r="30" spans="1:8" x14ac:dyDescent="0.25">
      <c r="D30" s="3" t="str">
        <f>Maestro!D30</f>
        <v>501</v>
      </c>
      <c r="E30" s="3" t="str">
        <f>Maestro!C30</f>
        <v>2</v>
      </c>
      <c r="F30" s="3" t="str">
        <f>Maestro!L30</f>
        <v>BEATRIZ ELENA CARDONA</v>
      </c>
      <c r="G30" t="str">
        <f t="shared" si="0"/>
        <v>Urbanización Alborada 1-4 PH - Factura del Mes de Agosto de 2017 2 - 501 - BEATRIZ ELENA CARDONA.pdf</v>
      </c>
      <c r="H30" t="str">
        <f t="shared" si="1"/>
        <v>C:\Users\USUARIO\Macros\FACTURAS Y LISTADOS\1130 - Urbanización Alborada 1-4 PH\Agosto de 2017\Urbanización Alborada 1-4 PH - Factura del Mes de Agosto de 2017 2 - 501 - BEATRIZ ELENA CARDONA.pdf</v>
      </c>
    </row>
    <row r="31" spans="1:8" x14ac:dyDescent="0.25">
      <c r="D31" s="3" t="str">
        <f>Maestro!D31</f>
        <v>502</v>
      </c>
      <c r="E31" s="3" t="str">
        <f>Maestro!C31</f>
        <v>2</v>
      </c>
      <c r="F31" s="3" t="str">
        <f>Maestro!L31</f>
        <v>ROCIO MUÑOZ BETANCUR</v>
      </c>
      <c r="G31" t="str">
        <f t="shared" si="0"/>
        <v>Urbanización Alborada 1-4 PH - Factura del Mes de Agosto de 2017 2 - 502 - ROCIO MUÑOZ BETANCUR.pdf</v>
      </c>
      <c r="H31" t="str">
        <f t="shared" si="1"/>
        <v>C:\Users\USUARIO\Macros\FACTURAS Y LISTADOS\1130 - Urbanización Alborada 1-4 PH\Agosto de 2017\Urbanización Alborada 1-4 PH - Factura del Mes de Agosto de 2017 2 - 502 - ROCIO MUÑOZ BETANCUR.pdf</v>
      </c>
    </row>
    <row r="32" spans="1:8" x14ac:dyDescent="0.25">
      <c r="D32" s="3" t="str">
        <f>Maestro!D32</f>
        <v>101</v>
      </c>
      <c r="E32" s="3" t="str">
        <f>Maestro!C32</f>
        <v>3</v>
      </c>
      <c r="F32" s="3" t="str">
        <f>Maestro!L32</f>
        <v>RODOLFO VELEZ</v>
      </c>
      <c r="G32" t="str">
        <f t="shared" si="0"/>
        <v>Urbanización Alborada 1-4 PH - Factura del Mes de Agosto de 2017 3 - 101 - RODOLFO VELEZ.pdf</v>
      </c>
      <c r="H32" t="str">
        <f t="shared" si="1"/>
        <v>C:\Users\USUARIO\Macros\FACTURAS Y LISTADOS\1130 - Urbanización Alborada 1-4 PH\Agosto de 2017\Urbanización Alborada 1-4 PH - Factura del Mes de Agosto de 2017 3 - 101 - RODOLFO VELEZ.pdf</v>
      </c>
    </row>
    <row r="33" spans="4:8" x14ac:dyDescent="0.25">
      <c r="D33" s="3" t="str">
        <f>Maestro!D33</f>
        <v>102</v>
      </c>
      <c r="E33" s="3" t="str">
        <f>Maestro!C33</f>
        <v>3</v>
      </c>
      <c r="F33" s="3" t="str">
        <f>Maestro!L33</f>
        <v>CLARA INES ZULUAGA GARCIA</v>
      </c>
      <c r="G33" t="str">
        <f t="shared" si="0"/>
        <v>Urbanización Alborada 1-4 PH - Factura del Mes de Agosto de 2017 3 - 102 - CLARA INES ZULUAGA GARCIA.pdf</v>
      </c>
      <c r="H33" t="str">
        <f t="shared" si="1"/>
        <v>C:\Users\USUARIO\Macros\FACTURAS Y LISTADOS\1130 - Urbanización Alborada 1-4 PH\Agosto de 2017\Urbanización Alborada 1-4 PH - Factura del Mes de Agosto de 2017 3 - 102 - CLARA INES ZULUAGA GARCIA.pdf</v>
      </c>
    </row>
    <row r="34" spans="4:8" x14ac:dyDescent="0.25">
      <c r="D34" s="3" t="str">
        <f>Maestro!D34</f>
        <v>103</v>
      </c>
      <c r="E34" s="3" t="str">
        <f>Maestro!C34</f>
        <v>3</v>
      </c>
      <c r="F34" s="3" t="str">
        <f>Maestro!L34</f>
        <v>LUCIA DEL SOCORRO RUIZ SALAS</v>
      </c>
      <c r="G34" t="str">
        <f t="shared" si="0"/>
        <v>Urbanización Alborada 1-4 PH - Factura del Mes de Agosto de 2017 3 - 103 - LUCIA DEL SOCORRO RUIZ SALAS.pdf</v>
      </c>
      <c r="H34" t="str">
        <f t="shared" si="1"/>
        <v>C:\Users\USUARIO\Macros\FACTURAS Y LISTADOS\1130 - Urbanización Alborada 1-4 PH\Agosto de 2017\Urbanización Alborada 1-4 PH - Factura del Mes de Agosto de 2017 3 - 103 - LUCIA DEL SOCORRO RUIZ SALAS.pdf</v>
      </c>
    </row>
    <row r="35" spans="4:8" x14ac:dyDescent="0.25">
      <c r="D35" s="3" t="str">
        <f>Maestro!D35</f>
        <v>104</v>
      </c>
      <c r="E35" s="3" t="str">
        <f>Maestro!C35</f>
        <v>3</v>
      </c>
      <c r="F35" s="3" t="str">
        <f>Maestro!L35</f>
        <v>LEON DARIO BEDOYA VILLEGAS</v>
      </c>
      <c r="G35" t="str">
        <f t="shared" si="0"/>
        <v>Urbanización Alborada 1-4 PH - Factura del Mes de Agosto de 2017 3 - 104 - LEON DARIO BEDOYA VILLEGAS.pdf</v>
      </c>
      <c r="H35" t="str">
        <f t="shared" si="1"/>
        <v>C:\Users\USUARIO\Macros\FACTURAS Y LISTADOS\1130 - Urbanización Alborada 1-4 PH\Agosto de 2017\Urbanización Alborada 1-4 PH - Factura del Mes de Agosto de 2017 3 - 104 - LEON DARIO BEDOYA VILLEGAS.pdf</v>
      </c>
    </row>
    <row r="36" spans="4:8" x14ac:dyDescent="0.25">
      <c r="D36" s="3" t="str">
        <f>Maestro!D36</f>
        <v>201</v>
      </c>
      <c r="E36" s="3" t="str">
        <f>Maestro!C36</f>
        <v>3</v>
      </c>
      <c r="F36" s="3" t="str">
        <f>Maestro!L36</f>
        <v>Javier Restrepo Uribe</v>
      </c>
      <c r="G36" t="str">
        <f t="shared" si="0"/>
        <v>Urbanización Alborada 1-4 PH - Factura del Mes de Agosto de 2017 3 - 201 - Javier Restrepo Uribe.pdf</v>
      </c>
      <c r="H36" t="str">
        <f t="shared" si="1"/>
        <v>C:\Users\USUARIO\Macros\FACTURAS Y LISTADOS\1130 - Urbanización Alborada 1-4 PH\Agosto de 2017\Urbanización Alborada 1-4 PH - Factura del Mes de Agosto de 2017 3 - 201 - Javier Restrepo Uribe.pdf</v>
      </c>
    </row>
    <row r="37" spans="4:8" x14ac:dyDescent="0.25">
      <c r="D37" s="3" t="str">
        <f>Maestro!D37</f>
        <v>202</v>
      </c>
      <c r="E37" s="3" t="str">
        <f>Maestro!C37</f>
        <v>3</v>
      </c>
      <c r="F37" s="3" t="str">
        <f>Maestro!L37</f>
        <v>ANGELA MARIA OCAMPO SARMIENTO</v>
      </c>
      <c r="G37" t="str">
        <f t="shared" si="0"/>
        <v>Urbanización Alborada 1-4 PH - Factura del Mes de Agosto de 2017 3 - 202 - ANGELA MARIA OCAMPO SARMIENTO.pdf</v>
      </c>
      <c r="H37" t="str">
        <f t="shared" si="1"/>
        <v>C:\Users\USUARIO\Macros\FACTURAS Y LISTADOS\1130 - Urbanización Alborada 1-4 PH\Agosto de 2017\Urbanización Alborada 1-4 PH - Factura del Mes de Agosto de 2017 3 - 202 - ANGELA MARIA OCAMPO SARMIENTO.pdf</v>
      </c>
    </row>
    <row r="38" spans="4:8" x14ac:dyDescent="0.25">
      <c r="D38" s="3" t="str">
        <f>Maestro!D38</f>
        <v>203</v>
      </c>
      <c r="E38" s="3" t="str">
        <f>Maestro!C38</f>
        <v>3</v>
      </c>
      <c r="F38" s="3" t="str">
        <f>Maestro!L38</f>
        <v>LUZ ESTELLA OSPINA ECHAVARRIA</v>
      </c>
      <c r="G38" t="str">
        <f t="shared" si="0"/>
        <v>Urbanización Alborada 1-4 PH - Factura del Mes de Agosto de 2017 3 - 203 - LUZ ESTELLA OSPINA ECHAVARRIA.pdf</v>
      </c>
      <c r="H38" t="str">
        <f t="shared" si="1"/>
        <v>C:\Users\USUARIO\Macros\FACTURAS Y LISTADOS\1130 - Urbanización Alborada 1-4 PH\Agosto de 2017\Urbanización Alborada 1-4 PH - Factura del Mes de Agosto de 2017 3 - 203 - LUZ ESTELLA OSPINA ECHAVARRIA.pdf</v>
      </c>
    </row>
    <row r="39" spans="4:8" x14ac:dyDescent="0.25">
      <c r="D39" s="3" t="str">
        <f>Maestro!D39</f>
        <v>204</v>
      </c>
      <c r="E39" s="3" t="str">
        <f>Maestro!C39</f>
        <v>3</v>
      </c>
      <c r="F39" s="3" t="str">
        <f>Maestro!L39</f>
        <v>BERNARDO GOMEZ HENAO</v>
      </c>
      <c r="G39" t="str">
        <f t="shared" si="0"/>
        <v>Urbanización Alborada 1-4 PH - Factura del Mes de Agosto de 2017 3 - 204 - BERNARDO GOMEZ HENAO.pdf</v>
      </c>
      <c r="H39" t="str">
        <f t="shared" si="1"/>
        <v>C:\Users\USUARIO\Macros\FACTURAS Y LISTADOS\1130 - Urbanización Alborada 1-4 PH\Agosto de 2017\Urbanización Alborada 1-4 PH - Factura del Mes de Agosto de 2017 3 - 204 - BERNARDO GOMEZ HENAO.pdf</v>
      </c>
    </row>
    <row r="40" spans="4:8" x14ac:dyDescent="0.25">
      <c r="D40" s="3" t="str">
        <f>Maestro!D40</f>
        <v>301</v>
      </c>
      <c r="E40" s="3" t="str">
        <f>Maestro!C40</f>
        <v>3</v>
      </c>
      <c r="F40" s="3" t="str">
        <f>Maestro!L40</f>
        <v>ALBA JANNETH GONZALEZ</v>
      </c>
      <c r="G40" t="str">
        <f t="shared" si="0"/>
        <v>Urbanización Alborada 1-4 PH - Factura del Mes de Agosto de 2017 3 - 301 - ALBA JANNETH GONZALEZ.pdf</v>
      </c>
      <c r="H40" t="str">
        <f t="shared" si="1"/>
        <v>C:\Users\USUARIO\Macros\FACTURAS Y LISTADOS\1130 - Urbanización Alborada 1-4 PH\Agosto de 2017\Urbanización Alborada 1-4 PH - Factura del Mes de Agosto de 2017 3 - 301 - ALBA JANNETH GONZALEZ.pdf</v>
      </c>
    </row>
    <row r="41" spans="4:8" x14ac:dyDescent="0.25">
      <c r="D41" s="3" t="str">
        <f>Maestro!D41</f>
        <v>302</v>
      </c>
      <c r="E41" s="3" t="str">
        <f>Maestro!C41</f>
        <v>3</v>
      </c>
      <c r="F41" s="3" t="str">
        <f>Maestro!L41</f>
        <v>MARIA DORALBA AGUIRRE</v>
      </c>
      <c r="G41" t="str">
        <f t="shared" si="0"/>
        <v>Urbanización Alborada 1-4 PH - Factura del Mes de Agosto de 2017 3 - 302 - MARIA DORALBA AGUIRRE.pdf</v>
      </c>
      <c r="H41" t="str">
        <f t="shared" si="1"/>
        <v>C:\Users\USUARIO\Macros\FACTURAS Y LISTADOS\1130 - Urbanización Alborada 1-4 PH\Agosto de 2017\Urbanización Alborada 1-4 PH - Factura del Mes de Agosto de 2017 3 - 302 - MARIA DORALBA AGUIRRE.pdf</v>
      </c>
    </row>
    <row r="42" spans="4:8" x14ac:dyDescent="0.25">
      <c r="D42" s="3" t="str">
        <f>Maestro!D42</f>
        <v>303</v>
      </c>
      <c r="E42" s="3" t="str">
        <f>Maestro!C42</f>
        <v>3</v>
      </c>
      <c r="F42" s="3" t="str">
        <f>Maestro!L42</f>
        <v>DIANA PATRICIA ORREGO ZAPATA</v>
      </c>
      <c r="G42" t="str">
        <f t="shared" si="0"/>
        <v>Urbanización Alborada 1-4 PH - Factura del Mes de Agosto de 2017 3 - 303 - DIANA PATRICIA ORREGO ZAPATA.pdf</v>
      </c>
      <c r="H42" t="str">
        <f t="shared" si="1"/>
        <v>C:\Users\USUARIO\Macros\FACTURAS Y LISTADOS\1130 - Urbanización Alborada 1-4 PH\Agosto de 2017\Urbanización Alborada 1-4 PH - Factura del Mes de Agosto de 2017 3 - 303 - DIANA PATRICIA ORREGO ZAPATA.pdf</v>
      </c>
    </row>
    <row r="43" spans="4:8" x14ac:dyDescent="0.25">
      <c r="D43" s="3" t="str">
        <f>Maestro!D43</f>
        <v>304</v>
      </c>
      <c r="E43" s="3" t="str">
        <f>Maestro!C43</f>
        <v>3</v>
      </c>
      <c r="F43" s="3" t="str">
        <f>Maestro!L43</f>
        <v>FERNANDO ALBERTO MARIN MOLINA</v>
      </c>
      <c r="G43" t="str">
        <f t="shared" si="0"/>
        <v>Urbanización Alborada 1-4 PH - Factura del Mes de Agosto de 2017 3 - 304 - FERNANDO ALBERTO MARIN MOLINA.pdf</v>
      </c>
      <c r="H43" t="str">
        <f t="shared" si="1"/>
        <v>C:\Users\USUARIO\Macros\FACTURAS Y LISTADOS\1130 - Urbanización Alborada 1-4 PH\Agosto de 2017\Urbanización Alborada 1-4 PH - Factura del Mes de Agosto de 2017 3 - 304 - FERNANDO ALBERTO MARIN MOLINA.pdf</v>
      </c>
    </row>
    <row r="44" spans="4:8" x14ac:dyDescent="0.25">
      <c r="D44" s="3" t="str">
        <f>Maestro!D44</f>
        <v>401</v>
      </c>
      <c r="E44" s="3" t="str">
        <f>Maestro!C44</f>
        <v>3</v>
      </c>
      <c r="F44" s="3" t="str">
        <f>Maestro!L44</f>
        <v>ALVARO PORRAS</v>
      </c>
      <c r="G44" t="str">
        <f t="shared" si="0"/>
        <v>Urbanización Alborada 1-4 PH - Factura del Mes de Agosto de 2017 3 - 401 - ALVARO PORRAS.pdf</v>
      </c>
      <c r="H44" t="str">
        <f t="shared" si="1"/>
        <v>C:\Users\USUARIO\Macros\FACTURAS Y LISTADOS\1130 - Urbanización Alborada 1-4 PH\Agosto de 2017\Urbanización Alborada 1-4 PH - Factura del Mes de Agosto de 2017 3 - 401 - ALVARO PORRAS.pdf</v>
      </c>
    </row>
    <row r="45" spans="4:8" x14ac:dyDescent="0.25">
      <c r="D45" s="3" t="str">
        <f>Maestro!D45</f>
        <v>402</v>
      </c>
      <c r="E45" s="3" t="str">
        <f>Maestro!C45</f>
        <v>3</v>
      </c>
      <c r="F45" s="3" t="str">
        <f>Maestro!L45</f>
        <v>HECTOR IVAN HERRERA MUNERA</v>
      </c>
      <c r="G45" t="str">
        <f t="shared" si="0"/>
        <v>Urbanización Alborada 1-4 PH - Factura del Mes de Agosto de 2017 3 - 402 - HECTOR IVAN HERRERA MUNERA.pdf</v>
      </c>
      <c r="H45" t="str">
        <f t="shared" si="1"/>
        <v>C:\Users\USUARIO\Macros\FACTURAS Y LISTADOS\1130 - Urbanización Alborada 1-4 PH\Agosto de 2017\Urbanización Alborada 1-4 PH - Factura del Mes de Agosto de 2017 3 - 402 - HECTOR IVAN HERRERA MUNERA.pdf</v>
      </c>
    </row>
    <row r="46" spans="4:8" x14ac:dyDescent="0.25">
      <c r="D46" s="3" t="str">
        <f>Maestro!D46</f>
        <v>403</v>
      </c>
      <c r="E46" s="3" t="str">
        <f>Maestro!C46</f>
        <v>3</v>
      </c>
      <c r="F46" s="3" t="str">
        <f>Maestro!L46</f>
        <v>ARTURO MARTINEZ GUTIERREZ</v>
      </c>
      <c r="G46" t="str">
        <f t="shared" si="0"/>
        <v>Urbanización Alborada 1-4 PH - Factura del Mes de Agosto de 2017 3 - 403 - ARTURO MARTINEZ GUTIERREZ.pdf</v>
      </c>
      <c r="H46" t="str">
        <f t="shared" si="1"/>
        <v>C:\Users\USUARIO\Macros\FACTURAS Y LISTADOS\1130 - Urbanización Alborada 1-4 PH\Agosto de 2017\Urbanización Alborada 1-4 PH - Factura del Mes de Agosto de 2017 3 - 403 - ARTURO MARTINEZ GUTIERREZ.pdf</v>
      </c>
    </row>
    <row r="47" spans="4:8" x14ac:dyDescent="0.25">
      <c r="D47" s="3" t="str">
        <f>Maestro!D47</f>
        <v>404</v>
      </c>
      <c r="E47" s="3" t="str">
        <f>Maestro!C47</f>
        <v>3</v>
      </c>
      <c r="F47" s="3" t="str">
        <f>Maestro!L47</f>
        <v>FERNANDO PRADA</v>
      </c>
      <c r="G47" t="str">
        <f t="shared" si="0"/>
        <v>Urbanización Alborada 1-4 PH - Factura del Mes de Agosto de 2017 3 - 404 - FERNANDO PRADA.pdf</v>
      </c>
      <c r="H47" t="str">
        <f t="shared" si="1"/>
        <v>C:\Users\USUARIO\Macros\FACTURAS Y LISTADOS\1130 - Urbanización Alborada 1-4 PH\Agosto de 2017\Urbanización Alborada 1-4 PH - Factura del Mes de Agosto de 2017 3 - 404 - FERNANDO PRADA.pdf</v>
      </c>
    </row>
    <row r="48" spans="4:8" x14ac:dyDescent="0.25">
      <c r="D48" s="3" t="str">
        <f>Maestro!D48</f>
        <v>501</v>
      </c>
      <c r="E48" s="3" t="str">
        <f>Maestro!C48</f>
        <v>3</v>
      </c>
      <c r="F48" s="3" t="str">
        <f>Maestro!L48</f>
        <v>RODRIGO HERRERA</v>
      </c>
      <c r="G48" t="str">
        <f t="shared" si="0"/>
        <v>Urbanización Alborada 1-4 PH - Factura del Mes de Agosto de 2017 3 - 501 - RODRIGO HERRERA.pdf</v>
      </c>
      <c r="H48" t="str">
        <f t="shared" si="1"/>
        <v>C:\Users\USUARIO\Macros\FACTURAS Y LISTADOS\1130 - Urbanización Alborada 1-4 PH\Agosto de 2017\Urbanización Alborada 1-4 PH - Factura del Mes de Agosto de 2017 3 - 501 - RODRIGO HERRERA.pdf</v>
      </c>
    </row>
    <row r="49" spans="4:8" x14ac:dyDescent="0.25">
      <c r="D49" s="3" t="str">
        <f>Maestro!D49</f>
        <v>502</v>
      </c>
      <c r="E49" s="3" t="str">
        <f>Maestro!C49</f>
        <v>3</v>
      </c>
      <c r="F49" s="3" t="str">
        <f>Maestro!L49</f>
        <v>SANDRA EUGENIA OLAYA</v>
      </c>
      <c r="G49" t="str">
        <f t="shared" si="0"/>
        <v>Urbanización Alborada 1-4 PH - Factura del Mes de Agosto de 2017 3 - 502 - SANDRA EUGENIA OLAYA.pdf</v>
      </c>
      <c r="H49" t="str">
        <f t="shared" si="1"/>
        <v>C:\Users\USUARIO\Macros\FACTURAS Y LISTADOS\1130 - Urbanización Alborada 1-4 PH\Agosto de 2017\Urbanización Alborada 1-4 PH - Factura del Mes de Agosto de 2017 3 - 502 - SANDRA EUGENIA OLAYA.pdf</v>
      </c>
    </row>
    <row r="50" spans="4:8" x14ac:dyDescent="0.25">
      <c r="D50" s="3" t="str">
        <f>Maestro!D50</f>
        <v>503</v>
      </c>
      <c r="E50" s="3" t="str">
        <f>Maestro!C50</f>
        <v>3</v>
      </c>
      <c r="F50" s="3" t="str">
        <f>Maestro!L50</f>
        <v>MARIA JULIA GARZON TABARES</v>
      </c>
      <c r="G50" t="str">
        <f t="shared" si="0"/>
        <v>Urbanización Alborada 1-4 PH - Factura del Mes de Agosto de 2017 3 - 503 - MARIA JULIA GARZON TABARES.pdf</v>
      </c>
      <c r="H50" t="str">
        <f t="shared" si="1"/>
        <v>C:\Users\USUARIO\Macros\FACTURAS Y LISTADOS\1130 - Urbanización Alborada 1-4 PH\Agosto de 2017\Urbanización Alborada 1-4 PH - Factura del Mes de Agosto de 2017 3 - 503 - MARIA JULIA GARZON TABARES.pdf</v>
      </c>
    </row>
    <row r="51" spans="4:8" x14ac:dyDescent="0.25">
      <c r="D51" s="3" t="str">
        <f>Maestro!D51</f>
        <v>504</v>
      </c>
      <c r="E51" s="3" t="str">
        <f>Maestro!C51</f>
        <v>3</v>
      </c>
      <c r="F51" s="3" t="str">
        <f>Maestro!L51</f>
        <v>HUMBERTO ECHEVERRY</v>
      </c>
      <c r="G51" t="str">
        <f t="shared" si="0"/>
        <v>Urbanización Alborada 1-4 PH - Factura del Mes de Agosto de 2017 3 - 504 - HUMBERTO ECHEVERRY.pdf</v>
      </c>
      <c r="H51" t="str">
        <f t="shared" si="1"/>
        <v>C:\Users\USUARIO\Macros\FACTURAS Y LISTADOS\1130 - Urbanización Alborada 1-4 PH\Agosto de 2017\Urbanización Alborada 1-4 PH - Factura del Mes de Agosto de 2017 3 - 504 - HUMBERTO ECHEVERRY.pdf</v>
      </c>
    </row>
    <row r="52" spans="4:8" x14ac:dyDescent="0.25">
      <c r="D52" s="3" t="str">
        <f>Maestro!D52</f>
        <v>101</v>
      </c>
      <c r="E52" s="3" t="str">
        <f>Maestro!C52</f>
        <v>4</v>
      </c>
      <c r="F52" s="3" t="str">
        <f>Maestro!L52</f>
        <v>GUSTAVO ADOLFO ECHEVERRI VELAS</v>
      </c>
      <c r="G52" t="str">
        <f t="shared" si="0"/>
        <v>Urbanización Alborada 1-4 PH - Factura del Mes de Agosto de 2017 4 - 101 - GUSTAVO ADOLFO ECHEVERRI VELAS.pdf</v>
      </c>
      <c r="H52" t="str">
        <f t="shared" si="1"/>
        <v>C:\Users\USUARIO\Macros\FACTURAS Y LISTADOS\1130 - Urbanización Alborada 1-4 PH\Agosto de 2017\Urbanización Alborada 1-4 PH - Factura del Mes de Agosto de 2017 4 - 101 - GUSTAVO ADOLFO ECHEVERRI VELAS.pdf</v>
      </c>
    </row>
    <row r="53" spans="4:8" x14ac:dyDescent="0.25">
      <c r="D53" s="3" t="str">
        <f>Maestro!D53</f>
        <v>102</v>
      </c>
      <c r="E53" s="3" t="str">
        <f>Maestro!C53</f>
        <v>4</v>
      </c>
      <c r="F53" s="3" t="str">
        <f>Maestro!L53</f>
        <v>GABRIEL ANGEL MONTOYA</v>
      </c>
      <c r="G53" t="str">
        <f t="shared" si="0"/>
        <v>Urbanización Alborada 1-4 PH - Factura del Mes de Agosto de 2017 4 - 102 - GABRIEL ANGEL MONTOYA.pdf</v>
      </c>
      <c r="H53" t="str">
        <f t="shared" si="1"/>
        <v>C:\Users\USUARIO\Macros\FACTURAS Y LISTADOS\1130 - Urbanización Alborada 1-4 PH\Agosto de 2017\Urbanización Alborada 1-4 PH - Factura del Mes de Agosto de 2017 4 - 102 - GABRIEL ANGEL MONTOYA.pdf</v>
      </c>
    </row>
    <row r="54" spans="4:8" x14ac:dyDescent="0.25">
      <c r="D54" s="3" t="str">
        <f>Maestro!D54</f>
        <v>103</v>
      </c>
      <c r="E54" s="3" t="str">
        <f>Maestro!C54</f>
        <v>4</v>
      </c>
      <c r="F54" s="3" t="str">
        <f>Maestro!L54</f>
        <v>MARTHA ELENA AGUDELO L</v>
      </c>
      <c r="G54" t="str">
        <f t="shared" si="0"/>
        <v>Urbanización Alborada 1-4 PH - Factura del Mes de Agosto de 2017 4 - 103 - MARTHA ELENA AGUDELO L.pdf</v>
      </c>
      <c r="H54" t="str">
        <f t="shared" si="1"/>
        <v>C:\Users\USUARIO\Macros\FACTURAS Y LISTADOS\1130 - Urbanización Alborada 1-4 PH\Agosto de 2017\Urbanización Alborada 1-4 PH - Factura del Mes de Agosto de 2017 4 - 103 - MARTHA ELENA AGUDELO L.pdf</v>
      </c>
    </row>
    <row r="55" spans="4:8" x14ac:dyDescent="0.25">
      <c r="D55" s="3" t="str">
        <f>Maestro!D55</f>
        <v>104</v>
      </c>
      <c r="E55" s="3" t="str">
        <f>Maestro!C55</f>
        <v>4</v>
      </c>
      <c r="F55" s="3" t="str">
        <f>Maestro!L55</f>
        <v>JUAN PABLO ECHEVERRI VELASQUEZ</v>
      </c>
      <c r="G55" t="str">
        <f t="shared" si="0"/>
        <v>Urbanización Alborada 1-4 PH - Factura del Mes de Agosto de 2017 4 - 104 - JUAN PABLO ECHEVERRI VELASQUEZ.pdf</v>
      </c>
      <c r="H55" t="str">
        <f t="shared" si="1"/>
        <v>C:\Users\USUARIO\Macros\FACTURAS Y LISTADOS\1130 - Urbanización Alborada 1-4 PH\Agosto de 2017\Urbanización Alborada 1-4 PH - Factura del Mes de Agosto de 2017 4 - 104 - JUAN PABLO ECHEVERRI VELASQUEZ.pdf</v>
      </c>
    </row>
    <row r="56" spans="4:8" x14ac:dyDescent="0.25">
      <c r="D56" s="3" t="str">
        <f>Maestro!D56</f>
        <v>105</v>
      </c>
      <c r="E56" s="3" t="str">
        <f>Maestro!C56</f>
        <v>4</v>
      </c>
      <c r="F56" s="3" t="str">
        <f>Maestro!L56</f>
        <v>HUGO DE JESUS OCHOA PULGARIN</v>
      </c>
      <c r="G56" t="str">
        <f t="shared" si="0"/>
        <v>Urbanización Alborada 1-4 PH - Factura del Mes de Agosto de 2017 4 - 105 - HUGO DE JESUS OCHOA PULGARIN.pdf</v>
      </c>
      <c r="H56" t="str">
        <f t="shared" si="1"/>
        <v>C:\Users\USUARIO\Macros\FACTURAS Y LISTADOS\1130 - Urbanización Alborada 1-4 PH\Agosto de 2017\Urbanización Alborada 1-4 PH - Factura del Mes de Agosto de 2017 4 - 105 - HUGO DE JESUS OCHOA PULGARIN.pdf</v>
      </c>
    </row>
    <row r="57" spans="4:8" x14ac:dyDescent="0.25">
      <c r="D57" s="3" t="str">
        <f>Maestro!D57</f>
        <v>106</v>
      </c>
      <c r="E57" s="3" t="str">
        <f>Maestro!C57</f>
        <v>4</v>
      </c>
      <c r="F57" s="3" t="str">
        <f>Maestro!L57</f>
        <v>Marcela Pelaez Mejia</v>
      </c>
      <c r="G57" t="str">
        <f t="shared" si="0"/>
        <v>Urbanización Alborada 1-4 PH - Factura del Mes de Agosto de 2017 4 - 106 - Marcela Pelaez Mejia.pdf</v>
      </c>
      <c r="H57" t="str">
        <f t="shared" si="1"/>
        <v>C:\Users\USUARIO\Macros\FACTURAS Y LISTADOS\1130 - Urbanización Alborada 1-4 PH\Agosto de 2017\Urbanización Alborada 1-4 PH - Factura del Mes de Agosto de 2017 4 - 106 - Marcela Pelaez Mejia.pdf</v>
      </c>
    </row>
    <row r="58" spans="4:8" x14ac:dyDescent="0.25">
      <c r="D58" s="3" t="str">
        <f>Maestro!D58</f>
        <v>107</v>
      </c>
      <c r="E58" s="3" t="str">
        <f>Maestro!C58</f>
        <v>4</v>
      </c>
      <c r="F58" s="3" t="str">
        <f>Maestro!L58</f>
        <v>JUAN RICARDO ARANGO GOMEZ</v>
      </c>
      <c r="G58" t="str">
        <f t="shared" si="0"/>
        <v>Urbanización Alborada 1-4 PH - Factura del Mes de Agosto de 2017 4 - 107 - JUAN RICARDO ARANGO GOMEZ.pdf</v>
      </c>
      <c r="H58" t="str">
        <f t="shared" si="1"/>
        <v>C:\Users\USUARIO\Macros\FACTURAS Y LISTADOS\1130 - Urbanización Alborada 1-4 PH\Agosto de 2017\Urbanización Alborada 1-4 PH - Factura del Mes de Agosto de 2017 4 - 107 - JUAN RICARDO ARANGO GOMEZ.pdf</v>
      </c>
    </row>
    <row r="59" spans="4:8" x14ac:dyDescent="0.25">
      <c r="D59" s="3" t="str">
        <f>Maestro!D59</f>
        <v>108</v>
      </c>
      <c r="E59" s="3" t="str">
        <f>Maestro!C59</f>
        <v>4</v>
      </c>
      <c r="F59" s="3" t="str">
        <f>Maestro!L59</f>
        <v>JAIME ECHEVERRY VELASQUEZ</v>
      </c>
      <c r="G59" t="str">
        <f t="shared" si="0"/>
        <v>Urbanización Alborada 1-4 PH - Factura del Mes de Agosto de 2017 4 - 108 - JAIME ECHEVERRY VELASQUEZ.pdf</v>
      </c>
      <c r="H59" t="str">
        <f t="shared" si="1"/>
        <v>C:\Users\USUARIO\Macros\FACTURAS Y LISTADOS\1130 - Urbanización Alborada 1-4 PH\Agosto de 2017\Urbanización Alborada 1-4 PH - Factura del Mes de Agosto de 2017 4 - 108 - JAIME ECHEVERRY VELASQUEZ.pdf</v>
      </c>
    </row>
    <row r="60" spans="4:8" x14ac:dyDescent="0.25">
      <c r="D60" s="3" t="str">
        <f>Maestro!D60</f>
        <v>201</v>
      </c>
      <c r="E60" s="3" t="str">
        <f>Maestro!C60</f>
        <v>4</v>
      </c>
      <c r="F60" s="3" t="str">
        <f>Maestro!L60</f>
        <v>LUIS JAVIER VALLEJO ZULUAGA</v>
      </c>
      <c r="G60" t="str">
        <f t="shared" si="0"/>
        <v>Urbanización Alborada 1-4 PH - Factura del Mes de Agosto de 2017 4 - 201 - LUIS JAVIER VALLEJO ZULUAGA.pdf</v>
      </c>
      <c r="H60" t="str">
        <f t="shared" si="1"/>
        <v>C:\Users\USUARIO\Macros\FACTURAS Y LISTADOS\1130 - Urbanización Alborada 1-4 PH\Agosto de 2017\Urbanización Alborada 1-4 PH - Factura del Mes de Agosto de 2017 4 - 201 - LUIS JAVIER VALLEJO ZULUAGA.pdf</v>
      </c>
    </row>
    <row r="61" spans="4:8" x14ac:dyDescent="0.25">
      <c r="D61" s="3" t="str">
        <f>Maestro!D61</f>
        <v>202</v>
      </c>
      <c r="E61" s="3" t="str">
        <f>Maestro!C61</f>
        <v>4</v>
      </c>
      <c r="F61" s="3" t="str">
        <f>Maestro!L61</f>
        <v>MARIA BELARMINA SILVA LONDOÑO</v>
      </c>
      <c r="G61" t="str">
        <f t="shared" si="0"/>
        <v>Urbanización Alborada 1-4 PH - Factura del Mes de Agosto de 2017 4 - 202 - MARIA BELARMINA SILVA LONDOÑO.pdf</v>
      </c>
      <c r="H61" t="str">
        <f t="shared" si="1"/>
        <v>C:\Users\USUARIO\Macros\FACTURAS Y LISTADOS\1130 - Urbanización Alborada 1-4 PH\Agosto de 2017\Urbanización Alborada 1-4 PH - Factura del Mes de Agosto de 2017 4 - 202 - MARIA BELARMINA SILVA LONDOÑO.pdf</v>
      </c>
    </row>
    <row r="62" spans="4:8" x14ac:dyDescent="0.25">
      <c r="D62" s="3" t="str">
        <f>Maestro!D62</f>
        <v>203</v>
      </c>
      <c r="E62" s="3" t="str">
        <f>Maestro!C62</f>
        <v>4</v>
      </c>
      <c r="F62" s="3" t="str">
        <f>Maestro!L62</f>
        <v>CARLOS EFREN MONTOYA RAMIREZ</v>
      </c>
      <c r="G62" t="str">
        <f t="shared" si="0"/>
        <v>Urbanización Alborada 1-4 PH - Factura del Mes de Agosto de 2017 4 - 203 - CARLOS EFREN MONTOYA RAMIREZ.pdf</v>
      </c>
      <c r="H62" t="str">
        <f t="shared" si="1"/>
        <v>C:\Users\USUARIO\Macros\FACTURAS Y LISTADOS\1130 - Urbanización Alborada 1-4 PH\Agosto de 2017\Urbanización Alborada 1-4 PH - Factura del Mes de Agosto de 2017 4 - 203 - CARLOS EFREN MONTOYA RAMIREZ.pdf</v>
      </c>
    </row>
    <row r="63" spans="4:8" x14ac:dyDescent="0.25">
      <c r="D63" s="3" t="str">
        <f>Maestro!D63</f>
        <v>204</v>
      </c>
      <c r="E63" s="3" t="str">
        <f>Maestro!C63</f>
        <v>4</v>
      </c>
      <c r="F63" s="3" t="str">
        <f>Maestro!L63</f>
        <v>AUGUSTO BEDOYA ANGEL</v>
      </c>
      <c r="G63" t="str">
        <f t="shared" si="0"/>
        <v>Urbanización Alborada 1-4 PH - Factura del Mes de Agosto de 2017 4 - 204 - AUGUSTO BEDOYA ANGEL.pdf</v>
      </c>
      <c r="H63" t="str">
        <f t="shared" si="1"/>
        <v>C:\Users\USUARIO\Macros\FACTURAS Y LISTADOS\1130 - Urbanización Alborada 1-4 PH\Agosto de 2017\Urbanización Alborada 1-4 PH - Factura del Mes de Agosto de 2017 4 - 204 - AUGUSTO BEDOYA ANGEL.pdf</v>
      </c>
    </row>
    <row r="64" spans="4:8" x14ac:dyDescent="0.25">
      <c r="D64" s="3" t="str">
        <f>Maestro!D64</f>
        <v>205</v>
      </c>
      <c r="E64" s="3" t="str">
        <f>Maestro!C64</f>
        <v>4</v>
      </c>
      <c r="F64" s="3" t="str">
        <f>Maestro!L64</f>
        <v>JOHN JAIRO GALLON R</v>
      </c>
      <c r="G64" t="str">
        <f t="shared" si="0"/>
        <v>Urbanización Alborada 1-4 PH - Factura del Mes de Agosto de 2017 4 - 205 - JOHN JAIRO GALLON R.pdf</v>
      </c>
      <c r="H64" t="str">
        <f t="shared" si="1"/>
        <v>C:\Users\USUARIO\Macros\FACTURAS Y LISTADOS\1130 - Urbanización Alborada 1-4 PH\Agosto de 2017\Urbanización Alborada 1-4 PH - Factura del Mes de Agosto de 2017 4 - 205 - JOHN JAIRO GALLON R.pdf</v>
      </c>
    </row>
    <row r="65" spans="4:8" x14ac:dyDescent="0.25">
      <c r="D65" s="3" t="str">
        <f>Maestro!D65</f>
        <v>206</v>
      </c>
      <c r="E65" s="3" t="str">
        <f>Maestro!C65</f>
        <v>4</v>
      </c>
      <c r="F65" s="3" t="str">
        <f>Maestro!L65</f>
        <v>LUZ ELENA MEJIA OSORIO</v>
      </c>
      <c r="G65" t="str">
        <f t="shared" si="0"/>
        <v>Urbanización Alborada 1-4 PH - Factura del Mes de Agosto de 2017 4 - 206 - LUZ ELENA MEJIA OSORIO.pdf</v>
      </c>
      <c r="H65" t="str">
        <f t="shared" si="1"/>
        <v>C:\Users\USUARIO\Macros\FACTURAS Y LISTADOS\1130 - Urbanización Alborada 1-4 PH\Agosto de 2017\Urbanización Alborada 1-4 PH - Factura del Mes de Agosto de 2017 4 - 206 - LUZ ELENA MEJIA OSORIO.pdf</v>
      </c>
    </row>
    <row r="66" spans="4:8" x14ac:dyDescent="0.25">
      <c r="D66" s="3" t="str">
        <f>Maestro!D66</f>
        <v>207</v>
      </c>
      <c r="E66" s="3" t="str">
        <f>Maestro!C66</f>
        <v>4</v>
      </c>
      <c r="F66" s="3" t="str">
        <f>Maestro!L66</f>
        <v>MARIA GILMA MONSALVE DE VELEZ</v>
      </c>
      <c r="G66" t="str">
        <f t="shared" ref="G66:G129" si="2">CONCATENATE($G$1,$A$6,$A$15,$A$3,$A$1,$A$4,$B$1,$A$5,$A$7,E66,$A$6,D66, $A$6, F66,$A$8 )</f>
        <v>Urbanización Alborada 1-4 PH - Factura del Mes de Agosto de 2017 4 - 207 - MARIA GILMA MONSALVE DE VELEZ.pdf</v>
      </c>
      <c r="H66" t="str">
        <f t="shared" ref="H66:H129" si="3">CONCATENATE($H$1,$A$10,$A$1,$A$4,$B$1,$A$10,G66)</f>
        <v>C:\Users\USUARIO\Macros\FACTURAS Y LISTADOS\1130 - Urbanización Alborada 1-4 PH\Agosto de 2017\Urbanización Alborada 1-4 PH - Factura del Mes de Agosto de 2017 4 - 207 - MARIA GILMA MONSALVE DE VELEZ.pdf</v>
      </c>
    </row>
    <row r="67" spans="4:8" x14ac:dyDescent="0.25">
      <c r="D67" s="3" t="str">
        <f>Maestro!D67</f>
        <v>208</v>
      </c>
      <c r="E67" s="3" t="str">
        <f>Maestro!C67</f>
        <v>4</v>
      </c>
      <c r="F67" s="3" t="str">
        <f>Maestro!L67</f>
        <v>LUIS HUMBERTO MOSCOSO</v>
      </c>
      <c r="G67" t="str">
        <f t="shared" si="2"/>
        <v>Urbanización Alborada 1-4 PH - Factura del Mes de Agosto de 2017 4 - 208 - LUIS HUMBERTO MOSCOSO.pdf</v>
      </c>
      <c r="H67" t="str">
        <f t="shared" si="3"/>
        <v>C:\Users\USUARIO\Macros\FACTURAS Y LISTADOS\1130 - Urbanización Alborada 1-4 PH\Agosto de 2017\Urbanización Alborada 1-4 PH - Factura del Mes de Agosto de 2017 4 - 208 - LUIS HUMBERTO MOSCOSO.pdf</v>
      </c>
    </row>
    <row r="68" spans="4:8" x14ac:dyDescent="0.25">
      <c r="D68" s="3" t="str">
        <f>Maestro!D68</f>
        <v>301</v>
      </c>
      <c r="E68" s="3" t="str">
        <f>Maestro!C68</f>
        <v>4</v>
      </c>
      <c r="F68" s="3" t="str">
        <f>Maestro!L68</f>
        <v>CELMIRA DEL SOCORRO TOBON VELA</v>
      </c>
      <c r="G68" t="str">
        <f t="shared" si="2"/>
        <v>Urbanización Alborada 1-4 PH - Factura del Mes de Agosto de 2017 4 - 301 - CELMIRA DEL SOCORRO TOBON VELA.pdf</v>
      </c>
      <c r="H68" t="str">
        <f t="shared" si="3"/>
        <v>C:\Users\USUARIO\Macros\FACTURAS Y LISTADOS\1130 - Urbanización Alborada 1-4 PH\Agosto de 2017\Urbanización Alborada 1-4 PH - Factura del Mes de Agosto de 2017 4 - 301 - CELMIRA DEL SOCORRO TOBON VELA.pdf</v>
      </c>
    </row>
    <row r="69" spans="4:8" x14ac:dyDescent="0.25">
      <c r="D69" s="3" t="str">
        <f>Maestro!D69</f>
        <v>302</v>
      </c>
      <c r="E69" s="3" t="str">
        <f>Maestro!C69</f>
        <v>4</v>
      </c>
      <c r="F69" s="3" t="str">
        <f>Maestro!L69</f>
        <v>CARLOS MARIO ARANGO PUERTA</v>
      </c>
      <c r="G69" t="str">
        <f t="shared" si="2"/>
        <v>Urbanización Alborada 1-4 PH - Factura del Mes de Agosto de 2017 4 - 302 - CARLOS MARIO ARANGO PUERTA.pdf</v>
      </c>
      <c r="H69" t="str">
        <f t="shared" si="3"/>
        <v>C:\Users\USUARIO\Macros\FACTURAS Y LISTADOS\1130 - Urbanización Alborada 1-4 PH\Agosto de 2017\Urbanización Alborada 1-4 PH - Factura del Mes de Agosto de 2017 4 - 302 - CARLOS MARIO ARANGO PUERTA.pdf</v>
      </c>
    </row>
    <row r="70" spans="4:8" x14ac:dyDescent="0.25">
      <c r="D70" s="3" t="str">
        <f>Maestro!D70</f>
        <v>303</v>
      </c>
      <c r="E70" s="3" t="str">
        <f>Maestro!C70</f>
        <v>4</v>
      </c>
      <c r="F70" s="3" t="str">
        <f>Maestro!L70</f>
        <v>ANA ABIGAIL LOPEZ ORTIZ</v>
      </c>
      <c r="G70" t="str">
        <f t="shared" si="2"/>
        <v>Urbanización Alborada 1-4 PH - Factura del Mes de Agosto de 2017 4 - 303 - ANA ABIGAIL LOPEZ ORTIZ.pdf</v>
      </c>
      <c r="H70" t="str">
        <f t="shared" si="3"/>
        <v>C:\Users\USUARIO\Macros\FACTURAS Y LISTADOS\1130 - Urbanización Alborada 1-4 PH\Agosto de 2017\Urbanización Alborada 1-4 PH - Factura del Mes de Agosto de 2017 4 - 303 - ANA ABIGAIL LOPEZ ORTIZ.pdf</v>
      </c>
    </row>
    <row r="71" spans="4:8" x14ac:dyDescent="0.25">
      <c r="D71" s="3" t="str">
        <f>Maestro!D71</f>
        <v>304</v>
      </c>
      <c r="E71" s="3" t="str">
        <f>Maestro!C71</f>
        <v>4</v>
      </c>
      <c r="F71" s="3" t="str">
        <f>Maestro!L71</f>
        <v>SILVIO ANGEL</v>
      </c>
      <c r="G71" t="str">
        <f t="shared" si="2"/>
        <v>Urbanización Alborada 1-4 PH - Factura del Mes de Agosto de 2017 4 - 304 - SILVIO ANGEL.pdf</v>
      </c>
      <c r="H71" t="str">
        <f t="shared" si="3"/>
        <v>C:\Users\USUARIO\Macros\FACTURAS Y LISTADOS\1130 - Urbanización Alborada 1-4 PH\Agosto de 2017\Urbanización Alborada 1-4 PH - Factura del Mes de Agosto de 2017 4 - 304 - SILVIO ANGEL.pdf</v>
      </c>
    </row>
    <row r="72" spans="4:8" x14ac:dyDescent="0.25">
      <c r="D72" s="3" t="str">
        <f>Maestro!D72</f>
        <v>305</v>
      </c>
      <c r="E72" s="3" t="str">
        <f>Maestro!C72</f>
        <v>4</v>
      </c>
      <c r="F72" s="3" t="str">
        <f>Maestro!L72</f>
        <v>ANDRES ALBERTO RODRIGUEZ E</v>
      </c>
      <c r="G72" t="str">
        <f t="shared" si="2"/>
        <v>Urbanización Alborada 1-4 PH - Factura del Mes de Agosto de 2017 4 - 305 - ANDRES ALBERTO RODRIGUEZ E.pdf</v>
      </c>
      <c r="H72" t="str">
        <f t="shared" si="3"/>
        <v>C:\Users\USUARIO\Macros\FACTURAS Y LISTADOS\1130 - Urbanización Alborada 1-4 PH\Agosto de 2017\Urbanización Alborada 1-4 PH - Factura del Mes de Agosto de 2017 4 - 305 - ANDRES ALBERTO RODRIGUEZ E.pdf</v>
      </c>
    </row>
    <row r="73" spans="4:8" x14ac:dyDescent="0.25">
      <c r="D73" s="3" t="str">
        <f>Maestro!D73</f>
        <v>306</v>
      </c>
      <c r="E73" s="3" t="str">
        <f>Maestro!C73</f>
        <v>4</v>
      </c>
      <c r="F73" s="3" t="str">
        <f>Maestro!L73</f>
        <v>MARTHA LUCIA MOLINA GIRALDO</v>
      </c>
      <c r="G73" t="str">
        <f t="shared" si="2"/>
        <v>Urbanización Alborada 1-4 PH - Factura del Mes de Agosto de 2017 4 - 306 - MARTHA LUCIA MOLINA GIRALDO.pdf</v>
      </c>
      <c r="H73" t="str">
        <f t="shared" si="3"/>
        <v>C:\Users\USUARIO\Macros\FACTURAS Y LISTADOS\1130 - Urbanización Alborada 1-4 PH\Agosto de 2017\Urbanización Alborada 1-4 PH - Factura del Mes de Agosto de 2017 4 - 306 - MARTHA LUCIA MOLINA GIRALDO.pdf</v>
      </c>
    </row>
    <row r="74" spans="4:8" x14ac:dyDescent="0.25">
      <c r="D74" s="3" t="str">
        <f>Maestro!D74</f>
        <v>307</v>
      </c>
      <c r="E74" s="3" t="str">
        <f>Maestro!C74</f>
        <v>4</v>
      </c>
      <c r="F74" s="3" t="str">
        <f>Maestro!L74</f>
        <v>DEISY ALEXANDRA ARROYAVE</v>
      </c>
      <c r="G74" t="str">
        <f t="shared" si="2"/>
        <v>Urbanización Alborada 1-4 PH - Factura del Mes de Agosto de 2017 4 - 307 - DEISY ALEXANDRA ARROYAVE.pdf</v>
      </c>
      <c r="H74" t="str">
        <f t="shared" si="3"/>
        <v>C:\Users\USUARIO\Macros\FACTURAS Y LISTADOS\1130 - Urbanización Alborada 1-4 PH\Agosto de 2017\Urbanización Alborada 1-4 PH - Factura del Mes de Agosto de 2017 4 - 307 - DEISY ALEXANDRA ARROYAVE.pdf</v>
      </c>
    </row>
    <row r="75" spans="4:8" x14ac:dyDescent="0.25">
      <c r="D75" s="3" t="str">
        <f>Maestro!D75</f>
        <v>308</v>
      </c>
      <c r="E75" s="3" t="str">
        <f>Maestro!C75</f>
        <v>4</v>
      </c>
      <c r="F75" s="3" t="str">
        <f>Maestro!L75</f>
        <v>MARIA TERESA CANO</v>
      </c>
      <c r="G75" t="str">
        <f t="shared" si="2"/>
        <v>Urbanización Alborada 1-4 PH - Factura del Mes de Agosto de 2017 4 - 308 - MARIA TERESA CANO.pdf</v>
      </c>
      <c r="H75" t="str">
        <f t="shared" si="3"/>
        <v>C:\Users\USUARIO\Macros\FACTURAS Y LISTADOS\1130 - Urbanización Alborada 1-4 PH\Agosto de 2017\Urbanización Alborada 1-4 PH - Factura del Mes de Agosto de 2017 4 - 308 - MARIA TERESA CANO.pdf</v>
      </c>
    </row>
    <row r="76" spans="4:8" x14ac:dyDescent="0.25">
      <c r="D76" s="3" t="str">
        <f>Maestro!D76</f>
        <v>401</v>
      </c>
      <c r="E76" s="3" t="str">
        <f>Maestro!C76</f>
        <v>4</v>
      </c>
      <c r="F76" s="3" t="str">
        <f>Maestro!L76</f>
        <v>MARIA HERRERA</v>
      </c>
      <c r="G76" t="str">
        <f t="shared" si="2"/>
        <v>Urbanización Alborada 1-4 PH - Factura del Mes de Agosto de 2017 4 - 401 - MARIA HERRERA.pdf</v>
      </c>
      <c r="H76" t="str">
        <f t="shared" si="3"/>
        <v>C:\Users\USUARIO\Macros\FACTURAS Y LISTADOS\1130 - Urbanización Alborada 1-4 PH\Agosto de 2017\Urbanización Alborada 1-4 PH - Factura del Mes de Agosto de 2017 4 - 401 - MARIA HERRERA.pdf</v>
      </c>
    </row>
    <row r="77" spans="4:8" x14ac:dyDescent="0.25">
      <c r="D77" s="3" t="str">
        <f>Maestro!D77</f>
        <v>402</v>
      </c>
      <c r="E77" s="3" t="str">
        <f>Maestro!C77</f>
        <v>4</v>
      </c>
      <c r="F77" s="3" t="str">
        <f>Maestro!L77</f>
        <v>VICTORIA EUGENIA BOHORQUEZ HEN</v>
      </c>
      <c r="G77" t="str">
        <f t="shared" si="2"/>
        <v>Urbanización Alborada 1-4 PH - Factura del Mes de Agosto de 2017 4 - 402 - VICTORIA EUGENIA BOHORQUEZ HEN.pdf</v>
      </c>
      <c r="H77" t="str">
        <f t="shared" si="3"/>
        <v>C:\Users\USUARIO\Macros\FACTURAS Y LISTADOS\1130 - Urbanización Alborada 1-4 PH\Agosto de 2017\Urbanización Alborada 1-4 PH - Factura del Mes de Agosto de 2017 4 - 402 - VICTORIA EUGENIA BOHORQUEZ HEN.pdf</v>
      </c>
    </row>
    <row r="78" spans="4:8" x14ac:dyDescent="0.25">
      <c r="D78" s="3" t="str">
        <f>Maestro!D78</f>
        <v>403</v>
      </c>
      <c r="E78" s="3" t="str">
        <f>Maestro!C78</f>
        <v>4</v>
      </c>
      <c r="F78" s="3" t="str">
        <f>Maestro!L78</f>
        <v>JOHN WILLIAM OCHOA</v>
      </c>
      <c r="G78" t="str">
        <f t="shared" si="2"/>
        <v>Urbanización Alborada 1-4 PH - Factura del Mes de Agosto de 2017 4 - 403 - JOHN WILLIAM OCHOA.pdf</v>
      </c>
      <c r="H78" t="str">
        <f t="shared" si="3"/>
        <v>C:\Users\USUARIO\Macros\FACTURAS Y LISTADOS\1130 - Urbanización Alborada 1-4 PH\Agosto de 2017\Urbanización Alborada 1-4 PH - Factura del Mes de Agosto de 2017 4 - 403 - JOHN WILLIAM OCHOA.pdf</v>
      </c>
    </row>
    <row r="79" spans="4:8" x14ac:dyDescent="0.25">
      <c r="D79" s="3" t="str">
        <f>Maestro!D79</f>
        <v>404</v>
      </c>
      <c r="E79" s="3" t="str">
        <f>Maestro!C79</f>
        <v>4</v>
      </c>
      <c r="F79" s="3" t="str">
        <f>Maestro!L79</f>
        <v>LEON HUMBERTO ALVAREZ MESA</v>
      </c>
      <c r="G79" t="str">
        <f t="shared" si="2"/>
        <v>Urbanización Alborada 1-4 PH - Factura del Mes de Agosto de 2017 4 - 404 - LEON HUMBERTO ALVAREZ MESA.pdf</v>
      </c>
      <c r="H79" t="str">
        <f t="shared" si="3"/>
        <v>C:\Users\USUARIO\Macros\FACTURAS Y LISTADOS\1130 - Urbanización Alborada 1-4 PH\Agosto de 2017\Urbanización Alborada 1-4 PH - Factura del Mes de Agosto de 2017 4 - 404 - LEON HUMBERTO ALVAREZ MESA.pdf</v>
      </c>
    </row>
    <row r="80" spans="4:8" x14ac:dyDescent="0.25">
      <c r="D80" s="3" t="str">
        <f>Maestro!D80</f>
        <v>405</v>
      </c>
      <c r="E80" s="3" t="str">
        <f>Maestro!C80</f>
        <v>4</v>
      </c>
      <c r="F80" s="3" t="str">
        <f>Maestro!L80</f>
        <v>JORGE ALBERTO ARCILA Q</v>
      </c>
      <c r="G80" t="str">
        <f t="shared" si="2"/>
        <v>Urbanización Alborada 1-4 PH - Factura del Mes de Agosto de 2017 4 - 405 - JORGE ALBERTO ARCILA Q.pdf</v>
      </c>
      <c r="H80" t="str">
        <f t="shared" si="3"/>
        <v>C:\Users\USUARIO\Macros\FACTURAS Y LISTADOS\1130 - Urbanización Alborada 1-4 PH\Agosto de 2017\Urbanización Alborada 1-4 PH - Factura del Mes de Agosto de 2017 4 - 405 - JORGE ALBERTO ARCILA Q.pdf</v>
      </c>
    </row>
    <row r="81" spans="4:8" x14ac:dyDescent="0.25">
      <c r="D81" s="3" t="str">
        <f>Maestro!D81</f>
        <v>406</v>
      </c>
      <c r="E81" s="3" t="str">
        <f>Maestro!C81</f>
        <v>4</v>
      </c>
      <c r="F81" s="3" t="str">
        <f>Maestro!L81</f>
        <v>MARTA MARINA MONTOYA ESTACIO</v>
      </c>
      <c r="G81" t="str">
        <f t="shared" si="2"/>
        <v>Urbanización Alborada 1-4 PH - Factura del Mes de Agosto de 2017 4 - 406 - MARTA MARINA MONTOYA ESTACIO.pdf</v>
      </c>
      <c r="H81" t="str">
        <f t="shared" si="3"/>
        <v>C:\Users\USUARIO\Macros\FACTURAS Y LISTADOS\1130 - Urbanización Alborada 1-4 PH\Agosto de 2017\Urbanización Alborada 1-4 PH - Factura del Mes de Agosto de 2017 4 - 406 - MARTA MARINA MONTOYA ESTACIO.pdf</v>
      </c>
    </row>
    <row r="82" spans="4:8" x14ac:dyDescent="0.25">
      <c r="D82" s="3" t="str">
        <f>Maestro!D82</f>
        <v>407</v>
      </c>
      <c r="E82" s="3" t="str">
        <f>Maestro!C82</f>
        <v>4</v>
      </c>
      <c r="F82" s="3" t="str">
        <f>Maestro!L82</f>
        <v>JOSE DARIO ALVAREZ VARGAS</v>
      </c>
      <c r="G82" t="str">
        <f t="shared" si="2"/>
        <v>Urbanización Alborada 1-4 PH - Factura del Mes de Agosto de 2017 4 - 407 - JOSE DARIO ALVAREZ VARGAS.pdf</v>
      </c>
      <c r="H82" t="str">
        <f t="shared" si="3"/>
        <v>C:\Users\USUARIO\Macros\FACTURAS Y LISTADOS\1130 - Urbanización Alborada 1-4 PH\Agosto de 2017\Urbanización Alborada 1-4 PH - Factura del Mes de Agosto de 2017 4 - 407 - JOSE DARIO ALVAREZ VARGAS.pdf</v>
      </c>
    </row>
    <row r="83" spans="4:8" x14ac:dyDescent="0.25">
      <c r="D83" s="3" t="str">
        <f>Maestro!D83</f>
        <v>408</v>
      </c>
      <c r="E83" s="3" t="str">
        <f>Maestro!C83</f>
        <v>4</v>
      </c>
      <c r="F83" s="3" t="str">
        <f>Maestro!L83</f>
        <v>MAURICIO RIOS RENDON</v>
      </c>
      <c r="G83" t="str">
        <f t="shared" si="2"/>
        <v>Urbanización Alborada 1-4 PH - Factura del Mes de Agosto de 2017 4 - 408 - MAURICIO RIOS RENDON.pdf</v>
      </c>
      <c r="H83" t="str">
        <f t="shared" si="3"/>
        <v>C:\Users\USUARIO\Macros\FACTURAS Y LISTADOS\1130 - Urbanización Alborada 1-4 PH\Agosto de 2017\Urbanización Alborada 1-4 PH - Factura del Mes de Agosto de 2017 4 - 408 - MAURICIO RIOS RENDON.pdf</v>
      </c>
    </row>
    <row r="84" spans="4:8" x14ac:dyDescent="0.25">
      <c r="D84" s="3" t="str">
        <f>Maestro!D84</f>
        <v>501</v>
      </c>
      <c r="E84" s="3" t="str">
        <f>Maestro!C84</f>
        <v>4</v>
      </c>
      <c r="F84" s="3" t="str">
        <f>Maestro!L84</f>
        <v>Nelson Escudero</v>
      </c>
      <c r="G84" t="str">
        <f t="shared" si="2"/>
        <v>Urbanización Alborada 1-4 PH - Factura del Mes de Agosto de 2017 4 - 501 - Nelson Escudero.pdf</v>
      </c>
      <c r="H84" t="str">
        <f t="shared" si="3"/>
        <v>C:\Users\USUARIO\Macros\FACTURAS Y LISTADOS\1130 - Urbanización Alborada 1-4 PH\Agosto de 2017\Urbanización Alborada 1-4 PH - Factura del Mes de Agosto de 2017 4 - 501 - Nelson Escudero.pdf</v>
      </c>
    </row>
    <row r="85" spans="4:8" x14ac:dyDescent="0.25">
      <c r="D85" s="3" t="str">
        <f>Maestro!D85</f>
        <v>502</v>
      </c>
      <c r="E85" s="3" t="str">
        <f>Maestro!C85</f>
        <v>4</v>
      </c>
      <c r="F85" s="3" t="str">
        <f>Maestro!L85</f>
        <v>JUAN PABLO RESTREPO OSORIO</v>
      </c>
      <c r="G85" t="str">
        <f t="shared" si="2"/>
        <v>Urbanización Alborada 1-4 PH - Factura del Mes de Agosto de 2017 4 - 502 - JUAN PABLO RESTREPO OSORIO.pdf</v>
      </c>
      <c r="H85" t="str">
        <f t="shared" si="3"/>
        <v>C:\Users\USUARIO\Macros\FACTURAS Y LISTADOS\1130 - Urbanización Alborada 1-4 PH\Agosto de 2017\Urbanización Alborada 1-4 PH - Factura del Mes de Agosto de 2017 4 - 502 - JUAN PABLO RESTREPO OSORIO.pdf</v>
      </c>
    </row>
    <row r="86" spans="4:8" x14ac:dyDescent="0.25">
      <c r="D86" s="3" t="str">
        <f>Maestro!D86</f>
        <v>503</v>
      </c>
      <c r="E86" s="3" t="str">
        <f>Maestro!C86</f>
        <v>4</v>
      </c>
      <c r="F86" s="3" t="str">
        <f>Maestro!L86</f>
        <v>MARTHA ELENA GUTIERREZ PALACIO</v>
      </c>
      <c r="G86" t="str">
        <f t="shared" si="2"/>
        <v>Urbanización Alborada 1-4 PH - Factura del Mes de Agosto de 2017 4 - 503 - MARTHA ELENA GUTIERREZ PALACIO.pdf</v>
      </c>
      <c r="H86" t="str">
        <f t="shared" si="3"/>
        <v>C:\Users\USUARIO\Macros\FACTURAS Y LISTADOS\1130 - Urbanización Alborada 1-4 PH\Agosto de 2017\Urbanización Alborada 1-4 PH - Factura del Mes de Agosto de 2017 4 - 503 - MARTHA ELENA GUTIERREZ PALACIO.pdf</v>
      </c>
    </row>
    <row r="87" spans="4:8" x14ac:dyDescent="0.25">
      <c r="D87" s="3" t="str">
        <f>Maestro!D87</f>
        <v>504</v>
      </c>
      <c r="E87" s="3" t="str">
        <f>Maestro!C87</f>
        <v>4</v>
      </c>
      <c r="F87" s="3" t="str">
        <f>Maestro!L87</f>
        <v>CARLOS ARTURO LONDOÑO GIRALDO</v>
      </c>
      <c r="G87" t="str">
        <f t="shared" si="2"/>
        <v>Urbanización Alborada 1-4 PH - Factura del Mes de Agosto de 2017 4 - 504 - CARLOS ARTURO LONDOÑO GIRALDO.pdf</v>
      </c>
      <c r="H87" t="str">
        <f t="shared" si="3"/>
        <v>C:\Users\USUARIO\Macros\FACTURAS Y LISTADOS\1130 - Urbanización Alborada 1-4 PH\Agosto de 2017\Urbanización Alborada 1-4 PH - Factura del Mes de Agosto de 2017 4 - 504 - CARLOS ARTURO LONDOÑO GIRALDO.pdf</v>
      </c>
    </row>
    <row r="88" spans="4:8" x14ac:dyDescent="0.25">
      <c r="D88" s="3" t="str">
        <f>Maestro!D88</f>
        <v>505</v>
      </c>
      <c r="E88" s="3" t="str">
        <f>Maestro!C88</f>
        <v>4</v>
      </c>
      <c r="F88" s="3" t="str">
        <f>Maestro!L88</f>
        <v>SANDRA EUGENIA OLAYA</v>
      </c>
      <c r="G88" t="str">
        <f t="shared" si="2"/>
        <v>Urbanización Alborada 1-4 PH - Factura del Mes de Agosto de 2017 4 - 505 - SANDRA EUGENIA OLAYA.pdf</v>
      </c>
      <c r="H88" t="str">
        <f t="shared" si="3"/>
        <v>C:\Users\USUARIO\Macros\FACTURAS Y LISTADOS\1130 - Urbanización Alborada 1-4 PH\Agosto de 2017\Urbanización Alborada 1-4 PH - Factura del Mes de Agosto de 2017 4 - 505 - SANDRA EUGENIA OLAYA.pdf</v>
      </c>
    </row>
    <row r="89" spans="4:8" x14ac:dyDescent="0.25">
      <c r="D89" s="3" t="str">
        <f>Maestro!D89</f>
        <v>506</v>
      </c>
      <c r="E89" s="3" t="str">
        <f>Maestro!C89</f>
        <v>4</v>
      </c>
      <c r="F89" s="3" t="str">
        <f>Maestro!L89</f>
        <v>MARIBEL MORALES VARGAS</v>
      </c>
      <c r="G89" t="str">
        <f t="shared" si="2"/>
        <v>Urbanización Alborada 1-4 PH - Factura del Mes de Agosto de 2017 4 - 506 - MARIBEL MORALES VARGAS.pdf</v>
      </c>
      <c r="H89" t="str">
        <f t="shared" si="3"/>
        <v>C:\Users\USUARIO\Macros\FACTURAS Y LISTADOS\1130 - Urbanización Alborada 1-4 PH\Agosto de 2017\Urbanización Alborada 1-4 PH - Factura del Mes de Agosto de 2017 4 - 506 - MARIBEL MORALES VARGAS.pdf</v>
      </c>
    </row>
    <row r="90" spans="4:8" x14ac:dyDescent="0.25">
      <c r="D90" s="3" t="str">
        <f>Maestro!D90</f>
        <v>507</v>
      </c>
      <c r="E90" s="3" t="str">
        <f>Maestro!C90</f>
        <v>4</v>
      </c>
      <c r="F90" s="3" t="str">
        <f>Maestro!L90</f>
        <v>Clara Ines Jaramillo Alvarez</v>
      </c>
      <c r="G90" t="str">
        <f t="shared" si="2"/>
        <v>Urbanización Alborada 1-4 PH - Factura del Mes de Agosto de 2017 4 - 507 - Clara Ines Jaramillo Alvarez.pdf</v>
      </c>
      <c r="H90" t="str">
        <f t="shared" si="3"/>
        <v>C:\Users\USUARIO\Macros\FACTURAS Y LISTADOS\1130 - Urbanización Alborada 1-4 PH\Agosto de 2017\Urbanización Alborada 1-4 PH - Factura del Mes de Agosto de 2017 4 - 507 - Clara Ines Jaramillo Alvarez.pdf</v>
      </c>
    </row>
    <row r="91" spans="4:8" x14ac:dyDescent="0.25">
      <c r="D91" s="3" t="str">
        <f>Maestro!D91</f>
        <v>508</v>
      </c>
      <c r="E91" s="3" t="str">
        <f>Maestro!C91</f>
        <v>4</v>
      </c>
      <c r="F91" s="3" t="str">
        <f>Maestro!L91</f>
        <v>LUIS HERNANDO LOPEZ POSSO</v>
      </c>
      <c r="G91" t="str">
        <f t="shared" si="2"/>
        <v>Urbanización Alborada 1-4 PH - Factura del Mes de Agosto de 2017 4 - 508 - LUIS HERNANDO LOPEZ POSSO.pdf</v>
      </c>
      <c r="H91" t="str">
        <f t="shared" si="3"/>
        <v>C:\Users\USUARIO\Macros\FACTURAS Y LISTADOS\1130 - Urbanización Alborada 1-4 PH\Agosto de 2017\Urbanización Alborada 1-4 PH - Factura del Mes de Agosto de 2017 4 - 508 - LUIS HERNANDO LOPEZ POSSO.pdf</v>
      </c>
    </row>
    <row r="92" spans="4:8" x14ac:dyDescent="0.25">
      <c r="D92" s="3" t="str">
        <f>Maestro!D92</f>
        <v>502</v>
      </c>
      <c r="E92" s="3" t="str">
        <f>Maestro!C92</f>
        <v>P4</v>
      </c>
      <c r="F92" s="3" t="str">
        <f>Maestro!L92</f>
        <v>WILLIAM VILLAMIL</v>
      </c>
      <c r="G92" t="str">
        <f t="shared" si="2"/>
        <v>Urbanización Alborada 1-4 PH - Factura del Mes de Agosto de 2017 P4 - 502 - WILLIAM VILLAMIL.pdf</v>
      </c>
      <c r="H92" t="str">
        <f t="shared" si="3"/>
        <v>C:\Users\USUARIO\Macros\FACTURAS Y LISTADOS\1130 - Urbanización Alborada 1-4 PH\Agosto de 2017\Urbanización Alborada 1-4 PH - Factura del Mes de Agosto de 2017 P4 - 502 - WILLIAM VILLAMIL.pdf</v>
      </c>
    </row>
    <row r="93" spans="4:8" x14ac:dyDescent="0.25">
      <c r="D93" s="3" t="str">
        <f>Maestro!D93</f>
        <v>301</v>
      </c>
      <c r="E93" s="3" t="str">
        <f>Maestro!C93</f>
        <v>B1</v>
      </c>
      <c r="F93" s="3" t="str">
        <f>Maestro!L93</f>
        <v>JOSE MARIA OCHOA-ADRIANA LOPEZ</v>
      </c>
      <c r="G93" t="str">
        <f t="shared" si="2"/>
        <v>Urbanización Alborada 1-4 PH - Factura del Mes de Agosto de 2017 B1 - 301 - JOSE MARIA OCHOA-ADRIANA LOPEZ.pdf</v>
      </c>
      <c r="H93" t="str">
        <f t="shared" si="3"/>
        <v>C:\Users\USUARIO\Macros\FACTURAS Y LISTADOS\1130 - Urbanización Alborada 1-4 PH\Agosto de 2017\Urbanización Alborada 1-4 PH - Factura del Mes de Agosto de 2017 B1 - 301 - JOSE MARIA OCHOA-ADRIANA LOPEZ.pdf</v>
      </c>
    </row>
    <row r="94" spans="4:8" x14ac:dyDescent="0.25">
      <c r="D94" s="3" t="str">
        <f>Maestro!D94</f>
        <v>302</v>
      </c>
      <c r="E94" s="3" t="str">
        <f>Maestro!C94</f>
        <v>B4</v>
      </c>
      <c r="F94" s="3" t="str">
        <f>Maestro!L94</f>
        <v>NATALIA CORDOBA</v>
      </c>
      <c r="G94" t="str">
        <f t="shared" si="2"/>
        <v>Urbanización Alborada 1-4 PH - Factura del Mes de Agosto de 2017 B4 - 302 - NATALIA CORDOBA.pdf</v>
      </c>
      <c r="H94" t="str">
        <f t="shared" si="3"/>
        <v>C:\Users\USUARIO\Macros\FACTURAS Y LISTADOS\1130 - Urbanización Alborada 1-4 PH\Agosto de 2017\Urbanización Alborada 1-4 PH - Factura del Mes de Agosto de 2017 B4 - 302 - NATALIA CORDOBA.pdf</v>
      </c>
    </row>
    <row r="95" spans="4:8" x14ac:dyDescent="0.25">
      <c r="D95" s="3">
        <f>Maestro!D95</f>
        <v>0</v>
      </c>
      <c r="E95" s="3">
        <f>Maestro!C95</f>
        <v>0</v>
      </c>
      <c r="F95" s="3">
        <f>Maestro!L95</f>
        <v>0</v>
      </c>
      <c r="G95" t="str">
        <f t="shared" si="2"/>
        <v>Urbanización Alborada 1-4 PH - Factura del Mes de Agosto de 2017 0 - 0 - 0.pdf</v>
      </c>
      <c r="H95" t="str">
        <f t="shared" si="3"/>
        <v>C:\Users\USUARIO\Macros\FACTURAS Y LISTADOS\1130 - Urbanización Alborada 1-4 PH\Agosto de 2017\Urbanización Alborada 1-4 PH - Factura del Mes de Agosto de 2017 0 - 0 - 0.pdf</v>
      </c>
    </row>
    <row r="96" spans="4:8" x14ac:dyDescent="0.25">
      <c r="D96" s="3">
        <f>Maestro!D96</f>
        <v>0</v>
      </c>
      <c r="E96" s="3">
        <f>Maestro!C96</f>
        <v>0</v>
      </c>
      <c r="F96" s="3">
        <f>Maestro!L96</f>
        <v>0</v>
      </c>
      <c r="G96" t="str">
        <f t="shared" si="2"/>
        <v>Urbanización Alborada 1-4 PH - Factura del Mes de Agosto de 2017 0 - 0 - 0.pdf</v>
      </c>
      <c r="H96" t="str">
        <f t="shared" si="3"/>
        <v>C:\Users\USUARIO\Macros\FACTURAS Y LISTADOS\1130 - Urbanización Alborada 1-4 PH\Agosto de 2017\Urbanización Alborada 1-4 PH - Factura del Mes de Agosto de 2017 0 - 0 - 0.pdf</v>
      </c>
    </row>
    <row r="97" spans="4:8" x14ac:dyDescent="0.25">
      <c r="D97" s="3">
        <f>Maestro!D97</f>
        <v>0</v>
      </c>
      <c r="E97" s="3">
        <f>Maestro!C97</f>
        <v>0</v>
      </c>
      <c r="F97" s="3">
        <f>Maestro!L97</f>
        <v>0</v>
      </c>
      <c r="G97" t="str">
        <f t="shared" si="2"/>
        <v>Urbanización Alborada 1-4 PH - Factura del Mes de Agosto de 2017 0 - 0 - 0.pdf</v>
      </c>
      <c r="H97" t="str">
        <f t="shared" si="3"/>
        <v>C:\Users\USUARIO\Macros\FACTURAS Y LISTADOS\1130 - Urbanización Alborada 1-4 PH\Agosto de 2017\Urbanización Alborada 1-4 PH - Factura del Mes de Agosto de 2017 0 - 0 - 0.pdf</v>
      </c>
    </row>
    <row r="98" spans="4:8" x14ac:dyDescent="0.25">
      <c r="D98" s="3">
        <f>Maestro!D98</f>
        <v>0</v>
      </c>
      <c r="E98" s="3">
        <f>Maestro!C98</f>
        <v>0</v>
      </c>
      <c r="F98" s="3">
        <f>Maestro!L98</f>
        <v>0</v>
      </c>
      <c r="G98" t="str">
        <f t="shared" si="2"/>
        <v>Urbanización Alborada 1-4 PH - Factura del Mes de Agosto de 2017 0 - 0 - 0.pdf</v>
      </c>
      <c r="H98" t="str">
        <f t="shared" si="3"/>
        <v>C:\Users\USUARIO\Macros\FACTURAS Y LISTADOS\1130 - Urbanización Alborada 1-4 PH\Agosto de 2017\Urbanización Alborada 1-4 PH - Factura del Mes de Agosto de 2017 0 - 0 - 0.pdf</v>
      </c>
    </row>
    <row r="99" spans="4:8" x14ac:dyDescent="0.25">
      <c r="D99" s="3">
        <f>Maestro!D99</f>
        <v>0</v>
      </c>
      <c r="E99" s="3">
        <f>Maestro!C99</f>
        <v>0</v>
      </c>
      <c r="F99" s="3">
        <f>Maestro!L99</f>
        <v>0</v>
      </c>
      <c r="G99" t="str">
        <f t="shared" si="2"/>
        <v>Urbanización Alborada 1-4 PH - Factura del Mes de Agosto de 2017 0 - 0 - 0.pdf</v>
      </c>
      <c r="H99" t="str">
        <f t="shared" si="3"/>
        <v>C:\Users\USUARIO\Macros\FACTURAS Y LISTADOS\1130 - Urbanización Alborada 1-4 PH\Agosto de 2017\Urbanización Alborada 1-4 PH - Factura del Mes de Agosto de 2017 0 - 0 - 0.pdf</v>
      </c>
    </row>
    <row r="100" spans="4:8" x14ac:dyDescent="0.25">
      <c r="D100" s="3">
        <f>Maestro!D100</f>
        <v>0</v>
      </c>
      <c r="E100" s="3">
        <f>Maestro!C100</f>
        <v>0</v>
      </c>
      <c r="F100" s="3">
        <f>Maestro!L100</f>
        <v>0</v>
      </c>
      <c r="G100" t="str">
        <f t="shared" si="2"/>
        <v>Urbanización Alborada 1-4 PH - Factura del Mes de Agosto de 2017 0 - 0 - 0.pdf</v>
      </c>
      <c r="H100" t="str">
        <f t="shared" si="3"/>
        <v>C:\Users\USUARIO\Macros\FACTURAS Y LISTADOS\1130 - Urbanización Alborada 1-4 PH\Agosto de 2017\Urbanización Alborada 1-4 PH - Factura del Mes de Agosto de 2017 0 - 0 - 0.pdf</v>
      </c>
    </row>
    <row r="101" spans="4:8" x14ac:dyDescent="0.25">
      <c r="D101" s="3">
        <f>Maestro!D101</f>
        <v>0</v>
      </c>
      <c r="E101" s="3">
        <f>Maestro!C101</f>
        <v>0</v>
      </c>
      <c r="F101" s="3">
        <f>Maestro!L101</f>
        <v>0</v>
      </c>
      <c r="G101" t="str">
        <f t="shared" si="2"/>
        <v>Urbanización Alborada 1-4 PH - Factura del Mes de Agosto de 2017 0 - 0 - 0.pdf</v>
      </c>
      <c r="H101" t="str">
        <f t="shared" si="3"/>
        <v>C:\Users\USUARIO\Macros\FACTURAS Y LISTADOS\1130 - Urbanización Alborada 1-4 PH\Agosto de 2017\Urbanización Alborada 1-4 PH - Factura del Mes de Agosto de 2017 0 - 0 - 0.pdf</v>
      </c>
    </row>
    <row r="102" spans="4:8" x14ac:dyDescent="0.25">
      <c r="D102" s="3">
        <f>Maestro!D102</f>
        <v>0</v>
      </c>
      <c r="E102" s="3">
        <f>Maestro!C102</f>
        <v>0</v>
      </c>
      <c r="F102" s="3">
        <f>Maestro!L102</f>
        <v>0</v>
      </c>
      <c r="G102" t="str">
        <f t="shared" si="2"/>
        <v>Urbanización Alborada 1-4 PH - Factura del Mes de Agosto de 2017 0 - 0 - 0.pdf</v>
      </c>
      <c r="H102" t="str">
        <f t="shared" si="3"/>
        <v>C:\Users\USUARIO\Macros\FACTURAS Y LISTADOS\1130 - Urbanización Alborada 1-4 PH\Agosto de 2017\Urbanización Alborada 1-4 PH - Factura del Mes de Agosto de 2017 0 - 0 - 0.pdf</v>
      </c>
    </row>
    <row r="103" spans="4:8" x14ac:dyDescent="0.25">
      <c r="D103" s="3">
        <f>Maestro!D103</f>
        <v>0</v>
      </c>
      <c r="E103" s="3">
        <f>Maestro!C103</f>
        <v>0</v>
      </c>
      <c r="F103" s="3">
        <f>Maestro!L103</f>
        <v>0</v>
      </c>
      <c r="G103" t="str">
        <f t="shared" si="2"/>
        <v>Urbanización Alborada 1-4 PH - Factura del Mes de Agosto de 2017 0 - 0 - 0.pdf</v>
      </c>
      <c r="H103" t="str">
        <f t="shared" si="3"/>
        <v>C:\Users\USUARIO\Macros\FACTURAS Y LISTADOS\1130 - Urbanización Alborada 1-4 PH\Agosto de 2017\Urbanización Alborada 1-4 PH - Factura del Mes de Agosto de 2017 0 - 0 - 0.pdf</v>
      </c>
    </row>
    <row r="104" spans="4:8" x14ac:dyDescent="0.25">
      <c r="D104" s="3">
        <f>Maestro!D104</f>
        <v>0</v>
      </c>
      <c r="E104" s="3">
        <f>Maestro!C104</f>
        <v>0</v>
      </c>
      <c r="F104" s="3">
        <f>Maestro!L104</f>
        <v>0</v>
      </c>
      <c r="G104" t="str">
        <f t="shared" si="2"/>
        <v>Urbanización Alborada 1-4 PH - Factura del Mes de Agosto de 2017 0 - 0 - 0.pdf</v>
      </c>
      <c r="H104" t="str">
        <f t="shared" si="3"/>
        <v>C:\Users\USUARIO\Macros\FACTURAS Y LISTADOS\1130 - Urbanización Alborada 1-4 PH\Agosto de 2017\Urbanización Alborada 1-4 PH - Factura del Mes de Agosto de 2017 0 - 0 - 0.pdf</v>
      </c>
    </row>
    <row r="105" spans="4:8" x14ac:dyDescent="0.25">
      <c r="D105" s="3">
        <f>Maestro!D105</f>
        <v>0</v>
      </c>
      <c r="E105" s="3">
        <f>Maestro!C105</f>
        <v>0</v>
      </c>
      <c r="F105" s="3">
        <f>Maestro!L105</f>
        <v>0</v>
      </c>
      <c r="G105" t="str">
        <f t="shared" si="2"/>
        <v>Urbanización Alborada 1-4 PH - Factura del Mes de Agosto de 2017 0 - 0 - 0.pdf</v>
      </c>
      <c r="H105" t="str">
        <f t="shared" si="3"/>
        <v>C:\Users\USUARIO\Macros\FACTURAS Y LISTADOS\1130 - Urbanización Alborada 1-4 PH\Agosto de 2017\Urbanización Alborada 1-4 PH - Factura del Mes de Agosto de 2017 0 - 0 - 0.pdf</v>
      </c>
    </row>
    <row r="106" spans="4:8" x14ac:dyDescent="0.25">
      <c r="D106" s="3">
        <f>Maestro!D106</f>
        <v>0</v>
      </c>
      <c r="E106" s="3">
        <f>Maestro!C106</f>
        <v>0</v>
      </c>
      <c r="F106" s="3">
        <f>Maestro!L106</f>
        <v>0</v>
      </c>
      <c r="G106" t="str">
        <f t="shared" si="2"/>
        <v>Urbanización Alborada 1-4 PH - Factura del Mes de Agosto de 2017 0 - 0 - 0.pdf</v>
      </c>
      <c r="H106" t="str">
        <f t="shared" si="3"/>
        <v>C:\Users\USUARIO\Macros\FACTURAS Y LISTADOS\1130 - Urbanización Alborada 1-4 PH\Agosto de 2017\Urbanización Alborada 1-4 PH - Factura del Mes de Agosto de 2017 0 - 0 - 0.pdf</v>
      </c>
    </row>
    <row r="107" spans="4:8" x14ac:dyDescent="0.25">
      <c r="D107" s="3">
        <f>Maestro!D107</f>
        <v>0</v>
      </c>
      <c r="E107" s="3">
        <f>Maestro!C107</f>
        <v>0</v>
      </c>
      <c r="F107" s="3">
        <f>Maestro!L107</f>
        <v>0</v>
      </c>
      <c r="G107" t="str">
        <f t="shared" si="2"/>
        <v>Urbanización Alborada 1-4 PH - Factura del Mes de Agosto de 2017 0 - 0 - 0.pdf</v>
      </c>
      <c r="H107" t="str">
        <f t="shared" si="3"/>
        <v>C:\Users\USUARIO\Macros\FACTURAS Y LISTADOS\1130 - Urbanización Alborada 1-4 PH\Agosto de 2017\Urbanización Alborada 1-4 PH - Factura del Mes de Agosto de 2017 0 - 0 - 0.pdf</v>
      </c>
    </row>
    <row r="108" spans="4:8" x14ac:dyDescent="0.25">
      <c r="D108" s="3">
        <f>Maestro!D108</f>
        <v>0</v>
      </c>
      <c r="E108" s="3">
        <f>Maestro!C108</f>
        <v>0</v>
      </c>
      <c r="F108" s="3">
        <f>Maestro!L108</f>
        <v>0</v>
      </c>
      <c r="G108" t="str">
        <f t="shared" si="2"/>
        <v>Urbanización Alborada 1-4 PH - Factura del Mes de Agosto de 2017 0 - 0 - 0.pdf</v>
      </c>
      <c r="H108" t="str">
        <f t="shared" si="3"/>
        <v>C:\Users\USUARIO\Macros\FACTURAS Y LISTADOS\1130 - Urbanización Alborada 1-4 PH\Agosto de 2017\Urbanización Alborada 1-4 PH - Factura del Mes de Agosto de 2017 0 - 0 - 0.pdf</v>
      </c>
    </row>
    <row r="109" spans="4:8" x14ac:dyDescent="0.25">
      <c r="D109" s="3">
        <f>Maestro!D109</f>
        <v>0</v>
      </c>
      <c r="E109" s="3">
        <f>Maestro!C109</f>
        <v>0</v>
      </c>
      <c r="F109" s="3">
        <f>Maestro!L109</f>
        <v>0</v>
      </c>
      <c r="G109" t="str">
        <f t="shared" si="2"/>
        <v>Urbanización Alborada 1-4 PH - Factura del Mes de Agosto de 2017 0 - 0 - 0.pdf</v>
      </c>
      <c r="H109" t="str">
        <f t="shared" si="3"/>
        <v>C:\Users\USUARIO\Macros\FACTURAS Y LISTADOS\1130 - Urbanización Alborada 1-4 PH\Agosto de 2017\Urbanización Alborada 1-4 PH - Factura del Mes de Agosto de 2017 0 - 0 - 0.pdf</v>
      </c>
    </row>
    <row r="110" spans="4:8" x14ac:dyDescent="0.25">
      <c r="D110" s="3">
        <f>Maestro!D110</f>
        <v>0</v>
      </c>
      <c r="E110" s="3">
        <f>Maestro!C110</f>
        <v>0</v>
      </c>
      <c r="F110" s="3">
        <f>Maestro!L110</f>
        <v>0</v>
      </c>
      <c r="G110" t="str">
        <f t="shared" si="2"/>
        <v>Urbanización Alborada 1-4 PH - Factura del Mes de Agosto de 2017 0 - 0 - 0.pdf</v>
      </c>
      <c r="H110" t="str">
        <f t="shared" si="3"/>
        <v>C:\Users\USUARIO\Macros\FACTURAS Y LISTADOS\1130 - Urbanización Alborada 1-4 PH\Agosto de 2017\Urbanización Alborada 1-4 PH - Factura del Mes de Agosto de 2017 0 - 0 - 0.pdf</v>
      </c>
    </row>
    <row r="111" spans="4:8" x14ac:dyDescent="0.25">
      <c r="D111" s="3">
        <f>Maestro!D111</f>
        <v>0</v>
      </c>
      <c r="E111" s="3">
        <f>Maestro!C111</f>
        <v>0</v>
      </c>
      <c r="F111" s="3">
        <f>Maestro!L111</f>
        <v>0</v>
      </c>
      <c r="G111" t="str">
        <f t="shared" si="2"/>
        <v>Urbanización Alborada 1-4 PH - Factura del Mes de Agosto de 2017 0 - 0 - 0.pdf</v>
      </c>
      <c r="H111" t="str">
        <f t="shared" si="3"/>
        <v>C:\Users\USUARIO\Macros\FACTURAS Y LISTADOS\1130 - Urbanización Alborada 1-4 PH\Agosto de 2017\Urbanización Alborada 1-4 PH - Factura del Mes de Agosto de 2017 0 - 0 - 0.pdf</v>
      </c>
    </row>
    <row r="112" spans="4:8" x14ac:dyDescent="0.25">
      <c r="D112" s="3">
        <f>Maestro!D112</f>
        <v>0</v>
      </c>
      <c r="E112" s="3">
        <f>Maestro!C112</f>
        <v>0</v>
      </c>
      <c r="F112" s="3">
        <f>Maestro!L112</f>
        <v>0</v>
      </c>
      <c r="G112" t="str">
        <f t="shared" si="2"/>
        <v>Urbanización Alborada 1-4 PH - Factura del Mes de Agosto de 2017 0 - 0 - 0.pdf</v>
      </c>
      <c r="H112" t="str">
        <f t="shared" si="3"/>
        <v>C:\Users\USUARIO\Macros\FACTURAS Y LISTADOS\1130 - Urbanización Alborada 1-4 PH\Agosto de 2017\Urbanización Alborada 1-4 PH - Factura del Mes de Agosto de 2017 0 - 0 - 0.pdf</v>
      </c>
    </row>
    <row r="113" spans="4:8" x14ac:dyDescent="0.25">
      <c r="D113" s="3">
        <f>Maestro!D113</f>
        <v>0</v>
      </c>
      <c r="E113" s="3">
        <f>Maestro!C113</f>
        <v>0</v>
      </c>
      <c r="F113" s="3">
        <f>Maestro!L113</f>
        <v>0</v>
      </c>
      <c r="G113" t="str">
        <f t="shared" si="2"/>
        <v>Urbanización Alborada 1-4 PH - Factura del Mes de Agosto de 2017 0 - 0 - 0.pdf</v>
      </c>
      <c r="H113" t="str">
        <f t="shared" si="3"/>
        <v>C:\Users\USUARIO\Macros\FACTURAS Y LISTADOS\1130 - Urbanización Alborada 1-4 PH\Agosto de 2017\Urbanización Alborada 1-4 PH - Factura del Mes de Agosto de 2017 0 - 0 - 0.pdf</v>
      </c>
    </row>
    <row r="114" spans="4:8" x14ac:dyDescent="0.25">
      <c r="D114" s="3">
        <f>Maestro!D114</f>
        <v>0</v>
      </c>
      <c r="E114" s="3">
        <f>Maestro!C114</f>
        <v>0</v>
      </c>
      <c r="F114" s="3">
        <f>Maestro!L114</f>
        <v>0</v>
      </c>
      <c r="G114" t="str">
        <f t="shared" si="2"/>
        <v>Urbanización Alborada 1-4 PH - Factura del Mes de Agosto de 2017 0 - 0 - 0.pdf</v>
      </c>
      <c r="H114" t="str">
        <f t="shared" si="3"/>
        <v>C:\Users\USUARIO\Macros\FACTURAS Y LISTADOS\1130 - Urbanización Alborada 1-4 PH\Agosto de 2017\Urbanización Alborada 1-4 PH - Factura del Mes de Agosto de 2017 0 - 0 - 0.pdf</v>
      </c>
    </row>
    <row r="115" spans="4:8" x14ac:dyDescent="0.25">
      <c r="D115" s="3">
        <f>Maestro!D115</f>
        <v>0</v>
      </c>
      <c r="E115" s="3">
        <f>Maestro!C115</f>
        <v>0</v>
      </c>
      <c r="F115" s="3">
        <f>Maestro!L115</f>
        <v>0</v>
      </c>
      <c r="G115" t="str">
        <f t="shared" si="2"/>
        <v>Urbanización Alborada 1-4 PH - Factura del Mes de Agosto de 2017 0 - 0 - 0.pdf</v>
      </c>
      <c r="H115" t="str">
        <f t="shared" si="3"/>
        <v>C:\Users\USUARIO\Macros\FACTURAS Y LISTADOS\1130 - Urbanización Alborada 1-4 PH\Agosto de 2017\Urbanización Alborada 1-4 PH - Factura del Mes de Agosto de 2017 0 - 0 - 0.pdf</v>
      </c>
    </row>
    <row r="116" spans="4:8" x14ac:dyDescent="0.25">
      <c r="D116" s="3">
        <f>Maestro!D116</f>
        <v>0</v>
      </c>
      <c r="E116" s="3">
        <f>Maestro!C116</f>
        <v>0</v>
      </c>
      <c r="F116" s="3">
        <f>Maestro!L116</f>
        <v>0</v>
      </c>
      <c r="G116" t="str">
        <f t="shared" si="2"/>
        <v>Urbanización Alborada 1-4 PH - Factura del Mes de Agosto de 2017 0 - 0 - 0.pdf</v>
      </c>
      <c r="H116" t="str">
        <f t="shared" si="3"/>
        <v>C:\Users\USUARIO\Macros\FACTURAS Y LISTADOS\1130 - Urbanización Alborada 1-4 PH\Agosto de 2017\Urbanización Alborada 1-4 PH - Factura del Mes de Agosto de 2017 0 - 0 - 0.pdf</v>
      </c>
    </row>
    <row r="117" spans="4:8" x14ac:dyDescent="0.25">
      <c r="D117" s="3">
        <f>Maestro!D117</f>
        <v>0</v>
      </c>
      <c r="E117" s="3">
        <f>Maestro!C117</f>
        <v>0</v>
      </c>
      <c r="F117" s="3">
        <f>Maestro!L117</f>
        <v>0</v>
      </c>
      <c r="G117" t="str">
        <f t="shared" si="2"/>
        <v>Urbanización Alborada 1-4 PH - Factura del Mes de Agosto de 2017 0 - 0 - 0.pdf</v>
      </c>
      <c r="H117" t="str">
        <f t="shared" si="3"/>
        <v>C:\Users\USUARIO\Macros\FACTURAS Y LISTADOS\1130 - Urbanización Alborada 1-4 PH\Agosto de 2017\Urbanización Alborada 1-4 PH - Factura del Mes de Agosto de 2017 0 - 0 - 0.pdf</v>
      </c>
    </row>
    <row r="118" spans="4:8" x14ac:dyDescent="0.25">
      <c r="D118" s="3">
        <f>Maestro!D118</f>
        <v>0</v>
      </c>
      <c r="E118" s="3">
        <f>Maestro!C118</f>
        <v>0</v>
      </c>
      <c r="F118" s="3">
        <f>Maestro!L118</f>
        <v>0</v>
      </c>
      <c r="G118" t="str">
        <f t="shared" si="2"/>
        <v>Urbanización Alborada 1-4 PH - Factura del Mes de Agosto de 2017 0 - 0 - 0.pdf</v>
      </c>
      <c r="H118" t="str">
        <f t="shared" si="3"/>
        <v>C:\Users\USUARIO\Macros\FACTURAS Y LISTADOS\1130 - Urbanización Alborada 1-4 PH\Agosto de 2017\Urbanización Alborada 1-4 PH - Factura del Mes de Agosto de 2017 0 - 0 - 0.pdf</v>
      </c>
    </row>
    <row r="119" spans="4:8" x14ac:dyDescent="0.25">
      <c r="D119" s="3">
        <f>Maestro!D119</f>
        <v>0</v>
      </c>
      <c r="E119" s="3">
        <f>Maestro!C119</f>
        <v>0</v>
      </c>
      <c r="F119" s="3">
        <f>Maestro!L119</f>
        <v>0</v>
      </c>
      <c r="G119" t="str">
        <f t="shared" si="2"/>
        <v>Urbanización Alborada 1-4 PH - Factura del Mes de Agosto de 2017 0 - 0 - 0.pdf</v>
      </c>
      <c r="H119" t="str">
        <f t="shared" si="3"/>
        <v>C:\Users\USUARIO\Macros\FACTURAS Y LISTADOS\1130 - Urbanización Alborada 1-4 PH\Agosto de 2017\Urbanización Alborada 1-4 PH - Factura del Mes de Agosto de 2017 0 - 0 - 0.pdf</v>
      </c>
    </row>
    <row r="120" spans="4:8" x14ac:dyDescent="0.25">
      <c r="D120" s="3">
        <f>Maestro!D120</f>
        <v>0</v>
      </c>
      <c r="E120" s="3">
        <f>Maestro!C120</f>
        <v>0</v>
      </c>
      <c r="F120" s="3">
        <f>Maestro!L120</f>
        <v>0</v>
      </c>
      <c r="G120" t="str">
        <f t="shared" si="2"/>
        <v>Urbanización Alborada 1-4 PH - Factura del Mes de Agosto de 2017 0 - 0 - 0.pdf</v>
      </c>
      <c r="H120" t="str">
        <f t="shared" si="3"/>
        <v>C:\Users\USUARIO\Macros\FACTURAS Y LISTADOS\1130 - Urbanización Alborada 1-4 PH\Agosto de 2017\Urbanización Alborada 1-4 PH - Factura del Mes de Agosto de 2017 0 - 0 - 0.pdf</v>
      </c>
    </row>
    <row r="121" spans="4:8" x14ac:dyDescent="0.25">
      <c r="D121" s="3">
        <f>Maestro!D121</f>
        <v>0</v>
      </c>
      <c r="E121" s="3">
        <f>Maestro!C121</f>
        <v>0</v>
      </c>
      <c r="F121" s="3">
        <f>Maestro!L121</f>
        <v>0</v>
      </c>
      <c r="G121" t="str">
        <f t="shared" si="2"/>
        <v>Urbanización Alborada 1-4 PH - Factura del Mes de Agosto de 2017 0 - 0 - 0.pdf</v>
      </c>
      <c r="H121" t="str">
        <f t="shared" si="3"/>
        <v>C:\Users\USUARIO\Macros\FACTURAS Y LISTADOS\1130 - Urbanización Alborada 1-4 PH\Agosto de 2017\Urbanización Alborada 1-4 PH - Factura del Mes de Agosto de 2017 0 - 0 - 0.pdf</v>
      </c>
    </row>
    <row r="122" spans="4:8" x14ac:dyDescent="0.25">
      <c r="D122" s="3">
        <f>Maestro!D122</f>
        <v>0</v>
      </c>
      <c r="E122" s="3">
        <f>Maestro!C122</f>
        <v>0</v>
      </c>
      <c r="F122" s="3">
        <f>Maestro!L122</f>
        <v>0</v>
      </c>
      <c r="G122" t="str">
        <f t="shared" si="2"/>
        <v>Urbanización Alborada 1-4 PH - Factura del Mes de Agosto de 2017 0 - 0 - 0.pdf</v>
      </c>
      <c r="H122" t="str">
        <f t="shared" si="3"/>
        <v>C:\Users\USUARIO\Macros\FACTURAS Y LISTADOS\1130 - Urbanización Alborada 1-4 PH\Agosto de 2017\Urbanización Alborada 1-4 PH - Factura del Mes de Agosto de 2017 0 - 0 - 0.pdf</v>
      </c>
    </row>
    <row r="123" spans="4:8" x14ac:dyDescent="0.25">
      <c r="D123" s="3">
        <f>Maestro!D123</f>
        <v>0</v>
      </c>
      <c r="E123" s="3">
        <f>Maestro!C123</f>
        <v>0</v>
      </c>
      <c r="F123" s="3">
        <f>Maestro!L123</f>
        <v>0</v>
      </c>
      <c r="G123" t="str">
        <f t="shared" si="2"/>
        <v>Urbanización Alborada 1-4 PH - Factura del Mes de Agosto de 2017 0 - 0 - 0.pdf</v>
      </c>
      <c r="H123" t="str">
        <f t="shared" si="3"/>
        <v>C:\Users\USUARIO\Macros\FACTURAS Y LISTADOS\1130 - Urbanización Alborada 1-4 PH\Agosto de 2017\Urbanización Alborada 1-4 PH - Factura del Mes de Agosto de 2017 0 - 0 - 0.pdf</v>
      </c>
    </row>
    <row r="124" spans="4:8" x14ac:dyDescent="0.25">
      <c r="D124" s="3">
        <f>Maestro!D124</f>
        <v>0</v>
      </c>
      <c r="E124" s="3">
        <f>Maestro!C124</f>
        <v>0</v>
      </c>
      <c r="F124" s="3">
        <f>Maestro!L124</f>
        <v>0</v>
      </c>
      <c r="G124" t="str">
        <f t="shared" si="2"/>
        <v>Urbanización Alborada 1-4 PH - Factura del Mes de Agosto de 2017 0 - 0 - 0.pdf</v>
      </c>
      <c r="H124" t="str">
        <f t="shared" si="3"/>
        <v>C:\Users\USUARIO\Macros\FACTURAS Y LISTADOS\1130 - Urbanización Alborada 1-4 PH\Agosto de 2017\Urbanización Alborada 1-4 PH - Factura del Mes de Agosto de 2017 0 - 0 - 0.pdf</v>
      </c>
    </row>
    <row r="125" spans="4:8" x14ac:dyDescent="0.25">
      <c r="D125" s="3">
        <f>Maestro!D125</f>
        <v>0</v>
      </c>
      <c r="E125" s="3">
        <f>Maestro!C125</f>
        <v>0</v>
      </c>
      <c r="F125" s="3">
        <f>Maestro!L125</f>
        <v>0</v>
      </c>
      <c r="G125" t="str">
        <f t="shared" si="2"/>
        <v>Urbanización Alborada 1-4 PH - Factura del Mes de Agosto de 2017 0 - 0 - 0.pdf</v>
      </c>
      <c r="H125" t="str">
        <f t="shared" si="3"/>
        <v>C:\Users\USUARIO\Macros\FACTURAS Y LISTADOS\1130 - Urbanización Alborada 1-4 PH\Agosto de 2017\Urbanización Alborada 1-4 PH - Factura del Mes de Agosto de 2017 0 - 0 - 0.pdf</v>
      </c>
    </row>
    <row r="126" spans="4:8" x14ac:dyDescent="0.25">
      <c r="D126" s="3">
        <f>Maestro!D126</f>
        <v>0</v>
      </c>
      <c r="E126" s="3">
        <f>Maestro!C126</f>
        <v>0</v>
      </c>
      <c r="F126" s="3">
        <f>Maestro!L126</f>
        <v>0</v>
      </c>
      <c r="G126" t="str">
        <f t="shared" si="2"/>
        <v>Urbanización Alborada 1-4 PH - Factura del Mes de Agosto de 2017 0 - 0 - 0.pdf</v>
      </c>
      <c r="H126" t="str">
        <f t="shared" si="3"/>
        <v>C:\Users\USUARIO\Macros\FACTURAS Y LISTADOS\1130 - Urbanización Alborada 1-4 PH\Agosto de 2017\Urbanización Alborada 1-4 PH - Factura del Mes de Agosto de 2017 0 - 0 - 0.pdf</v>
      </c>
    </row>
    <row r="127" spans="4:8" x14ac:dyDescent="0.25">
      <c r="D127" s="3">
        <f>Maestro!D127</f>
        <v>0</v>
      </c>
      <c r="E127" s="3">
        <f>Maestro!C127</f>
        <v>0</v>
      </c>
      <c r="F127" s="3">
        <f>Maestro!L127</f>
        <v>0</v>
      </c>
      <c r="G127" t="str">
        <f t="shared" si="2"/>
        <v>Urbanización Alborada 1-4 PH - Factura del Mes de Agosto de 2017 0 - 0 - 0.pdf</v>
      </c>
      <c r="H127" t="str">
        <f t="shared" si="3"/>
        <v>C:\Users\USUARIO\Macros\FACTURAS Y LISTADOS\1130 - Urbanización Alborada 1-4 PH\Agosto de 2017\Urbanización Alborada 1-4 PH - Factura del Mes de Agosto de 2017 0 - 0 - 0.pdf</v>
      </c>
    </row>
    <row r="128" spans="4:8" x14ac:dyDescent="0.25">
      <c r="D128" s="3">
        <f>Maestro!D128</f>
        <v>0</v>
      </c>
      <c r="E128" s="3">
        <f>Maestro!C128</f>
        <v>0</v>
      </c>
      <c r="F128" s="3">
        <f>Maestro!L128</f>
        <v>0</v>
      </c>
      <c r="G128" t="str">
        <f t="shared" si="2"/>
        <v>Urbanización Alborada 1-4 PH - Factura del Mes de Agosto de 2017 0 - 0 - 0.pdf</v>
      </c>
      <c r="H128" t="str">
        <f t="shared" si="3"/>
        <v>C:\Users\USUARIO\Macros\FACTURAS Y LISTADOS\1130 - Urbanización Alborada 1-4 PH\Agosto de 2017\Urbanización Alborada 1-4 PH - Factura del Mes de Agosto de 2017 0 - 0 - 0.pdf</v>
      </c>
    </row>
    <row r="129" spans="4:8" x14ac:dyDescent="0.25">
      <c r="D129" s="3">
        <f>Maestro!D129</f>
        <v>0</v>
      </c>
      <c r="E129" s="3">
        <f>Maestro!C129</f>
        <v>0</v>
      </c>
      <c r="F129" s="3">
        <f>Maestro!L129</f>
        <v>0</v>
      </c>
      <c r="G129" t="str">
        <f t="shared" si="2"/>
        <v>Urbanización Alborada 1-4 PH - Factura del Mes de Agosto de 2017 0 - 0 - 0.pdf</v>
      </c>
      <c r="H129" t="str">
        <f t="shared" si="3"/>
        <v>C:\Users\USUARIO\Macros\FACTURAS Y LISTADOS\1130 - Urbanización Alborada 1-4 PH\Agosto de 2017\Urbanización Alborada 1-4 PH - Factura del Mes de Agosto de 2017 0 - 0 - 0.pdf</v>
      </c>
    </row>
    <row r="130" spans="4:8" x14ac:dyDescent="0.25">
      <c r="D130" s="3">
        <f>Maestro!D130</f>
        <v>0</v>
      </c>
      <c r="E130" s="3">
        <f>Maestro!C130</f>
        <v>0</v>
      </c>
      <c r="F130" s="3">
        <f>Maestro!L130</f>
        <v>0</v>
      </c>
      <c r="G130" t="str">
        <f t="shared" ref="G130:G193" si="4">CONCATENATE($G$1,$A$6,$A$15,$A$3,$A$1,$A$4,$B$1,$A$5,$A$7,E130,$A$6,D130, $A$6, F130,$A$8 )</f>
        <v>Urbanización Alborada 1-4 PH - Factura del Mes de Agosto de 2017 0 - 0 - 0.pdf</v>
      </c>
      <c r="H130" t="str">
        <f t="shared" ref="H130:H193" si="5">CONCATENATE($H$1,$A$10,$A$1,$A$4,$B$1,$A$10,G130)</f>
        <v>C:\Users\USUARIO\Macros\FACTURAS Y LISTADOS\1130 - Urbanización Alborada 1-4 PH\Agosto de 2017\Urbanización Alborada 1-4 PH - Factura del Mes de Agosto de 2017 0 - 0 - 0.pdf</v>
      </c>
    </row>
    <row r="131" spans="4:8" x14ac:dyDescent="0.25">
      <c r="D131" s="3">
        <f>Maestro!D131</f>
        <v>0</v>
      </c>
      <c r="E131" s="3">
        <f>Maestro!C131</f>
        <v>0</v>
      </c>
      <c r="F131" s="3">
        <f>Maestro!L131</f>
        <v>0</v>
      </c>
      <c r="G131" t="str">
        <f t="shared" si="4"/>
        <v>Urbanización Alborada 1-4 PH - Factura del Mes de Agosto de 2017 0 - 0 - 0.pdf</v>
      </c>
      <c r="H131" t="str">
        <f t="shared" si="5"/>
        <v>C:\Users\USUARIO\Macros\FACTURAS Y LISTADOS\1130 - Urbanización Alborada 1-4 PH\Agosto de 2017\Urbanización Alborada 1-4 PH - Factura del Mes de Agosto de 2017 0 - 0 - 0.pdf</v>
      </c>
    </row>
    <row r="132" spans="4:8" x14ac:dyDescent="0.25">
      <c r="D132" s="3">
        <f>Maestro!D132</f>
        <v>0</v>
      </c>
      <c r="E132" s="3">
        <f>Maestro!C132</f>
        <v>0</v>
      </c>
      <c r="F132" s="3">
        <f>Maestro!L132</f>
        <v>0</v>
      </c>
      <c r="G132" t="str">
        <f t="shared" si="4"/>
        <v>Urbanización Alborada 1-4 PH - Factura del Mes de Agosto de 2017 0 - 0 - 0.pdf</v>
      </c>
      <c r="H132" t="str">
        <f t="shared" si="5"/>
        <v>C:\Users\USUARIO\Macros\FACTURAS Y LISTADOS\1130 - Urbanización Alborada 1-4 PH\Agosto de 2017\Urbanización Alborada 1-4 PH - Factura del Mes de Agosto de 2017 0 - 0 - 0.pdf</v>
      </c>
    </row>
    <row r="133" spans="4:8" x14ac:dyDescent="0.25">
      <c r="D133" s="3">
        <f>Maestro!D133</f>
        <v>0</v>
      </c>
      <c r="E133" s="3">
        <f>Maestro!C133</f>
        <v>0</v>
      </c>
      <c r="F133" s="3">
        <f>Maestro!L133</f>
        <v>0</v>
      </c>
      <c r="G133" t="str">
        <f t="shared" si="4"/>
        <v>Urbanización Alborada 1-4 PH - Factura del Mes de Agosto de 2017 0 - 0 - 0.pdf</v>
      </c>
      <c r="H133" t="str">
        <f t="shared" si="5"/>
        <v>C:\Users\USUARIO\Macros\FACTURAS Y LISTADOS\1130 - Urbanización Alborada 1-4 PH\Agosto de 2017\Urbanización Alborada 1-4 PH - Factura del Mes de Agosto de 2017 0 - 0 - 0.pdf</v>
      </c>
    </row>
    <row r="134" spans="4:8" x14ac:dyDescent="0.25">
      <c r="D134" s="3">
        <f>Maestro!D134</f>
        <v>0</v>
      </c>
      <c r="E134" s="3">
        <f>Maestro!C134</f>
        <v>0</v>
      </c>
      <c r="F134" s="3">
        <f>Maestro!L134</f>
        <v>0</v>
      </c>
      <c r="G134" t="str">
        <f t="shared" si="4"/>
        <v>Urbanización Alborada 1-4 PH - Factura del Mes de Agosto de 2017 0 - 0 - 0.pdf</v>
      </c>
      <c r="H134" t="str">
        <f t="shared" si="5"/>
        <v>C:\Users\USUARIO\Macros\FACTURAS Y LISTADOS\1130 - Urbanización Alborada 1-4 PH\Agosto de 2017\Urbanización Alborada 1-4 PH - Factura del Mes de Agosto de 2017 0 - 0 - 0.pdf</v>
      </c>
    </row>
    <row r="135" spans="4:8" x14ac:dyDescent="0.25">
      <c r="D135" s="3">
        <f>Maestro!D135</f>
        <v>0</v>
      </c>
      <c r="E135" s="3">
        <f>Maestro!C135</f>
        <v>0</v>
      </c>
      <c r="F135" s="3">
        <f>Maestro!L135</f>
        <v>0</v>
      </c>
      <c r="G135" t="str">
        <f t="shared" si="4"/>
        <v>Urbanización Alborada 1-4 PH - Factura del Mes de Agosto de 2017 0 - 0 - 0.pdf</v>
      </c>
      <c r="H135" t="str">
        <f t="shared" si="5"/>
        <v>C:\Users\USUARIO\Macros\FACTURAS Y LISTADOS\1130 - Urbanización Alborada 1-4 PH\Agosto de 2017\Urbanización Alborada 1-4 PH - Factura del Mes de Agosto de 2017 0 - 0 - 0.pdf</v>
      </c>
    </row>
    <row r="136" spans="4:8" x14ac:dyDescent="0.25">
      <c r="D136" s="3">
        <f>Maestro!D136</f>
        <v>0</v>
      </c>
      <c r="E136" s="3">
        <f>Maestro!C136</f>
        <v>0</v>
      </c>
      <c r="F136" s="3">
        <f>Maestro!L136</f>
        <v>0</v>
      </c>
      <c r="G136" t="str">
        <f t="shared" si="4"/>
        <v>Urbanización Alborada 1-4 PH - Factura del Mes de Agosto de 2017 0 - 0 - 0.pdf</v>
      </c>
      <c r="H136" t="str">
        <f t="shared" si="5"/>
        <v>C:\Users\USUARIO\Macros\FACTURAS Y LISTADOS\1130 - Urbanización Alborada 1-4 PH\Agosto de 2017\Urbanización Alborada 1-4 PH - Factura del Mes de Agosto de 2017 0 - 0 - 0.pdf</v>
      </c>
    </row>
    <row r="137" spans="4:8" x14ac:dyDescent="0.25">
      <c r="D137" s="3">
        <f>Maestro!D137</f>
        <v>0</v>
      </c>
      <c r="E137" s="3">
        <f>Maestro!C137</f>
        <v>0</v>
      </c>
      <c r="F137" s="3">
        <f>Maestro!L137</f>
        <v>0</v>
      </c>
      <c r="G137" t="str">
        <f t="shared" si="4"/>
        <v>Urbanización Alborada 1-4 PH - Factura del Mes de Agosto de 2017 0 - 0 - 0.pdf</v>
      </c>
      <c r="H137" t="str">
        <f t="shared" si="5"/>
        <v>C:\Users\USUARIO\Macros\FACTURAS Y LISTADOS\1130 - Urbanización Alborada 1-4 PH\Agosto de 2017\Urbanización Alborada 1-4 PH - Factura del Mes de Agosto de 2017 0 - 0 - 0.pdf</v>
      </c>
    </row>
    <row r="138" spans="4:8" x14ac:dyDescent="0.25">
      <c r="D138" s="3">
        <f>Maestro!D138</f>
        <v>0</v>
      </c>
      <c r="E138" s="3">
        <f>Maestro!C138</f>
        <v>0</v>
      </c>
      <c r="F138" s="3">
        <f>Maestro!L138</f>
        <v>0</v>
      </c>
      <c r="G138" t="str">
        <f t="shared" si="4"/>
        <v>Urbanización Alborada 1-4 PH - Factura del Mes de Agosto de 2017 0 - 0 - 0.pdf</v>
      </c>
      <c r="H138" t="str">
        <f t="shared" si="5"/>
        <v>C:\Users\USUARIO\Macros\FACTURAS Y LISTADOS\1130 - Urbanización Alborada 1-4 PH\Agosto de 2017\Urbanización Alborada 1-4 PH - Factura del Mes de Agosto de 2017 0 - 0 - 0.pdf</v>
      </c>
    </row>
    <row r="139" spans="4:8" x14ac:dyDescent="0.25">
      <c r="D139" s="3">
        <f>Maestro!D139</f>
        <v>0</v>
      </c>
      <c r="E139" s="3">
        <f>Maestro!C139</f>
        <v>0</v>
      </c>
      <c r="F139" s="3">
        <f>Maestro!L139</f>
        <v>0</v>
      </c>
      <c r="G139" t="str">
        <f t="shared" si="4"/>
        <v>Urbanización Alborada 1-4 PH - Factura del Mes de Agosto de 2017 0 - 0 - 0.pdf</v>
      </c>
      <c r="H139" t="str">
        <f t="shared" si="5"/>
        <v>C:\Users\USUARIO\Macros\FACTURAS Y LISTADOS\1130 - Urbanización Alborada 1-4 PH\Agosto de 2017\Urbanización Alborada 1-4 PH - Factura del Mes de Agosto de 2017 0 - 0 - 0.pdf</v>
      </c>
    </row>
    <row r="140" spans="4:8" x14ac:dyDescent="0.25">
      <c r="D140" s="3">
        <f>Maestro!D140</f>
        <v>0</v>
      </c>
      <c r="E140" s="3">
        <f>Maestro!C140</f>
        <v>0</v>
      </c>
      <c r="F140" s="3">
        <f>Maestro!L140</f>
        <v>0</v>
      </c>
      <c r="G140" t="str">
        <f t="shared" si="4"/>
        <v>Urbanización Alborada 1-4 PH - Factura del Mes de Agosto de 2017 0 - 0 - 0.pdf</v>
      </c>
      <c r="H140" t="str">
        <f t="shared" si="5"/>
        <v>C:\Users\USUARIO\Macros\FACTURAS Y LISTADOS\1130 - Urbanización Alborada 1-4 PH\Agosto de 2017\Urbanización Alborada 1-4 PH - Factura del Mes de Agosto de 2017 0 - 0 - 0.pdf</v>
      </c>
    </row>
    <row r="141" spans="4:8" x14ac:dyDescent="0.25">
      <c r="D141" s="3">
        <f>Maestro!D141</f>
        <v>0</v>
      </c>
      <c r="E141" s="3">
        <f>Maestro!C141</f>
        <v>0</v>
      </c>
      <c r="F141" s="3">
        <f>Maestro!L141</f>
        <v>0</v>
      </c>
      <c r="G141" t="str">
        <f t="shared" si="4"/>
        <v>Urbanización Alborada 1-4 PH - Factura del Mes de Agosto de 2017 0 - 0 - 0.pdf</v>
      </c>
      <c r="H141" t="str">
        <f t="shared" si="5"/>
        <v>C:\Users\USUARIO\Macros\FACTURAS Y LISTADOS\1130 - Urbanización Alborada 1-4 PH\Agosto de 2017\Urbanización Alborada 1-4 PH - Factura del Mes de Agosto de 2017 0 - 0 - 0.pdf</v>
      </c>
    </row>
    <row r="142" spans="4:8" x14ac:dyDescent="0.25">
      <c r="D142" s="3">
        <f>Maestro!D142</f>
        <v>0</v>
      </c>
      <c r="E142" s="3">
        <f>Maestro!C142</f>
        <v>0</v>
      </c>
      <c r="F142" s="3">
        <f>Maestro!L142</f>
        <v>0</v>
      </c>
      <c r="G142" t="str">
        <f t="shared" si="4"/>
        <v>Urbanización Alborada 1-4 PH - Factura del Mes de Agosto de 2017 0 - 0 - 0.pdf</v>
      </c>
      <c r="H142" t="str">
        <f t="shared" si="5"/>
        <v>C:\Users\USUARIO\Macros\FACTURAS Y LISTADOS\1130 - Urbanización Alborada 1-4 PH\Agosto de 2017\Urbanización Alborada 1-4 PH - Factura del Mes de Agosto de 2017 0 - 0 - 0.pdf</v>
      </c>
    </row>
    <row r="143" spans="4:8" x14ac:dyDescent="0.25">
      <c r="D143" s="3">
        <f>Maestro!D143</f>
        <v>0</v>
      </c>
      <c r="E143" s="3">
        <f>Maestro!C143</f>
        <v>0</v>
      </c>
      <c r="F143" s="3">
        <f>Maestro!L143</f>
        <v>0</v>
      </c>
      <c r="G143" t="str">
        <f t="shared" si="4"/>
        <v>Urbanización Alborada 1-4 PH - Factura del Mes de Agosto de 2017 0 - 0 - 0.pdf</v>
      </c>
      <c r="H143" t="str">
        <f t="shared" si="5"/>
        <v>C:\Users\USUARIO\Macros\FACTURAS Y LISTADOS\1130 - Urbanización Alborada 1-4 PH\Agosto de 2017\Urbanización Alborada 1-4 PH - Factura del Mes de Agosto de 2017 0 - 0 - 0.pdf</v>
      </c>
    </row>
    <row r="144" spans="4:8" x14ac:dyDescent="0.25">
      <c r="D144" s="3">
        <f>Maestro!D144</f>
        <v>0</v>
      </c>
      <c r="E144" s="3">
        <f>Maestro!C144</f>
        <v>0</v>
      </c>
      <c r="F144" s="3">
        <f>Maestro!L144</f>
        <v>0</v>
      </c>
      <c r="G144" t="str">
        <f t="shared" si="4"/>
        <v>Urbanización Alborada 1-4 PH - Factura del Mes de Agosto de 2017 0 - 0 - 0.pdf</v>
      </c>
      <c r="H144" t="str">
        <f t="shared" si="5"/>
        <v>C:\Users\USUARIO\Macros\FACTURAS Y LISTADOS\1130 - Urbanización Alborada 1-4 PH\Agosto de 2017\Urbanización Alborada 1-4 PH - Factura del Mes de Agosto de 2017 0 - 0 - 0.pdf</v>
      </c>
    </row>
    <row r="145" spans="4:8" x14ac:dyDescent="0.25">
      <c r="D145" s="3">
        <f>Maestro!D145</f>
        <v>0</v>
      </c>
      <c r="E145" s="3">
        <f>Maestro!C145</f>
        <v>0</v>
      </c>
      <c r="F145" s="3">
        <f>Maestro!L145</f>
        <v>0</v>
      </c>
      <c r="G145" t="str">
        <f t="shared" si="4"/>
        <v>Urbanización Alborada 1-4 PH - Factura del Mes de Agosto de 2017 0 - 0 - 0.pdf</v>
      </c>
      <c r="H145" t="str">
        <f t="shared" si="5"/>
        <v>C:\Users\USUARIO\Macros\FACTURAS Y LISTADOS\1130 - Urbanización Alborada 1-4 PH\Agosto de 2017\Urbanización Alborada 1-4 PH - Factura del Mes de Agosto de 2017 0 - 0 - 0.pdf</v>
      </c>
    </row>
    <row r="146" spans="4:8" x14ac:dyDescent="0.25">
      <c r="D146" s="3">
        <f>Maestro!D146</f>
        <v>0</v>
      </c>
      <c r="E146" s="3">
        <f>Maestro!C146</f>
        <v>0</v>
      </c>
      <c r="F146" s="3">
        <f>Maestro!L146</f>
        <v>0</v>
      </c>
      <c r="G146" t="str">
        <f t="shared" si="4"/>
        <v>Urbanización Alborada 1-4 PH - Factura del Mes de Agosto de 2017 0 - 0 - 0.pdf</v>
      </c>
      <c r="H146" t="str">
        <f t="shared" si="5"/>
        <v>C:\Users\USUARIO\Macros\FACTURAS Y LISTADOS\1130 - Urbanización Alborada 1-4 PH\Agosto de 2017\Urbanización Alborada 1-4 PH - Factura del Mes de Agosto de 2017 0 - 0 - 0.pdf</v>
      </c>
    </row>
    <row r="147" spans="4:8" x14ac:dyDescent="0.25">
      <c r="D147" s="3">
        <f>Maestro!D147</f>
        <v>0</v>
      </c>
      <c r="E147" s="3">
        <f>Maestro!C147</f>
        <v>0</v>
      </c>
      <c r="F147" s="3">
        <f>Maestro!L147</f>
        <v>0</v>
      </c>
      <c r="G147" t="str">
        <f t="shared" si="4"/>
        <v>Urbanización Alborada 1-4 PH - Factura del Mes de Agosto de 2017 0 - 0 - 0.pdf</v>
      </c>
      <c r="H147" t="str">
        <f t="shared" si="5"/>
        <v>C:\Users\USUARIO\Macros\FACTURAS Y LISTADOS\1130 - Urbanización Alborada 1-4 PH\Agosto de 2017\Urbanización Alborada 1-4 PH - Factura del Mes de Agosto de 2017 0 - 0 - 0.pdf</v>
      </c>
    </row>
    <row r="148" spans="4:8" x14ac:dyDescent="0.25">
      <c r="D148" s="3">
        <f>Maestro!D148</f>
        <v>0</v>
      </c>
      <c r="E148" s="3">
        <f>Maestro!C148</f>
        <v>0</v>
      </c>
      <c r="F148" s="3">
        <f>Maestro!L148</f>
        <v>0</v>
      </c>
      <c r="G148" t="str">
        <f t="shared" si="4"/>
        <v>Urbanización Alborada 1-4 PH - Factura del Mes de Agosto de 2017 0 - 0 - 0.pdf</v>
      </c>
      <c r="H148" t="str">
        <f t="shared" si="5"/>
        <v>C:\Users\USUARIO\Macros\FACTURAS Y LISTADOS\1130 - Urbanización Alborada 1-4 PH\Agosto de 2017\Urbanización Alborada 1-4 PH - Factura del Mes de Agosto de 2017 0 - 0 - 0.pdf</v>
      </c>
    </row>
    <row r="149" spans="4:8" x14ac:dyDescent="0.25">
      <c r="D149" s="3">
        <f>Maestro!D149</f>
        <v>0</v>
      </c>
      <c r="E149" s="3">
        <f>Maestro!C149</f>
        <v>0</v>
      </c>
      <c r="F149" s="3">
        <f>Maestro!L149</f>
        <v>0</v>
      </c>
      <c r="G149" t="str">
        <f t="shared" si="4"/>
        <v>Urbanización Alborada 1-4 PH - Factura del Mes de Agosto de 2017 0 - 0 - 0.pdf</v>
      </c>
      <c r="H149" t="str">
        <f t="shared" si="5"/>
        <v>C:\Users\USUARIO\Macros\FACTURAS Y LISTADOS\1130 - Urbanización Alborada 1-4 PH\Agosto de 2017\Urbanización Alborada 1-4 PH - Factura del Mes de Agosto de 2017 0 - 0 - 0.pdf</v>
      </c>
    </row>
    <row r="150" spans="4:8" x14ac:dyDescent="0.25">
      <c r="D150" s="3">
        <f>Maestro!D150</f>
        <v>0</v>
      </c>
      <c r="E150" s="3">
        <f>Maestro!C150</f>
        <v>0</v>
      </c>
      <c r="F150" s="3">
        <f>Maestro!L150</f>
        <v>0</v>
      </c>
      <c r="G150" t="str">
        <f t="shared" si="4"/>
        <v>Urbanización Alborada 1-4 PH - Factura del Mes de Agosto de 2017 0 - 0 - 0.pdf</v>
      </c>
      <c r="H150" t="str">
        <f t="shared" si="5"/>
        <v>C:\Users\USUARIO\Macros\FACTURAS Y LISTADOS\1130 - Urbanización Alborada 1-4 PH\Agosto de 2017\Urbanización Alborada 1-4 PH - Factura del Mes de Agosto de 2017 0 - 0 - 0.pdf</v>
      </c>
    </row>
    <row r="151" spans="4:8" x14ac:dyDescent="0.25">
      <c r="D151" s="3">
        <f>Maestro!D151</f>
        <v>0</v>
      </c>
      <c r="E151" s="3">
        <f>Maestro!C151</f>
        <v>0</v>
      </c>
      <c r="F151" s="3">
        <f>Maestro!L151</f>
        <v>0</v>
      </c>
      <c r="G151" t="str">
        <f t="shared" si="4"/>
        <v>Urbanización Alborada 1-4 PH - Factura del Mes de Agosto de 2017 0 - 0 - 0.pdf</v>
      </c>
      <c r="H151" t="str">
        <f t="shared" si="5"/>
        <v>C:\Users\USUARIO\Macros\FACTURAS Y LISTADOS\1130 - Urbanización Alborada 1-4 PH\Agosto de 2017\Urbanización Alborada 1-4 PH - Factura del Mes de Agosto de 2017 0 - 0 - 0.pdf</v>
      </c>
    </row>
    <row r="152" spans="4:8" x14ac:dyDescent="0.25">
      <c r="D152" s="3">
        <f>Maestro!D152</f>
        <v>0</v>
      </c>
      <c r="E152" s="3">
        <f>Maestro!C152</f>
        <v>0</v>
      </c>
      <c r="F152" s="3">
        <f>Maestro!L152</f>
        <v>0</v>
      </c>
      <c r="G152" t="str">
        <f t="shared" si="4"/>
        <v>Urbanización Alborada 1-4 PH - Factura del Mes de Agosto de 2017 0 - 0 - 0.pdf</v>
      </c>
      <c r="H152" t="str">
        <f t="shared" si="5"/>
        <v>C:\Users\USUARIO\Macros\FACTURAS Y LISTADOS\1130 - Urbanización Alborada 1-4 PH\Agosto de 2017\Urbanización Alborada 1-4 PH - Factura del Mes de Agosto de 2017 0 - 0 - 0.pdf</v>
      </c>
    </row>
    <row r="153" spans="4:8" x14ac:dyDescent="0.25">
      <c r="D153" s="3">
        <f>Maestro!D153</f>
        <v>0</v>
      </c>
      <c r="E153" s="3">
        <f>Maestro!C153</f>
        <v>0</v>
      </c>
      <c r="F153" s="3">
        <f>Maestro!L153</f>
        <v>0</v>
      </c>
      <c r="G153" t="str">
        <f t="shared" si="4"/>
        <v>Urbanización Alborada 1-4 PH - Factura del Mes de Agosto de 2017 0 - 0 - 0.pdf</v>
      </c>
      <c r="H153" t="str">
        <f t="shared" si="5"/>
        <v>C:\Users\USUARIO\Macros\FACTURAS Y LISTADOS\1130 - Urbanización Alborada 1-4 PH\Agosto de 2017\Urbanización Alborada 1-4 PH - Factura del Mes de Agosto de 2017 0 - 0 - 0.pdf</v>
      </c>
    </row>
    <row r="154" spans="4:8" x14ac:dyDescent="0.25">
      <c r="D154" s="3">
        <f>Maestro!D154</f>
        <v>0</v>
      </c>
      <c r="E154" s="3">
        <f>Maestro!C154</f>
        <v>0</v>
      </c>
      <c r="F154" s="3">
        <f>Maestro!L154</f>
        <v>0</v>
      </c>
      <c r="G154" t="str">
        <f t="shared" si="4"/>
        <v>Urbanización Alborada 1-4 PH - Factura del Mes de Agosto de 2017 0 - 0 - 0.pdf</v>
      </c>
      <c r="H154" t="str">
        <f t="shared" si="5"/>
        <v>C:\Users\USUARIO\Macros\FACTURAS Y LISTADOS\1130 - Urbanización Alborada 1-4 PH\Agosto de 2017\Urbanización Alborada 1-4 PH - Factura del Mes de Agosto de 2017 0 - 0 - 0.pdf</v>
      </c>
    </row>
    <row r="155" spans="4:8" x14ac:dyDescent="0.25">
      <c r="D155" s="3">
        <f>Maestro!D155</f>
        <v>0</v>
      </c>
      <c r="E155" s="3">
        <f>Maestro!C155</f>
        <v>0</v>
      </c>
      <c r="F155" s="3">
        <f>Maestro!L155</f>
        <v>0</v>
      </c>
      <c r="G155" t="str">
        <f t="shared" si="4"/>
        <v>Urbanización Alborada 1-4 PH - Factura del Mes de Agosto de 2017 0 - 0 - 0.pdf</v>
      </c>
      <c r="H155" t="str">
        <f t="shared" si="5"/>
        <v>C:\Users\USUARIO\Macros\FACTURAS Y LISTADOS\1130 - Urbanización Alborada 1-4 PH\Agosto de 2017\Urbanización Alborada 1-4 PH - Factura del Mes de Agosto de 2017 0 - 0 - 0.pdf</v>
      </c>
    </row>
    <row r="156" spans="4:8" x14ac:dyDescent="0.25">
      <c r="D156" s="3">
        <f>Maestro!D156</f>
        <v>0</v>
      </c>
      <c r="E156" s="3">
        <f>Maestro!C156</f>
        <v>0</v>
      </c>
      <c r="F156" s="3">
        <f>Maestro!L156</f>
        <v>0</v>
      </c>
      <c r="G156" t="str">
        <f t="shared" si="4"/>
        <v>Urbanización Alborada 1-4 PH - Factura del Mes de Agosto de 2017 0 - 0 - 0.pdf</v>
      </c>
      <c r="H156" t="str">
        <f t="shared" si="5"/>
        <v>C:\Users\USUARIO\Macros\FACTURAS Y LISTADOS\1130 - Urbanización Alborada 1-4 PH\Agosto de 2017\Urbanización Alborada 1-4 PH - Factura del Mes de Agosto de 2017 0 - 0 - 0.pdf</v>
      </c>
    </row>
    <row r="157" spans="4:8" x14ac:dyDescent="0.25">
      <c r="D157" s="3">
        <f>Maestro!D157</f>
        <v>0</v>
      </c>
      <c r="E157" s="3">
        <f>Maestro!C157</f>
        <v>0</v>
      </c>
      <c r="F157" s="3">
        <f>Maestro!L157</f>
        <v>0</v>
      </c>
      <c r="G157" t="str">
        <f t="shared" si="4"/>
        <v>Urbanización Alborada 1-4 PH - Factura del Mes de Agosto de 2017 0 - 0 - 0.pdf</v>
      </c>
      <c r="H157" t="str">
        <f t="shared" si="5"/>
        <v>C:\Users\USUARIO\Macros\FACTURAS Y LISTADOS\1130 - Urbanización Alborada 1-4 PH\Agosto de 2017\Urbanización Alborada 1-4 PH - Factura del Mes de Agosto de 2017 0 - 0 - 0.pdf</v>
      </c>
    </row>
    <row r="158" spans="4:8" x14ac:dyDescent="0.25">
      <c r="D158" s="3">
        <f>Maestro!D158</f>
        <v>0</v>
      </c>
      <c r="E158" s="3">
        <f>Maestro!C158</f>
        <v>0</v>
      </c>
      <c r="F158" s="3">
        <f>Maestro!L158</f>
        <v>0</v>
      </c>
      <c r="G158" t="str">
        <f t="shared" si="4"/>
        <v>Urbanización Alborada 1-4 PH - Factura del Mes de Agosto de 2017 0 - 0 - 0.pdf</v>
      </c>
      <c r="H158" t="str">
        <f t="shared" si="5"/>
        <v>C:\Users\USUARIO\Macros\FACTURAS Y LISTADOS\1130 - Urbanización Alborada 1-4 PH\Agosto de 2017\Urbanización Alborada 1-4 PH - Factura del Mes de Agosto de 2017 0 - 0 - 0.pdf</v>
      </c>
    </row>
    <row r="159" spans="4:8" x14ac:dyDescent="0.25">
      <c r="D159" s="3">
        <f>Maestro!D159</f>
        <v>0</v>
      </c>
      <c r="E159" s="3">
        <f>Maestro!C159</f>
        <v>0</v>
      </c>
      <c r="F159" s="3">
        <f>Maestro!L159</f>
        <v>0</v>
      </c>
      <c r="G159" t="str">
        <f t="shared" si="4"/>
        <v>Urbanización Alborada 1-4 PH - Factura del Mes de Agosto de 2017 0 - 0 - 0.pdf</v>
      </c>
      <c r="H159" t="str">
        <f t="shared" si="5"/>
        <v>C:\Users\USUARIO\Macros\FACTURAS Y LISTADOS\1130 - Urbanización Alborada 1-4 PH\Agosto de 2017\Urbanización Alborada 1-4 PH - Factura del Mes de Agosto de 2017 0 - 0 - 0.pdf</v>
      </c>
    </row>
    <row r="160" spans="4:8" x14ac:dyDescent="0.25">
      <c r="D160" s="3">
        <f>Maestro!D160</f>
        <v>0</v>
      </c>
      <c r="E160" s="3">
        <f>Maestro!C160</f>
        <v>0</v>
      </c>
      <c r="F160" s="3">
        <f>Maestro!L160</f>
        <v>0</v>
      </c>
      <c r="G160" t="str">
        <f t="shared" si="4"/>
        <v>Urbanización Alborada 1-4 PH - Factura del Mes de Agosto de 2017 0 - 0 - 0.pdf</v>
      </c>
      <c r="H160" t="str">
        <f t="shared" si="5"/>
        <v>C:\Users\USUARIO\Macros\FACTURAS Y LISTADOS\1130 - Urbanización Alborada 1-4 PH\Agosto de 2017\Urbanización Alborada 1-4 PH - Factura del Mes de Agosto de 2017 0 - 0 - 0.pdf</v>
      </c>
    </row>
    <row r="161" spans="4:8" x14ac:dyDescent="0.25">
      <c r="D161" s="3">
        <f>Maestro!D161</f>
        <v>0</v>
      </c>
      <c r="E161" s="3">
        <f>Maestro!C161</f>
        <v>0</v>
      </c>
      <c r="F161" s="3">
        <f>Maestro!L161</f>
        <v>0</v>
      </c>
      <c r="G161" t="str">
        <f t="shared" si="4"/>
        <v>Urbanización Alborada 1-4 PH - Factura del Mes de Agosto de 2017 0 - 0 - 0.pdf</v>
      </c>
      <c r="H161" t="str">
        <f t="shared" si="5"/>
        <v>C:\Users\USUARIO\Macros\FACTURAS Y LISTADOS\1130 - Urbanización Alborada 1-4 PH\Agosto de 2017\Urbanización Alborada 1-4 PH - Factura del Mes de Agosto de 2017 0 - 0 - 0.pdf</v>
      </c>
    </row>
    <row r="162" spans="4:8" x14ac:dyDescent="0.25">
      <c r="D162" s="3">
        <f>Maestro!D162</f>
        <v>0</v>
      </c>
      <c r="E162" s="3">
        <f>Maestro!C162</f>
        <v>0</v>
      </c>
      <c r="F162" s="3">
        <f>Maestro!L162</f>
        <v>0</v>
      </c>
      <c r="G162" t="str">
        <f t="shared" si="4"/>
        <v>Urbanización Alborada 1-4 PH - Factura del Mes de Agosto de 2017 0 - 0 - 0.pdf</v>
      </c>
      <c r="H162" t="str">
        <f t="shared" si="5"/>
        <v>C:\Users\USUARIO\Macros\FACTURAS Y LISTADOS\1130 - Urbanización Alborada 1-4 PH\Agosto de 2017\Urbanización Alborada 1-4 PH - Factura del Mes de Agosto de 2017 0 - 0 - 0.pdf</v>
      </c>
    </row>
    <row r="163" spans="4:8" x14ac:dyDescent="0.25">
      <c r="D163" s="3">
        <f>Maestro!D163</f>
        <v>0</v>
      </c>
      <c r="E163" s="3">
        <f>Maestro!C163</f>
        <v>0</v>
      </c>
      <c r="F163" s="3">
        <f>Maestro!L163</f>
        <v>0</v>
      </c>
      <c r="G163" t="str">
        <f t="shared" si="4"/>
        <v>Urbanización Alborada 1-4 PH - Factura del Mes de Agosto de 2017 0 - 0 - 0.pdf</v>
      </c>
      <c r="H163" t="str">
        <f t="shared" si="5"/>
        <v>C:\Users\USUARIO\Macros\FACTURAS Y LISTADOS\1130 - Urbanización Alborada 1-4 PH\Agosto de 2017\Urbanización Alborada 1-4 PH - Factura del Mes de Agosto de 2017 0 - 0 - 0.pdf</v>
      </c>
    </row>
    <row r="164" spans="4:8" x14ac:dyDescent="0.25">
      <c r="D164" s="3">
        <f>Maestro!D164</f>
        <v>0</v>
      </c>
      <c r="E164" s="3">
        <f>Maestro!C164</f>
        <v>0</v>
      </c>
      <c r="F164" s="3">
        <f>Maestro!L164</f>
        <v>0</v>
      </c>
      <c r="G164" t="str">
        <f t="shared" si="4"/>
        <v>Urbanización Alborada 1-4 PH - Factura del Mes de Agosto de 2017 0 - 0 - 0.pdf</v>
      </c>
      <c r="H164" t="str">
        <f t="shared" si="5"/>
        <v>C:\Users\USUARIO\Macros\FACTURAS Y LISTADOS\1130 - Urbanización Alborada 1-4 PH\Agosto de 2017\Urbanización Alborada 1-4 PH - Factura del Mes de Agosto de 2017 0 - 0 - 0.pdf</v>
      </c>
    </row>
    <row r="165" spans="4:8" x14ac:dyDescent="0.25">
      <c r="D165" s="3">
        <f>Maestro!D165</f>
        <v>0</v>
      </c>
      <c r="E165" s="3">
        <f>Maestro!C165</f>
        <v>0</v>
      </c>
      <c r="F165" s="3">
        <f>Maestro!L165</f>
        <v>0</v>
      </c>
      <c r="G165" t="str">
        <f t="shared" si="4"/>
        <v>Urbanización Alborada 1-4 PH - Factura del Mes de Agosto de 2017 0 - 0 - 0.pdf</v>
      </c>
      <c r="H165" t="str">
        <f t="shared" si="5"/>
        <v>C:\Users\USUARIO\Macros\FACTURAS Y LISTADOS\1130 - Urbanización Alborada 1-4 PH\Agosto de 2017\Urbanización Alborada 1-4 PH - Factura del Mes de Agosto de 2017 0 - 0 - 0.pdf</v>
      </c>
    </row>
    <row r="166" spans="4:8" x14ac:dyDescent="0.25">
      <c r="D166" s="3">
        <f>Maestro!D166</f>
        <v>0</v>
      </c>
      <c r="E166" s="3">
        <f>Maestro!C166</f>
        <v>0</v>
      </c>
      <c r="F166" s="3">
        <f>Maestro!L166</f>
        <v>0</v>
      </c>
      <c r="G166" t="str">
        <f t="shared" si="4"/>
        <v>Urbanización Alborada 1-4 PH - Factura del Mes de Agosto de 2017 0 - 0 - 0.pdf</v>
      </c>
      <c r="H166" t="str">
        <f t="shared" si="5"/>
        <v>C:\Users\USUARIO\Macros\FACTURAS Y LISTADOS\1130 - Urbanización Alborada 1-4 PH\Agosto de 2017\Urbanización Alborada 1-4 PH - Factura del Mes de Agosto de 2017 0 - 0 - 0.pdf</v>
      </c>
    </row>
    <row r="167" spans="4:8" x14ac:dyDescent="0.25">
      <c r="D167" s="3">
        <f>Maestro!D167</f>
        <v>0</v>
      </c>
      <c r="E167" s="3">
        <f>Maestro!C167</f>
        <v>0</v>
      </c>
      <c r="F167" s="3">
        <f>Maestro!L167</f>
        <v>0</v>
      </c>
      <c r="G167" t="str">
        <f t="shared" si="4"/>
        <v>Urbanización Alborada 1-4 PH - Factura del Mes de Agosto de 2017 0 - 0 - 0.pdf</v>
      </c>
      <c r="H167" t="str">
        <f t="shared" si="5"/>
        <v>C:\Users\USUARIO\Macros\FACTURAS Y LISTADOS\1130 - Urbanización Alborada 1-4 PH\Agosto de 2017\Urbanización Alborada 1-4 PH - Factura del Mes de Agosto de 2017 0 - 0 - 0.pdf</v>
      </c>
    </row>
    <row r="168" spans="4:8" x14ac:dyDescent="0.25">
      <c r="D168" s="3">
        <f>Maestro!D168</f>
        <v>0</v>
      </c>
      <c r="E168" s="3">
        <f>Maestro!C168</f>
        <v>0</v>
      </c>
      <c r="F168" s="3">
        <f>Maestro!L168</f>
        <v>0</v>
      </c>
      <c r="G168" t="str">
        <f t="shared" si="4"/>
        <v>Urbanización Alborada 1-4 PH - Factura del Mes de Agosto de 2017 0 - 0 - 0.pdf</v>
      </c>
      <c r="H168" t="str">
        <f t="shared" si="5"/>
        <v>C:\Users\USUARIO\Macros\FACTURAS Y LISTADOS\1130 - Urbanización Alborada 1-4 PH\Agosto de 2017\Urbanización Alborada 1-4 PH - Factura del Mes de Agosto de 2017 0 - 0 - 0.pdf</v>
      </c>
    </row>
    <row r="169" spans="4:8" x14ac:dyDescent="0.25">
      <c r="D169" s="3">
        <f>Maestro!D169</f>
        <v>0</v>
      </c>
      <c r="E169" s="3">
        <f>Maestro!C169</f>
        <v>0</v>
      </c>
      <c r="F169" s="3">
        <f>Maestro!L169</f>
        <v>0</v>
      </c>
      <c r="G169" t="str">
        <f t="shared" si="4"/>
        <v>Urbanización Alborada 1-4 PH - Factura del Mes de Agosto de 2017 0 - 0 - 0.pdf</v>
      </c>
      <c r="H169" t="str">
        <f t="shared" si="5"/>
        <v>C:\Users\USUARIO\Macros\FACTURAS Y LISTADOS\1130 - Urbanización Alborada 1-4 PH\Agosto de 2017\Urbanización Alborada 1-4 PH - Factura del Mes de Agosto de 2017 0 - 0 - 0.pdf</v>
      </c>
    </row>
    <row r="170" spans="4:8" x14ac:dyDescent="0.25">
      <c r="D170" s="3">
        <f>Maestro!D170</f>
        <v>0</v>
      </c>
      <c r="E170" s="3">
        <f>Maestro!C170</f>
        <v>0</v>
      </c>
      <c r="F170" s="3">
        <f>Maestro!L170</f>
        <v>0</v>
      </c>
      <c r="G170" t="str">
        <f t="shared" si="4"/>
        <v>Urbanización Alborada 1-4 PH - Factura del Mes de Agosto de 2017 0 - 0 - 0.pdf</v>
      </c>
      <c r="H170" t="str">
        <f t="shared" si="5"/>
        <v>C:\Users\USUARIO\Macros\FACTURAS Y LISTADOS\1130 - Urbanización Alborada 1-4 PH\Agosto de 2017\Urbanización Alborada 1-4 PH - Factura del Mes de Agosto de 2017 0 - 0 - 0.pdf</v>
      </c>
    </row>
    <row r="171" spans="4:8" x14ac:dyDescent="0.25">
      <c r="D171" s="3">
        <f>Maestro!D171</f>
        <v>0</v>
      </c>
      <c r="E171" s="3">
        <f>Maestro!C171</f>
        <v>0</v>
      </c>
      <c r="F171" s="3">
        <f>Maestro!L171</f>
        <v>0</v>
      </c>
      <c r="G171" t="str">
        <f t="shared" si="4"/>
        <v>Urbanización Alborada 1-4 PH - Factura del Mes de Agosto de 2017 0 - 0 - 0.pdf</v>
      </c>
      <c r="H171" t="str">
        <f t="shared" si="5"/>
        <v>C:\Users\USUARIO\Macros\FACTURAS Y LISTADOS\1130 - Urbanización Alborada 1-4 PH\Agosto de 2017\Urbanización Alborada 1-4 PH - Factura del Mes de Agosto de 2017 0 - 0 - 0.pdf</v>
      </c>
    </row>
    <row r="172" spans="4:8" x14ac:dyDescent="0.25">
      <c r="D172" s="3">
        <f>Maestro!D172</f>
        <v>0</v>
      </c>
      <c r="E172" s="3">
        <f>Maestro!C172</f>
        <v>0</v>
      </c>
      <c r="F172" s="3">
        <f>Maestro!L172</f>
        <v>0</v>
      </c>
      <c r="G172" t="str">
        <f t="shared" si="4"/>
        <v>Urbanización Alborada 1-4 PH - Factura del Mes de Agosto de 2017 0 - 0 - 0.pdf</v>
      </c>
      <c r="H172" t="str">
        <f t="shared" si="5"/>
        <v>C:\Users\USUARIO\Macros\FACTURAS Y LISTADOS\1130 - Urbanización Alborada 1-4 PH\Agosto de 2017\Urbanización Alborada 1-4 PH - Factura del Mes de Agosto de 2017 0 - 0 - 0.pdf</v>
      </c>
    </row>
    <row r="173" spans="4:8" x14ac:dyDescent="0.25">
      <c r="D173" s="3">
        <f>Maestro!D173</f>
        <v>0</v>
      </c>
      <c r="E173" s="3">
        <f>Maestro!C173</f>
        <v>0</v>
      </c>
      <c r="F173" s="3">
        <f>Maestro!L173</f>
        <v>0</v>
      </c>
      <c r="G173" t="str">
        <f t="shared" si="4"/>
        <v>Urbanización Alborada 1-4 PH - Factura del Mes de Agosto de 2017 0 - 0 - 0.pdf</v>
      </c>
      <c r="H173" t="str">
        <f t="shared" si="5"/>
        <v>C:\Users\USUARIO\Macros\FACTURAS Y LISTADOS\1130 - Urbanización Alborada 1-4 PH\Agosto de 2017\Urbanización Alborada 1-4 PH - Factura del Mes de Agosto de 2017 0 - 0 - 0.pdf</v>
      </c>
    </row>
    <row r="174" spans="4:8" x14ac:dyDescent="0.25">
      <c r="D174" s="3">
        <f>Maestro!D174</f>
        <v>0</v>
      </c>
      <c r="E174" s="3">
        <f>Maestro!C174</f>
        <v>0</v>
      </c>
      <c r="F174" s="3">
        <f>Maestro!L174</f>
        <v>0</v>
      </c>
      <c r="G174" t="str">
        <f t="shared" si="4"/>
        <v>Urbanización Alborada 1-4 PH - Factura del Mes de Agosto de 2017 0 - 0 - 0.pdf</v>
      </c>
      <c r="H174" t="str">
        <f t="shared" si="5"/>
        <v>C:\Users\USUARIO\Macros\FACTURAS Y LISTADOS\1130 - Urbanización Alborada 1-4 PH\Agosto de 2017\Urbanización Alborada 1-4 PH - Factura del Mes de Agosto de 2017 0 - 0 - 0.pdf</v>
      </c>
    </row>
    <row r="175" spans="4:8" x14ac:dyDescent="0.25">
      <c r="D175" s="3">
        <f>Maestro!D175</f>
        <v>0</v>
      </c>
      <c r="E175" s="3">
        <f>Maestro!C175</f>
        <v>0</v>
      </c>
      <c r="F175" s="3">
        <f>Maestro!L175</f>
        <v>0</v>
      </c>
      <c r="G175" t="str">
        <f t="shared" si="4"/>
        <v>Urbanización Alborada 1-4 PH - Factura del Mes de Agosto de 2017 0 - 0 - 0.pdf</v>
      </c>
      <c r="H175" t="str">
        <f t="shared" si="5"/>
        <v>C:\Users\USUARIO\Macros\FACTURAS Y LISTADOS\1130 - Urbanización Alborada 1-4 PH\Agosto de 2017\Urbanización Alborada 1-4 PH - Factura del Mes de Agosto de 2017 0 - 0 - 0.pdf</v>
      </c>
    </row>
    <row r="176" spans="4:8" x14ac:dyDescent="0.25">
      <c r="D176" s="3">
        <f>Maestro!D176</f>
        <v>0</v>
      </c>
      <c r="E176" s="3">
        <f>Maestro!C176</f>
        <v>0</v>
      </c>
      <c r="F176" s="3">
        <f>Maestro!L176</f>
        <v>0</v>
      </c>
      <c r="G176" t="str">
        <f t="shared" si="4"/>
        <v>Urbanización Alborada 1-4 PH - Factura del Mes de Agosto de 2017 0 - 0 - 0.pdf</v>
      </c>
      <c r="H176" t="str">
        <f t="shared" si="5"/>
        <v>C:\Users\USUARIO\Macros\FACTURAS Y LISTADOS\1130 - Urbanización Alborada 1-4 PH\Agosto de 2017\Urbanización Alborada 1-4 PH - Factura del Mes de Agosto de 2017 0 - 0 - 0.pdf</v>
      </c>
    </row>
    <row r="177" spans="4:8" x14ac:dyDescent="0.25">
      <c r="D177" s="3">
        <f>Maestro!D177</f>
        <v>0</v>
      </c>
      <c r="E177" s="3">
        <f>Maestro!C177</f>
        <v>0</v>
      </c>
      <c r="F177" s="3">
        <f>Maestro!L177</f>
        <v>0</v>
      </c>
      <c r="G177" t="str">
        <f t="shared" si="4"/>
        <v>Urbanización Alborada 1-4 PH - Factura del Mes de Agosto de 2017 0 - 0 - 0.pdf</v>
      </c>
      <c r="H177" t="str">
        <f t="shared" si="5"/>
        <v>C:\Users\USUARIO\Macros\FACTURAS Y LISTADOS\1130 - Urbanización Alborada 1-4 PH\Agosto de 2017\Urbanización Alborada 1-4 PH - Factura del Mes de Agosto de 2017 0 - 0 - 0.pdf</v>
      </c>
    </row>
    <row r="178" spans="4:8" x14ac:dyDescent="0.25">
      <c r="D178" s="3">
        <f>Maestro!D178</f>
        <v>0</v>
      </c>
      <c r="E178" s="3">
        <f>Maestro!C178</f>
        <v>0</v>
      </c>
      <c r="F178" s="3">
        <f>Maestro!L178</f>
        <v>0</v>
      </c>
      <c r="G178" t="str">
        <f t="shared" si="4"/>
        <v>Urbanización Alborada 1-4 PH - Factura del Mes de Agosto de 2017 0 - 0 - 0.pdf</v>
      </c>
      <c r="H178" t="str">
        <f t="shared" si="5"/>
        <v>C:\Users\USUARIO\Macros\FACTURAS Y LISTADOS\1130 - Urbanización Alborada 1-4 PH\Agosto de 2017\Urbanización Alborada 1-4 PH - Factura del Mes de Agosto de 2017 0 - 0 - 0.pdf</v>
      </c>
    </row>
    <row r="179" spans="4:8" x14ac:dyDescent="0.25">
      <c r="D179" s="3">
        <f>Maestro!D179</f>
        <v>0</v>
      </c>
      <c r="E179" s="3">
        <f>Maestro!C179</f>
        <v>0</v>
      </c>
      <c r="F179" s="3">
        <f>Maestro!L179</f>
        <v>0</v>
      </c>
      <c r="G179" t="str">
        <f t="shared" si="4"/>
        <v>Urbanización Alborada 1-4 PH - Factura del Mes de Agosto de 2017 0 - 0 - 0.pdf</v>
      </c>
      <c r="H179" t="str">
        <f t="shared" si="5"/>
        <v>C:\Users\USUARIO\Macros\FACTURAS Y LISTADOS\1130 - Urbanización Alborada 1-4 PH\Agosto de 2017\Urbanización Alborada 1-4 PH - Factura del Mes de Agosto de 2017 0 - 0 - 0.pdf</v>
      </c>
    </row>
    <row r="180" spans="4:8" x14ac:dyDescent="0.25">
      <c r="D180" s="3">
        <f>Maestro!D180</f>
        <v>0</v>
      </c>
      <c r="E180" s="3">
        <f>Maestro!C180</f>
        <v>0</v>
      </c>
      <c r="F180" s="3">
        <f>Maestro!L180</f>
        <v>0</v>
      </c>
      <c r="G180" t="str">
        <f t="shared" si="4"/>
        <v>Urbanización Alborada 1-4 PH - Factura del Mes de Agosto de 2017 0 - 0 - 0.pdf</v>
      </c>
      <c r="H180" t="str">
        <f t="shared" si="5"/>
        <v>C:\Users\USUARIO\Macros\FACTURAS Y LISTADOS\1130 - Urbanización Alborada 1-4 PH\Agosto de 2017\Urbanización Alborada 1-4 PH - Factura del Mes de Agosto de 2017 0 - 0 - 0.pdf</v>
      </c>
    </row>
    <row r="181" spans="4:8" x14ac:dyDescent="0.25">
      <c r="D181" s="3">
        <f>Maestro!D181</f>
        <v>0</v>
      </c>
      <c r="E181" s="3">
        <f>Maestro!C181</f>
        <v>0</v>
      </c>
      <c r="F181" s="3">
        <f>Maestro!L181</f>
        <v>0</v>
      </c>
      <c r="G181" t="str">
        <f t="shared" si="4"/>
        <v>Urbanización Alborada 1-4 PH - Factura del Mes de Agosto de 2017 0 - 0 - 0.pdf</v>
      </c>
      <c r="H181" t="str">
        <f t="shared" si="5"/>
        <v>C:\Users\USUARIO\Macros\FACTURAS Y LISTADOS\1130 - Urbanización Alborada 1-4 PH\Agosto de 2017\Urbanización Alborada 1-4 PH - Factura del Mes de Agosto de 2017 0 - 0 - 0.pdf</v>
      </c>
    </row>
    <row r="182" spans="4:8" x14ac:dyDescent="0.25">
      <c r="D182" s="3">
        <f>Maestro!D182</f>
        <v>0</v>
      </c>
      <c r="E182" s="3">
        <f>Maestro!C182</f>
        <v>0</v>
      </c>
      <c r="F182" s="3">
        <f>Maestro!L182</f>
        <v>0</v>
      </c>
      <c r="G182" t="str">
        <f t="shared" si="4"/>
        <v>Urbanización Alborada 1-4 PH - Factura del Mes de Agosto de 2017 0 - 0 - 0.pdf</v>
      </c>
      <c r="H182" t="str">
        <f t="shared" si="5"/>
        <v>C:\Users\USUARIO\Macros\FACTURAS Y LISTADOS\1130 - Urbanización Alborada 1-4 PH\Agosto de 2017\Urbanización Alborada 1-4 PH - Factura del Mes de Agosto de 2017 0 - 0 - 0.pdf</v>
      </c>
    </row>
    <row r="183" spans="4:8" x14ac:dyDescent="0.25">
      <c r="D183" s="3">
        <f>Maestro!D183</f>
        <v>0</v>
      </c>
      <c r="E183" s="3">
        <f>Maestro!C183</f>
        <v>0</v>
      </c>
      <c r="F183" s="3">
        <f>Maestro!L183</f>
        <v>0</v>
      </c>
      <c r="G183" t="str">
        <f t="shared" si="4"/>
        <v>Urbanización Alborada 1-4 PH - Factura del Mes de Agosto de 2017 0 - 0 - 0.pdf</v>
      </c>
      <c r="H183" t="str">
        <f t="shared" si="5"/>
        <v>C:\Users\USUARIO\Macros\FACTURAS Y LISTADOS\1130 - Urbanización Alborada 1-4 PH\Agosto de 2017\Urbanización Alborada 1-4 PH - Factura del Mes de Agosto de 2017 0 - 0 - 0.pdf</v>
      </c>
    </row>
    <row r="184" spans="4:8" x14ac:dyDescent="0.25">
      <c r="D184" s="3">
        <f>Maestro!D184</f>
        <v>0</v>
      </c>
      <c r="E184" s="3">
        <f>Maestro!C184</f>
        <v>0</v>
      </c>
      <c r="F184" s="3">
        <f>Maestro!L184</f>
        <v>0</v>
      </c>
      <c r="G184" t="str">
        <f t="shared" si="4"/>
        <v>Urbanización Alborada 1-4 PH - Factura del Mes de Agosto de 2017 0 - 0 - 0.pdf</v>
      </c>
      <c r="H184" t="str">
        <f t="shared" si="5"/>
        <v>C:\Users\USUARIO\Macros\FACTURAS Y LISTADOS\1130 - Urbanización Alborada 1-4 PH\Agosto de 2017\Urbanización Alborada 1-4 PH - Factura del Mes de Agosto de 2017 0 - 0 - 0.pdf</v>
      </c>
    </row>
    <row r="185" spans="4:8" x14ac:dyDescent="0.25">
      <c r="D185" s="3">
        <f>Maestro!D185</f>
        <v>0</v>
      </c>
      <c r="E185" s="3">
        <f>Maestro!C185</f>
        <v>0</v>
      </c>
      <c r="F185" s="3">
        <f>Maestro!L185</f>
        <v>0</v>
      </c>
      <c r="G185" t="str">
        <f t="shared" si="4"/>
        <v>Urbanización Alborada 1-4 PH - Factura del Mes de Agosto de 2017 0 - 0 - 0.pdf</v>
      </c>
      <c r="H185" t="str">
        <f t="shared" si="5"/>
        <v>C:\Users\USUARIO\Macros\FACTURAS Y LISTADOS\1130 - Urbanización Alborada 1-4 PH\Agosto de 2017\Urbanización Alborada 1-4 PH - Factura del Mes de Agosto de 2017 0 - 0 - 0.pdf</v>
      </c>
    </row>
    <row r="186" spans="4:8" x14ac:dyDescent="0.25">
      <c r="D186" s="3">
        <f>Maestro!D186</f>
        <v>0</v>
      </c>
      <c r="E186" s="3">
        <f>Maestro!C186</f>
        <v>0</v>
      </c>
      <c r="F186" s="3">
        <f>Maestro!L186</f>
        <v>0</v>
      </c>
      <c r="G186" t="str">
        <f t="shared" si="4"/>
        <v>Urbanización Alborada 1-4 PH - Factura del Mes de Agosto de 2017 0 - 0 - 0.pdf</v>
      </c>
      <c r="H186" t="str">
        <f t="shared" si="5"/>
        <v>C:\Users\USUARIO\Macros\FACTURAS Y LISTADOS\1130 - Urbanización Alborada 1-4 PH\Agosto de 2017\Urbanización Alborada 1-4 PH - Factura del Mes de Agosto de 2017 0 - 0 - 0.pdf</v>
      </c>
    </row>
    <row r="187" spans="4:8" x14ac:dyDescent="0.25">
      <c r="D187" s="3">
        <f>Maestro!D187</f>
        <v>0</v>
      </c>
      <c r="E187" s="3">
        <f>Maestro!C187</f>
        <v>0</v>
      </c>
      <c r="F187" s="3">
        <f>Maestro!L187</f>
        <v>0</v>
      </c>
      <c r="G187" t="str">
        <f t="shared" si="4"/>
        <v>Urbanización Alborada 1-4 PH - Factura del Mes de Agosto de 2017 0 - 0 - 0.pdf</v>
      </c>
      <c r="H187" t="str">
        <f t="shared" si="5"/>
        <v>C:\Users\USUARIO\Macros\FACTURAS Y LISTADOS\1130 - Urbanización Alborada 1-4 PH\Agosto de 2017\Urbanización Alborada 1-4 PH - Factura del Mes de Agosto de 2017 0 - 0 - 0.pdf</v>
      </c>
    </row>
    <row r="188" spans="4:8" x14ac:dyDescent="0.25">
      <c r="D188" s="3">
        <f>Maestro!D188</f>
        <v>0</v>
      </c>
      <c r="E188" s="3">
        <f>Maestro!C188</f>
        <v>0</v>
      </c>
      <c r="F188" s="3">
        <f>Maestro!L188</f>
        <v>0</v>
      </c>
      <c r="G188" t="str">
        <f t="shared" si="4"/>
        <v>Urbanización Alborada 1-4 PH - Factura del Mes de Agosto de 2017 0 - 0 - 0.pdf</v>
      </c>
      <c r="H188" t="str">
        <f t="shared" si="5"/>
        <v>C:\Users\USUARIO\Macros\FACTURAS Y LISTADOS\1130 - Urbanización Alborada 1-4 PH\Agosto de 2017\Urbanización Alborada 1-4 PH - Factura del Mes de Agosto de 2017 0 - 0 - 0.pdf</v>
      </c>
    </row>
    <row r="189" spans="4:8" x14ac:dyDescent="0.25">
      <c r="D189" s="3">
        <f>Maestro!D189</f>
        <v>0</v>
      </c>
      <c r="E189" s="3">
        <f>Maestro!C189</f>
        <v>0</v>
      </c>
      <c r="F189" s="3">
        <f>Maestro!L189</f>
        <v>0</v>
      </c>
      <c r="G189" t="str">
        <f t="shared" si="4"/>
        <v>Urbanización Alborada 1-4 PH - Factura del Mes de Agosto de 2017 0 - 0 - 0.pdf</v>
      </c>
      <c r="H189" t="str">
        <f t="shared" si="5"/>
        <v>C:\Users\USUARIO\Macros\FACTURAS Y LISTADOS\1130 - Urbanización Alborada 1-4 PH\Agosto de 2017\Urbanización Alborada 1-4 PH - Factura del Mes de Agosto de 2017 0 - 0 - 0.pdf</v>
      </c>
    </row>
    <row r="190" spans="4:8" x14ac:dyDescent="0.25">
      <c r="D190" s="3">
        <f>Maestro!D190</f>
        <v>0</v>
      </c>
      <c r="E190" s="3">
        <f>Maestro!C190</f>
        <v>0</v>
      </c>
      <c r="F190" s="3">
        <f>Maestro!L190</f>
        <v>0</v>
      </c>
      <c r="G190" t="str">
        <f t="shared" si="4"/>
        <v>Urbanización Alborada 1-4 PH - Factura del Mes de Agosto de 2017 0 - 0 - 0.pdf</v>
      </c>
      <c r="H190" t="str">
        <f t="shared" si="5"/>
        <v>C:\Users\USUARIO\Macros\FACTURAS Y LISTADOS\1130 - Urbanización Alborada 1-4 PH\Agosto de 2017\Urbanización Alborada 1-4 PH - Factura del Mes de Agosto de 2017 0 - 0 - 0.pdf</v>
      </c>
    </row>
    <row r="191" spans="4:8" x14ac:dyDescent="0.25">
      <c r="D191" s="3">
        <f>Maestro!D191</f>
        <v>0</v>
      </c>
      <c r="E191" s="3">
        <f>Maestro!C191</f>
        <v>0</v>
      </c>
      <c r="F191" s="3">
        <f>Maestro!L191</f>
        <v>0</v>
      </c>
      <c r="G191" t="str">
        <f t="shared" si="4"/>
        <v>Urbanización Alborada 1-4 PH - Factura del Mes de Agosto de 2017 0 - 0 - 0.pdf</v>
      </c>
      <c r="H191" t="str">
        <f t="shared" si="5"/>
        <v>C:\Users\USUARIO\Macros\FACTURAS Y LISTADOS\1130 - Urbanización Alborada 1-4 PH\Agosto de 2017\Urbanización Alborada 1-4 PH - Factura del Mes de Agosto de 2017 0 - 0 - 0.pdf</v>
      </c>
    </row>
    <row r="192" spans="4:8" x14ac:dyDescent="0.25">
      <c r="D192" s="3">
        <f>Maestro!D192</f>
        <v>0</v>
      </c>
      <c r="E192" s="3">
        <f>Maestro!C192</f>
        <v>0</v>
      </c>
      <c r="F192" s="3">
        <f>Maestro!L192</f>
        <v>0</v>
      </c>
      <c r="G192" t="str">
        <f t="shared" si="4"/>
        <v>Urbanización Alborada 1-4 PH - Factura del Mes de Agosto de 2017 0 - 0 - 0.pdf</v>
      </c>
      <c r="H192" t="str">
        <f t="shared" si="5"/>
        <v>C:\Users\USUARIO\Macros\FACTURAS Y LISTADOS\1130 - Urbanización Alborada 1-4 PH\Agosto de 2017\Urbanización Alborada 1-4 PH - Factura del Mes de Agosto de 2017 0 - 0 - 0.pdf</v>
      </c>
    </row>
    <row r="193" spans="4:8" x14ac:dyDescent="0.25">
      <c r="D193" s="3">
        <f>Maestro!D193</f>
        <v>0</v>
      </c>
      <c r="E193" s="3">
        <f>Maestro!C193</f>
        <v>0</v>
      </c>
      <c r="F193" s="3">
        <f>Maestro!L193</f>
        <v>0</v>
      </c>
      <c r="G193" t="str">
        <f t="shared" si="4"/>
        <v>Urbanización Alborada 1-4 PH - Factura del Mes de Agosto de 2017 0 - 0 - 0.pdf</v>
      </c>
      <c r="H193" t="str">
        <f t="shared" si="5"/>
        <v>C:\Users\USUARIO\Macros\FACTURAS Y LISTADOS\1130 - Urbanización Alborada 1-4 PH\Agosto de 2017\Urbanización Alborada 1-4 PH - Factura del Mes de Agosto de 2017 0 - 0 - 0.pdf</v>
      </c>
    </row>
    <row r="194" spans="4:8" x14ac:dyDescent="0.25">
      <c r="D194" s="3">
        <f>Maestro!D194</f>
        <v>0</v>
      </c>
      <c r="E194" s="3">
        <f>Maestro!C194</f>
        <v>0</v>
      </c>
      <c r="F194" s="3">
        <f>Maestro!L194</f>
        <v>0</v>
      </c>
      <c r="G194" t="str">
        <f t="shared" ref="G194:G257" si="6">CONCATENATE($G$1,$A$6,$A$15,$A$3,$A$1,$A$4,$B$1,$A$5,$A$7,E194,$A$6,D194, $A$6, F194,$A$8 )</f>
        <v>Urbanización Alborada 1-4 PH - Factura del Mes de Agosto de 2017 0 - 0 - 0.pdf</v>
      </c>
      <c r="H194" t="str">
        <f t="shared" ref="H194:H257" si="7">CONCATENATE($H$1,$A$10,$A$1,$A$4,$B$1,$A$10,G194)</f>
        <v>C:\Users\USUARIO\Macros\FACTURAS Y LISTADOS\1130 - Urbanización Alborada 1-4 PH\Agosto de 2017\Urbanización Alborada 1-4 PH - Factura del Mes de Agosto de 2017 0 - 0 - 0.pdf</v>
      </c>
    </row>
    <row r="195" spans="4:8" x14ac:dyDescent="0.25">
      <c r="D195" s="3">
        <f>Maestro!D195</f>
        <v>0</v>
      </c>
      <c r="E195" s="3">
        <f>Maestro!C195</f>
        <v>0</v>
      </c>
      <c r="F195" s="3">
        <f>Maestro!L195</f>
        <v>0</v>
      </c>
      <c r="G195" t="str">
        <f t="shared" si="6"/>
        <v>Urbanización Alborada 1-4 PH - Factura del Mes de Agosto de 2017 0 - 0 - 0.pdf</v>
      </c>
      <c r="H195" t="str">
        <f t="shared" si="7"/>
        <v>C:\Users\USUARIO\Macros\FACTURAS Y LISTADOS\1130 - Urbanización Alborada 1-4 PH\Agosto de 2017\Urbanización Alborada 1-4 PH - Factura del Mes de Agosto de 2017 0 - 0 - 0.pdf</v>
      </c>
    </row>
    <row r="196" spans="4:8" x14ac:dyDescent="0.25">
      <c r="D196" s="3">
        <f>Maestro!D196</f>
        <v>0</v>
      </c>
      <c r="E196" s="3">
        <f>Maestro!C196</f>
        <v>0</v>
      </c>
      <c r="F196" s="3">
        <f>Maestro!L196</f>
        <v>0</v>
      </c>
      <c r="G196" t="str">
        <f t="shared" si="6"/>
        <v>Urbanización Alborada 1-4 PH - Factura del Mes de Agosto de 2017 0 - 0 - 0.pdf</v>
      </c>
      <c r="H196" t="str">
        <f t="shared" si="7"/>
        <v>C:\Users\USUARIO\Macros\FACTURAS Y LISTADOS\1130 - Urbanización Alborada 1-4 PH\Agosto de 2017\Urbanización Alborada 1-4 PH - Factura del Mes de Agosto de 2017 0 - 0 - 0.pdf</v>
      </c>
    </row>
    <row r="197" spans="4:8" x14ac:dyDescent="0.25">
      <c r="D197" s="3">
        <f>Maestro!D197</f>
        <v>0</v>
      </c>
      <c r="E197" s="3">
        <f>Maestro!C197</f>
        <v>0</v>
      </c>
      <c r="F197" s="3">
        <f>Maestro!L197</f>
        <v>0</v>
      </c>
      <c r="G197" t="str">
        <f t="shared" si="6"/>
        <v>Urbanización Alborada 1-4 PH - Factura del Mes de Agosto de 2017 0 - 0 - 0.pdf</v>
      </c>
      <c r="H197" t="str">
        <f t="shared" si="7"/>
        <v>C:\Users\USUARIO\Macros\FACTURAS Y LISTADOS\1130 - Urbanización Alborada 1-4 PH\Agosto de 2017\Urbanización Alborada 1-4 PH - Factura del Mes de Agosto de 2017 0 - 0 - 0.pdf</v>
      </c>
    </row>
    <row r="198" spans="4:8" x14ac:dyDescent="0.25">
      <c r="D198" s="3">
        <f>Maestro!D198</f>
        <v>0</v>
      </c>
      <c r="E198" s="3">
        <f>Maestro!C198</f>
        <v>0</v>
      </c>
      <c r="F198" s="3">
        <f>Maestro!L198</f>
        <v>0</v>
      </c>
      <c r="G198" t="str">
        <f t="shared" si="6"/>
        <v>Urbanización Alborada 1-4 PH - Factura del Mes de Agosto de 2017 0 - 0 - 0.pdf</v>
      </c>
      <c r="H198" t="str">
        <f t="shared" si="7"/>
        <v>C:\Users\USUARIO\Macros\FACTURAS Y LISTADOS\1130 - Urbanización Alborada 1-4 PH\Agosto de 2017\Urbanización Alborada 1-4 PH - Factura del Mes de Agosto de 2017 0 - 0 - 0.pdf</v>
      </c>
    </row>
    <row r="199" spans="4:8" x14ac:dyDescent="0.25">
      <c r="D199" s="3">
        <f>Maestro!D199</f>
        <v>0</v>
      </c>
      <c r="E199" s="3">
        <f>Maestro!C199</f>
        <v>0</v>
      </c>
      <c r="F199" s="3">
        <f>Maestro!L199</f>
        <v>0</v>
      </c>
      <c r="G199" t="str">
        <f t="shared" si="6"/>
        <v>Urbanización Alborada 1-4 PH - Factura del Mes de Agosto de 2017 0 - 0 - 0.pdf</v>
      </c>
      <c r="H199" t="str">
        <f t="shared" si="7"/>
        <v>C:\Users\USUARIO\Macros\FACTURAS Y LISTADOS\1130 - Urbanización Alborada 1-4 PH\Agosto de 2017\Urbanización Alborada 1-4 PH - Factura del Mes de Agosto de 2017 0 - 0 - 0.pdf</v>
      </c>
    </row>
    <row r="200" spans="4:8" x14ac:dyDescent="0.25">
      <c r="D200" s="3">
        <f>Maestro!D200</f>
        <v>0</v>
      </c>
      <c r="E200" s="3">
        <f>Maestro!C200</f>
        <v>0</v>
      </c>
      <c r="F200" s="3">
        <f>Maestro!L200</f>
        <v>0</v>
      </c>
      <c r="G200" t="str">
        <f t="shared" si="6"/>
        <v>Urbanización Alborada 1-4 PH - Factura del Mes de Agosto de 2017 0 - 0 - 0.pdf</v>
      </c>
      <c r="H200" t="str">
        <f t="shared" si="7"/>
        <v>C:\Users\USUARIO\Macros\FACTURAS Y LISTADOS\1130 - Urbanización Alborada 1-4 PH\Agosto de 2017\Urbanización Alborada 1-4 PH - Factura del Mes de Agosto de 2017 0 - 0 - 0.pdf</v>
      </c>
    </row>
    <row r="201" spans="4:8" x14ac:dyDescent="0.25">
      <c r="D201" s="3">
        <f>Maestro!D201</f>
        <v>0</v>
      </c>
      <c r="E201" s="3">
        <f>Maestro!C201</f>
        <v>0</v>
      </c>
      <c r="F201" s="3">
        <f>Maestro!L201</f>
        <v>0</v>
      </c>
      <c r="G201" t="str">
        <f t="shared" si="6"/>
        <v>Urbanización Alborada 1-4 PH - Factura del Mes de Agosto de 2017 0 - 0 - 0.pdf</v>
      </c>
      <c r="H201" t="str">
        <f t="shared" si="7"/>
        <v>C:\Users\USUARIO\Macros\FACTURAS Y LISTADOS\1130 - Urbanización Alborada 1-4 PH\Agosto de 2017\Urbanización Alborada 1-4 PH - Factura del Mes de Agosto de 2017 0 - 0 - 0.pdf</v>
      </c>
    </row>
    <row r="202" spans="4:8" x14ac:dyDescent="0.25">
      <c r="D202" s="3">
        <f>Maestro!D202</f>
        <v>0</v>
      </c>
      <c r="E202" s="3">
        <f>Maestro!C202</f>
        <v>0</v>
      </c>
      <c r="F202" s="3">
        <f>Maestro!L202</f>
        <v>0</v>
      </c>
      <c r="G202" t="str">
        <f t="shared" si="6"/>
        <v>Urbanización Alborada 1-4 PH - Factura del Mes de Agosto de 2017 0 - 0 - 0.pdf</v>
      </c>
      <c r="H202" t="str">
        <f t="shared" si="7"/>
        <v>C:\Users\USUARIO\Macros\FACTURAS Y LISTADOS\1130 - Urbanización Alborada 1-4 PH\Agosto de 2017\Urbanización Alborada 1-4 PH - Factura del Mes de Agosto de 2017 0 - 0 - 0.pdf</v>
      </c>
    </row>
    <row r="203" spans="4:8" x14ac:dyDescent="0.25">
      <c r="D203" s="3">
        <f>Maestro!D203</f>
        <v>0</v>
      </c>
      <c r="E203" s="3">
        <f>Maestro!C203</f>
        <v>0</v>
      </c>
      <c r="F203" s="3">
        <f>Maestro!L203</f>
        <v>0</v>
      </c>
      <c r="G203" t="str">
        <f t="shared" si="6"/>
        <v>Urbanización Alborada 1-4 PH - Factura del Mes de Agosto de 2017 0 - 0 - 0.pdf</v>
      </c>
      <c r="H203" t="str">
        <f t="shared" si="7"/>
        <v>C:\Users\USUARIO\Macros\FACTURAS Y LISTADOS\1130 - Urbanización Alborada 1-4 PH\Agosto de 2017\Urbanización Alborada 1-4 PH - Factura del Mes de Agosto de 2017 0 - 0 - 0.pdf</v>
      </c>
    </row>
    <row r="204" spans="4:8" x14ac:dyDescent="0.25">
      <c r="D204" s="3">
        <f>Maestro!D204</f>
        <v>0</v>
      </c>
      <c r="E204" s="3">
        <f>Maestro!C204</f>
        <v>0</v>
      </c>
      <c r="F204" s="3">
        <f>Maestro!L204</f>
        <v>0</v>
      </c>
      <c r="G204" t="str">
        <f t="shared" si="6"/>
        <v>Urbanización Alborada 1-4 PH - Factura del Mes de Agosto de 2017 0 - 0 - 0.pdf</v>
      </c>
      <c r="H204" t="str">
        <f t="shared" si="7"/>
        <v>C:\Users\USUARIO\Macros\FACTURAS Y LISTADOS\1130 - Urbanización Alborada 1-4 PH\Agosto de 2017\Urbanización Alborada 1-4 PH - Factura del Mes de Agosto de 2017 0 - 0 - 0.pdf</v>
      </c>
    </row>
    <row r="205" spans="4:8" x14ac:dyDescent="0.25">
      <c r="D205" s="3">
        <f>Maestro!D205</f>
        <v>0</v>
      </c>
      <c r="E205" s="3">
        <f>Maestro!C205</f>
        <v>0</v>
      </c>
      <c r="F205" s="3">
        <f>Maestro!L205</f>
        <v>0</v>
      </c>
      <c r="G205" t="str">
        <f t="shared" si="6"/>
        <v>Urbanización Alborada 1-4 PH - Factura del Mes de Agosto de 2017 0 - 0 - 0.pdf</v>
      </c>
      <c r="H205" t="str">
        <f t="shared" si="7"/>
        <v>C:\Users\USUARIO\Macros\FACTURAS Y LISTADOS\1130 - Urbanización Alborada 1-4 PH\Agosto de 2017\Urbanización Alborada 1-4 PH - Factura del Mes de Agosto de 2017 0 - 0 - 0.pdf</v>
      </c>
    </row>
    <row r="206" spans="4:8" x14ac:dyDescent="0.25">
      <c r="D206" s="3">
        <f>Maestro!D206</f>
        <v>0</v>
      </c>
      <c r="E206" s="3">
        <f>Maestro!C206</f>
        <v>0</v>
      </c>
      <c r="F206" s="3">
        <f>Maestro!L206</f>
        <v>0</v>
      </c>
      <c r="G206" t="str">
        <f t="shared" si="6"/>
        <v>Urbanización Alborada 1-4 PH - Factura del Mes de Agosto de 2017 0 - 0 - 0.pdf</v>
      </c>
      <c r="H206" t="str">
        <f t="shared" si="7"/>
        <v>C:\Users\USUARIO\Macros\FACTURAS Y LISTADOS\1130 - Urbanización Alborada 1-4 PH\Agosto de 2017\Urbanización Alborada 1-4 PH - Factura del Mes de Agosto de 2017 0 - 0 - 0.pdf</v>
      </c>
    </row>
    <row r="207" spans="4:8" x14ac:dyDescent="0.25">
      <c r="D207" s="3">
        <f>Maestro!D207</f>
        <v>0</v>
      </c>
      <c r="E207" s="3">
        <f>Maestro!C207</f>
        <v>0</v>
      </c>
      <c r="F207" s="3">
        <f>Maestro!L207</f>
        <v>0</v>
      </c>
      <c r="G207" t="str">
        <f t="shared" si="6"/>
        <v>Urbanización Alborada 1-4 PH - Factura del Mes de Agosto de 2017 0 - 0 - 0.pdf</v>
      </c>
      <c r="H207" t="str">
        <f t="shared" si="7"/>
        <v>C:\Users\USUARIO\Macros\FACTURAS Y LISTADOS\1130 - Urbanización Alborada 1-4 PH\Agosto de 2017\Urbanización Alborada 1-4 PH - Factura del Mes de Agosto de 2017 0 - 0 - 0.pdf</v>
      </c>
    </row>
    <row r="208" spans="4:8" x14ac:dyDescent="0.25">
      <c r="D208" s="3">
        <f>Maestro!D208</f>
        <v>0</v>
      </c>
      <c r="E208" s="3">
        <f>Maestro!C208</f>
        <v>0</v>
      </c>
      <c r="F208" s="3">
        <f>Maestro!L208</f>
        <v>0</v>
      </c>
      <c r="G208" t="str">
        <f t="shared" si="6"/>
        <v>Urbanización Alborada 1-4 PH - Factura del Mes de Agosto de 2017 0 - 0 - 0.pdf</v>
      </c>
      <c r="H208" t="str">
        <f t="shared" si="7"/>
        <v>C:\Users\USUARIO\Macros\FACTURAS Y LISTADOS\1130 - Urbanización Alborada 1-4 PH\Agosto de 2017\Urbanización Alborada 1-4 PH - Factura del Mes de Agosto de 2017 0 - 0 - 0.pdf</v>
      </c>
    </row>
    <row r="209" spans="4:8" x14ac:dyDescent="0.25">
      <c r="D209" s="3">
        <f>Maestro!D209</f>
        <v>0</v>
      </c>
      <c r="E209" s="3">
        <f>Maestro!C209</f>
        <v>0</v>
      </c>
      <c r="F209" s="3">
        <f>Maestro!L209</f>
        <v>0</v>
      </c>
      <c r="G209" t="str">
        <f t="shared" si="6"/>
        <v>Urbanización Alborada 1-4 PH - Factura del Mes de Agosto de 2017 0 - 0 - 0.pdf</v>
      </c>
      <c r="H209" t="str">
        <f t="shared" si="7"/>
        <v>C:\Users\USUARIO\Macros\FACTURAS Y LISTADOS\1130 - Urbanización Alborada 1-4 PH\Agosto de 2017\Urbanización Alborada 1-4 PH - Factura del Mes de Agosto de 2017 0 - 0 - 0.pdf</v>
      </c>
    </row>
    <row r="210" spans="4:8" x14ac:dyDescent="0.25">
      <c r="D210" s="3">
        <f>Maestro!D210</f>
        <v>0</v>
      </c>
      <c r="E210" s="3">
        <f>Maestro!C210</f>
        <v>0</v>
      </c>
      <c r="F210" s="3">
        <f>Maestro!L210</f>
        <v>0</v>
      </c>
      <c r="G210" t="str">
        <f t="shared" si="6"/>
        <v>Urbanización Alborada 1-4 PH - Factura del Mes de Agosto de 2017 0 - 0 - 0.pdf</v>
      </c>
      <c r="H210" t="str">
        <f t="shared" si="7"/>
        <v>C:\Users\USUARIO\Macros\FACTURAS Y LISTADOS\1130 - Urbanización Alborada 1-4 PH\Agosto de 2017\Urbanización Alborada 1-4 PH - Factura del Mes de Agosto de 2017 0 - 0 - 0.pdf</v>
      </c>
    </row>
    <row r="211" spans="4:8" x14ac:dyDescent="0.25">
      <c r="D211" s="3">
        <f>Maestro!D211</f>
        <v>0</v>
      </c>
      <c r="E211" s="3">
        <f>Maestro!C211</f>
        <v>0</v>
      </c>
      <c r="F211" s="3">
        <f>Maestro!L211</f>
        <v>0</v>
      </c>
      <c r="G211" t="str">
        <f t="shared" si="6"/>
        <v>Urbanización Alborada 1-4 PH - Factura del Mes de Agosto de 2017 0 - 0 - 0.pdf</v>
      </c>
      <c r="H211" t="str">
        <f t="shared" si="7"/>
        <v>C:\Users\USUARIO\Macros\FACTURAS Y LISTADOS\1130 - Urbanización Alborada 1-4 PH\Agosto de 2017\Urbanización Alborada 1-4 PH - Factura del Mes de Agosto de 2017 0 - 0 - 0.pdf</v>
      </c>
    </row>
    <row r="212" spans="4:8" x14ac:dyDescent="0.25">
      <c r="D212" s="3">
        <f>Maestro!D212</f>
        <v>0</v>
      </c>
      <c r="E212" s="3">
        <f>Maestro!C212</f>
        <v>0</v>
      </c>
      <c r="F212" s="3">
        <f>Maestro!L212</f>
        <v>0</v>
      </c>
      <c r="G212" t="str">
        <f t="shared" si="6"/>
        <v>Urbanización Alborada 1-4 PH - Factura del Mes de Agosto de 2017 0 - 0 - 0.pdf</v>
      </c>
      <c r="H212" t="str">
        <f t="shared" si="7"/>
        <v>C:\Users\USUARIO\Macros\FACTURAS Y LISTADOS\1130 - Urbanización Alborada 1-4 PH\Agosto de 2017\Urbanización Alborada 1-4 PH - Factura del Mes de Agosto de 2017 0 - 0 - 0.pdf</v>
      </c>
    </row>
    <row r="213" spans="4:8" x14ac:dyDescent="0.25">
      <c r="D213" s="3">
        <f>Maestro!D213</f>
        <v>0</v>
      </c>
      <c r="E213" s="3">
        <f>Maestro!C213</f>
        <v>0</v>
      </c>
      <c r="F213" s="3">
        <f>Maestro!L213</f>
        <v>0</v>
      </c>
      <c r="G213" t="str">
        <f t="shared" si="6"/>
        <v>Urbanización Alborada 1-4 PH - Factura del Mes de Agosto de 2017 0 - 0 - 0.pdf</v>
      </c>
      <c r="H213" t="str">
        <f t="shared" si="7"/>
        <v>C:\Users\USUARIO\Macros\FACTURAS Y LISTADOS\1130 - Urbanización Alborada 1-4 PH\Agosto de 2017\Urbanización Alborada 1-4 PH - Factura del Mes de Agosto de 2017 0 - 0 - 0.pdf</v>
      </c>
    </row>
    <row r="214" spans="4:8" x14ac:dyDescent="0.25">
      <c r="D214" s="3">
        <f>Maestro!D214</f>
        <v>0</v>
      </c>
      <c r="E214" s="3">
        <f>Maestro!C214</f>
        <v>0</v>
      </c>
      <c r="F214" s="3">
        <f>Maestro!L214</f>
        <v>0</v>
      </c>
      <c r="G214" t="str">
        <f t="shared" si="6"/>
        <v>Urbanización Alborada 1-4 PH - Factura del Mes de Agosto de 2017 0 - 0 - 0.pdf</v>
      </c>
      <c r="H214" t="str">
        <f t="shared" si="7"/>
        <v>C:\Users\USUARIO\Macros\FACTURAS Y LISTADOS\1130 - Urbanización Alborada 1-4 PH\Agosto de 2017\Urbanización Alborada 1-4 PH - Factura del Mes de Agosto de 2017 0 - 0 - 0.pdf</v>
      </c>
    </row>
    <row r="215" spans="4:8" x14ac:dyDescent="0.25">
      <c r="D215" s="3">
        <f>Maestro!D215</f>
        <v>0</v>
      </c>
      <c r="E215" s="3">
        <f>Maestro!C215</f>
        <v>0</v>
      </c>
      <c r="F215" s="3">
        <f>Maestro!L215</f>
        <v>0</v>
      </c>
      <c r="G215" t="str">
        <f t="shared" si="6"/>
        <v>Urbanización Alborada 1-4 PH - Factura del Mes de Agosto de 2017 0 - 0 - 0.pdf</v>
      </c>
      <c r="H215" t="str">
        <f t="shared" si="7"/>
        <v>C:\Users\USUARIO\Macros\FACTURAS Y LISTADOS\1130 - Urbanización Alborada 1-4 PH\Agosto de 2017\Urbanización Alborada 1-4 PH - Factura del Mes de Agosto de 2017 0 - 0 - 0.pdf</v>
      </c>
    </row>
    <row r="216" spans="4:8" x14ac:dyDescent="0.25">
      <c r="D216" s="3">
        <f>Maestro!D216</f>
        <v>0</v>
      </c>
      <c r="E216" s="3">
        <f>Maestro!C216</f>
        <v>0</v>
      </c>
      <c r="F216" s="3">
        <f>Maestro!L216</f>
        <v>0</v>
      </c>
      <c r="G216" t="str">
        <f t="shared" si="6"/>
        <v>Urbanización Alborada 1-4 PH - Factura del Mes de Agosto de 2017 0 - 0 - 0.pdf</v>
      </c>
      <c r="H216" t="str">
        <f t="shared" si="7"/>
        <v>C:\Users\USUARIO\Macros\FACTURAS Y LISTADOS\1130 - Urbanización Alborada 1-4 PH\Agosto de 2017\Urbanización Alborada 1-4 PH - Factura del Mes de Agosto de 2017 0 - 0 - 0.pdf</v>
      </c>
    </row>
    <row r="217" spans="4:8" x14ac:dyDescent="0.25">
      <c r="D217" s="3">
        <f>Maestro!D217</f>
        <v>0</v>
      </c>
      <c r="E217" s="3">
        <f>Maestro!C217</f>
        <v>0</v>
      </c>
      <c r="F217" s="3">
        <f>Maestro!L217</f>
        <v>0</v>
      </c>
      <c r="G217" t="str">
        <f t="shared" si="6"/>
        <v>Urbanización Alborada 1-4 PH - Factura del Mes de Agosto de 2017 0 - 0 - 0.pdf</v>
      </c>
      <c r="H217" t="str">
        <f t="shared" si="7"/>
        <v>C:\Users\USUARIO\Macros\FACTURAS Y LISTADOS\1130 - Urbanización Alborada 1-4 PH\Agosto de 2017\Urbanización Alborada 1-4 PH - Factura del Mes de Agosto de 2017 0 - 0 - 0.pdf</v>
      </c>
    </row>
    <row r="218" spans="4:8" x14ac:dyDescent="0.25">
      <c r="D218" s="3">
        <f>Maestro!D218</f>
        <v>0</v>
      </c>
      <c r="E218" s="3">
        <f>Maestro!C218</f>
        <v>0</v>
      </c>
      <c r="F218" s="3">
        <f>Maestro!L218</f>
        <v>0</v>
      </c>
      <c r="G218" t="str">
        <f t="shared" si="6"/>
        <v>Urbanización Alborada 1-4 PH - Factura del Mes de Agosto de 2017 0 - 0 - 0.pdf</v>
      </c>
      <c r="H218" t="str">
        <f t="shared" si="7"/>
        <v>C:\Users\USUARIO\Macros\FACTURAS Y LISTADOS\1130 - Urbanización Alborada 1-4 PH\Agosto de 2017\Urbanización Alborada 1-4 PH - Factura del Mes de Agosto de 2017 0 - 0 - 0.pdf</v>
      </c>
    </row>
    <row r="219" spans="4:8" x14ac:dyDescent="0.25">
      <c r="D219" s="3">
        <f>Maestro!D219</f>
        <v>0</v>
      </c>
      <c r="E219" s="3">
        <f>Maestro!C219</f>
        <v>0</v>
      </c>
      <c r="F219" s="3">
        <f>Maestro!L219</f>
        <v>0</v>
      </c>
      <c r="G219" t="str">
        <f t="shared" si="6"/>
        <v>Urbanización Alborada 1-4 PH - Factura del Mes de Agosto de 2017 0 - 0 - 0.pdf</v>
      </c>
      <c r="H219" t="str">
        <f t="shared" si="7"/>
        <v>C:\Users\USUARIO\Macros\FACTURAS Y LISTADOS\1130 - Urbanización Alborada 1-4 PH\Agosto de 2017\Urbanización Alborada 1-4 PH - Factura del Mes de Agosto de 2017 0 - 0 - 0.pdf</v>
      </c>
    </row>
    <row r="220" spans="4:8" x14ac:dyDescent="0.25">
      <c r="D220" s="3">
        <f>Maestro!D220</f>
        <v>0</v>
      </c>
      <c r="E220" s="3">
        <f>Maestro!C220</f>
        <v>0</v>
      </c>
      <c r="F220" s="3">
        <f>Maestro!L220</f>
        <v>0</v>
      </c>
      <c r="G220" t="str">
        <f t="shared" si="6"/>
        <v>Urbanización Alborada 1-4 PH - Factura del Mes de Agosto de 2017 0 - 0 - 0.pdf</v>
      </c>
      <c r="H220" t="str">
        <f t="shared" si="7"/>
        <v>C:\Users\USUARIO\Macros\FACTURAS Y LISTADOS\1130 - Urbanización Alborada 1-4 PH\Agosto de 2017\Urbanización Alborada 1-4 PH - Factura del Mes de Agosto de 2017 0 - 0 - 0.pdf</v>
      </c>
    </row>
    <row r="221" spans="4:8" x14ac:dyDescent="0.25">
      <c r="D221" s="3">
        <f>Maestro!D221</f>
        <v>0</v>
      </c>
      <c r="E221" s="3">
        <f>Maestro!C221</f>
        <v>0</v>
      </c>
      <c r="F221" s="3">
        <f>Maestro!L221</f>
        <v>0</v>
      </c>
      <c r="G221" t="str">
        <f t="shared" si="6"/>
        <v>Urbanización Alborada 1-4 PH - Factura del Mes de Agosto de 2017 0 - 0 - 0.pdf</v>
      </c>
      <c r="H221" t="str">
        <f t="shared" si="7"/>
        <v>C:\Users\USUARIO\Macros\FACTURAS Y LISTADOS\1130 - Urbanización Alborada 1-4 PH\Agosto de 2017\Urbanización Alborada 1-4 PH - Factura del Mes de Agosto de 2017 0 - 0 - 0.pdf</v>
      </c>
    </row>
    <row r="222" spans="4:8" x14ac:dyDescent="0.25">
      <c r="D222" s="3">
        <f>Maestro!D222</f>
        <v>0</v>
      </c>
      <c r="E222" s="3">
        <f>Maestro!C222</f>
        <v>0</v>
      </c>
      <c r="F222" s="3">
        <f>Maestro!L222</f>
        <v>0</v>
      </c>
      <c r="G222" t="str">
        <f t="shared" si="6"/>
        <v>Urbanización Alborada 1-4 PH - Factura del Mes de Agosto de 2017 0 - 0 - 0.pdf</v>
      </c>
      <c r="H222" t="str">
        <f t="shared" si="7"/>
        <v>C:\Users\USUARIO\Macros\FACTURAS Y LISTADOS\1130 - Urbanización Alborada 1-4 PH\Agosto de 2017\Urbanización Alborada 1-4 PH - Factura del Mes de Agosto de 2017 0 - 0 - 0.pdf</v>
      </c>
    </row>
    <row r="223" spans="4:8" x14ac:dyDescent="0.25">
      <c r="D223" s="3">
        <f>Maestro!D223</f>
        <v>0</v>
      </c>
      <c r="E223" s="3">
        <f>Maestro!C223</f>
        <v>0</v>
      </c>
      <c r="F223" s="3">
        <f>Maestro!L223</f>
        <v>0</v>
      </c>
      <c r="G223" t="str">
        <f t="shared" si="6"/>
        <v>Urbanización Alborada 1-4 PH - Factura del Mes de Agosto de 2017 0 - 0 - 0.pdf</v>
      </c>
      <c r="H223" t="str">
        <f t="shared" si="7"/>
        <v>C:\Users\USUARIO\Macros\FACTURAS Y LISTADOS\1130 - Urbanización Alborada 1-4 PH\Agosto de 2017\Urbanización Alborada 1-4 PH - Factura del Mes de Agosto de 2017 0 - 0 - 0.pdf</v>
      </c>
    </row>
    <row r="224" spans="4:8" x14ac:dyDescent="0.25">
      <c r="D224" s="3">
        <f>Maestro!D224</f>
        <v>0</v>
      </c>
      <c r="E224" s="3">
        <f>Maestro!C224</f>
        <v>0</v>
      </c>
      <c r="F224" s="3">
        <f>Maestro!L224</f>
        <v>0</v>
      </c>
      <c r="G224" t="str">
        <f t="shared" si="6"/>
        <v>Urbanización Alborada 1-4 PH - Factura del Mes de Agosto de 2017 0 - 0 - 0.pdf</v>
      </c>
      <c r="H224" t="str">
        <f t="shared" si="7"/>
        <v>C:\Users\USUARIO\Macros\FACTURAS Y LISTADOS\1130 - Urbanización Alborada 1-4 PH\Agosto de 2017\Urbanización Alborada 1-4 PH - Factura del Mes de Agosto de 2017 0 - 0 - 0.pdf</v>
      </c>
    </row>
    <row r="225" spans="4:8" x14ac:dyDescent="0.25">
      <c r="D225" s="3">
        <f>Maestro!D225</f>
        <v>0</v>
      </c>
      <c r="E225" s="3">
        <f>Maestro!C225</f>
        <v>0</v>
      </c>
      <c r="F225" s="3">
        <f>Maestro!L225</f>
        <v>0</v>
      </c>
      <c r="G225" t="str">
        <f t="shared" si="6"/>
        <v>Urbanización Alborada 1-4 PH - Factura del Mes de Agosto de 2017 0 - 0 - 0.pdf</v>
      </c>
      <c r="H225" t="str">
        <f t="shared" si="7"/>
        <v>C:\Users\USUARIO\Macros\FACTURAS Y LISTADOS\1130 - Urbanización Alborada 1-4 PH\Agosto de 2017\Urbanización Alborada 1-4 PH - Factura del Mes de Agosto de 2017 0 - 0 - 0.pdf</v>
      </c>
    </row>
    <row r="226" spans="4:8" x14ac:dyDescent="0.25">
      <c r="D226" s="3">
        <f>Maestro!D226</f>
        <v>0</v>
      </c>
      <c r="E226" s="3">
        <f>Maestro!C226</f>
        <v>0</v>
      </c>
      <c r="F226" s="3">
        <f>Maestro!L226</f>
        <v>0</v>
      </c>
      <c r="G226" t="str">
        <f t="shared" si="6"/>
        <v>Urbanización Alborada 1-4 PH - Factura del Mes de Agosto de 2017 0 - 0 - 0.pdf</v>
      </c>
      <c r="H226" t="str">
        <f t="shared" si="7"/>
        <v>C:\Users\USUARIO\Macros\FACTURAS Y LISTADOS\1130 - Urbanización Alborada 1-4 PH\Agosto de 2017\Urbanización Alborada 1-4 PH - Factura del Mes de Agosto de 2017 0 - 0 - 0.pdf</v>
      </c>
    </row>
    <row r="227" spans="4:8" x14ac:dyDescent="0.25">
      <c r="D227" s="3">
        <f>Maestro!D227</f>
        <v>0</v>
      </c>
      <c r="E227" s="3">
        <f>Maestro!C227</f>
        <v>0</v>
      </c>
      <c r="F227" s="3">
        <f>Maestro!L227</f>
        <v>0</v>
      </c>
      <c r="G227" t="str">
        <f t="shared" si="6"/>
        <v>Urbanización Alborada 1-4 PH - Factura del Mes de Agosto de 2017 0 - 0 - 0.pdf</v>
      </c>
      <c r="H227" t="str">
        <f t="shared" si="7"/>
        <v>C:\Users\USUARIO\Macros\FACTURAS Y LISTADOS\1130 - Urbanización Alborada 1-4 PH\Agosto de 2017\Urbanización Alborada 1-4 PH - Factura del Mes de Agosto de 2017 0 - 0 - 0.pdf</v>
      </c>
    </row>
    <row r="228" spans="4:8" x14ac:dyDescent="0.25">
      <c r="D228" s="3">
        <f>Maestro!D228</f>
        <v>0</v>
      </c>
      <c r="E228" s="3">
        <f>Maestro!C228</f>
        <v>0</v>
      </c>
      <c r="F228" s="3">
        <f>Maestro!L228</f>
        <v>0</v>
      </c>
      <c r="G228" t="str">
        <f t="shared" si="6"/>
        <v>Urbanización Alborada 1-4 PH - Factura del Mes de Agosto de 2017 0 - 0 - 0.pdf</v>
      </c>
      <c r="H228" t="str">
        <f t="shared" si="7"/>
        <v>C:\Users\USUARIO\Macros\FACTURAS Y LISTADOS\1130 - Urbanización Alborada 1-4 PH\Agosto de 2017\Urbanización Alborada 1-4 PH - Factura del Mes de Agosto de 2017 0 - 0 - 0.pdf</v>
      </c>
    </row>
    <row r="229" spans="4:8" x14ac:dyDescent="0.25">
      <c r="D229" s="3">
        <f>Maestro!D229</f>
        <v>0</v>
      </c>
      <c r="E229" s="3">
        <f>Maestro!C229</f>
        <v>0</v>
      </c>
      <c r="F229" s="3">
        <f>Maestro!L229</f>
        <v>0</v>
      </c>
      <c r="G229" t="str">
        <f t="shared" si="6"/>
        <v>Urbanización Alborada 1-4 PH - Factura del Mes de Agosto de 2017 0 - 0 - 0.pdf</v>
      </c>
      <c r="H229" t="str">
        <f t="shared" si="7"/>
        <v>C:\Users\USUARIO\Macros\FACTURAS Y LISTADOS\1130 - Urbanización Alborada 1-4 PH\Agosto de 2017\Urbanización Alborada 1-4 PH - Factura del Mes de Agosto de 2017 0 - 0 - 0.pdf</v>
      </c>
    </row>
    <row r="230" spans="4:8" x14ac:dyDescent="0.25">
      <c r="D230" s="3">
        <f>Maestro!D230</f>
        <v>0</v>
      </c>
      <c r="E230" s="3">
        <f>Maestro!C230</f>
        <v>0</v>
      </c>
      <c r="F230" s="3">
        <f>Maestro!L230</f>
        <v>0</v>
      </c>
      <c r="G230" t="str">
        <f t="shared" si="6"/>
        <v>Urbanización Alborada 1-4 PH - Factura del Mes de Agosto de 2017 0 - 0 - 0.pdf</v>
      </c>
      <c r="H230" t="str">
        <f t="shared" si="7"/>
        <v>C:\Users\USUARIO\Macros\FACTURAS Y LISTADOS\1130 - Urbanización Alborada 1-4 PH\Agosto de 2017\Urbanización Alborada 1-4 PH - Factura del Mes de Agosto de 2017 0 - 0 - 0.pdf</v>
      </c>
    </row>
    <row r="231" spans="4:8" x14ac:dyDescent="0.25">
      <c r="D231" s="3">
        <f>Maestro!D231</f>
        <v>0</v>
      </c>
      <c r="E231" s="3">
        <f>Maestro!C231</f>
        <v>0</v>
      </c>
      <c r="F231" s="3">
        <f>Maestro!L231</f>
        <v>0</v>
      </c>
      <c r="G231" t="str">
        <f t="shared" si="6"/>
        <v>Urbanización Alborada 1-4 PH - Factura del Mes de Agosto de 2017 0 - 0 - 0.pdf</v>
      </c>
      <c r="H231" t="str">
        <f t="shared" si="7"/>
        <v>C:\Users\USUARIO\Macros\FACTURAS Y LISTADOS\1130 - Urbanización Alborada 1-4 PH\Agosto de 2017\Urbanización Alborada 1-4 PH - Factura del Mes de Agosto de 2017 0 - 0 - 0.pdf</v>
      </c>
    </row>
    <row r="232" spans="4:8" x14ac:dyDescent="0.25">
      <c r="D232" s="3">
        <f>Maestro!D232</f>
        <v>0</v>
      </c>
      <c r="E232" s="3">
        <f>Maestro!C232</f>
        <v>0</v>
      </c>
      <c r="F232" s="3">
        <f>Maestro!L232</f>
        <v>0</v>
      </c>
      <c r="G232" t="str">
        <f t="shared" si="6"/>
        <v>Urbanización Alborada 1-4 PH - Factura del Mes de Agosto de 2017 0 - 0 - 0.pdf</v>
      </c>
      <c r="H232" t="str">
        <f t="shared" si="7"/>
        <v>C:\Users\USUARIO\Macros\FACTURAS Y LISTADOS\1130 - Urbanización Alborada 1-4 PH\Agosto de 2017\Urbanización Alborada 1-4 PH - Factura del Mes de Agosto de 2017 0 - 0 - 0.pdf</v>
      </c>
    </row>
    <row r="233" spans="4:8" x14ac:dyDescent="0.25">
      <c r="D233" s="3">
        <f>Maestro!D233</f>
        <v>0</v>
      </c>
      <c r="E233" s="3">
        <f>Maestro!C233</f>
        <v>0</v>
      </c>
      <c r="F233" s="3">
        <f>Maestro!L233</f>
        <v>0</v>
      </c>
      <c r="G233" t="str">
        <f t="shared" si="6"/>
        <v>Urbanización Alborada 1-4 PH - Factura del Mes de Agosto de 2017 0 - 0 - 0.pdf</v>
      </c>
      <c r="H233" t="str">
        <f t="shared" si="7"/>
        <v>C:\Users\USUARIO\Macros\FACTURAS Y LISTADOS\1130 - Urbanización Alborada 1-4 PH\Agosto de 2017\Urbanización Alborada 1-4 PH - Factura del Mes de Agosto de 2017 0 - 0 - 0.pdf</v>
      </c>
    </row>
    <row r="234" spans="4:8" x14ac:dyDescent="0.25">
      <c r="D234" s="3">
        <f>Maestro!D234</f>
        <v>0</v>
      </c>
      <c r="E234" s="3">
        <f>Maestro!C234</f>
        <v>0</v>
      </c>
      <c r="F234" s="3">
        <f>Maestro!L234</f>
        <v>0</v>
      </c>
      <c r="G234" t="str">
        <f t="shared" si="6"/>
        <v>Urbanización Alborada 1-4 PH - Factura del Mes de Agosto de 2017 0 - 0 - 0.pdf</v>
      </c>
      <c r="H234" t="str">
        <f t="shared" si="7"/>
        <v>C:\Users\USUARIO\Macros\FACTURAS Y LISTADOS\1130 - Urbanización Alborada 1-4 PH\Agosto de 2017\Urbanización Alborada 1-4 PH - Factura del Mes de Agosto de 2017 0 - 0 - 0.pdf</v>
      </c>
    </row>
    <row r="235" spans="4:8" x14ac:dyDescent="0.25">
      <c r="D235" s="3">
        <f>Maestro!D235</f>
        <v>0</v>
      </c>
      <c r="E235" s="3">
        <f>Maestro!C235</f>
        <v>0</v>
      </c>
      <c r="F235" s="3">
        <f>Maestro!L235</f>
        <v>0</v>
      </c>
      <c r="G235" t="str">
        <f t="shared" si="6"/>
        <v>Urbanización Alborada 1-4 PH - Factura del Mes de Agosto de 2017 0 - 0 - 0.pdf</v>
      </c>
      <c r="H235" t="str">
        <f t="shared" si="7"/>
        <v>C:\Users\USUARIO\Macros\FACTURAS Y LISTADOS\1130 - Urbanización Alborada 1-4 PH\Agosto de 2017\Urbanización Alborada 1-4 PH - Factura del Mes de Agosto de 2017 0 - 0 - 0.pdf</v>
      </c>
    </row>
    <row r="236" spans="4:8" x14ac:dyDescent="0.25">
      <c r="D236" s="3">
        <f>Maestro!D236</f>
        <v>0</v>
      </c>
      <c r="E236" s="3">
        <f>Maestro!C236</f>
        <v>0</v>
      </c>
      <c r="F236" s="3">
        <f>Maestro!L236</f>
        <v>0</v>
      </c>
      <c r="G236" t="str">
        <f t="shared" si="6"/>
        <v>Urbanización Alborada 1-4 PH - Factura del Mes de Agosto de 2017 0 - 0 - 0.pdf</v>
      </c>
      <c r="H236" t="str">
        <f t="shared" si="7"/>
        <v>C:\Users\USUARIO\Macros\FACTURAS Y LISTADOS\1130 - Urbanización Alborada 1-4 PH\Agosto de 2017\Urbanización Alborada 1-4 PH - Factura del Mes de Agosto de 2017 0 - 0 - 0.pdf</v>
      </c>
    </row>
    <row r="237" spans="4:8" x14ac:dyDescent="0.25">
      <c r="D237" s="3">
        <f>Maestro!D237</f>
        <v>0</v>
      </c>
      <c r="E237" s="3">
        <f>Maestro!C237</f>
        <v>0</v>
      </c>
      <c r="F237" s="3">
        <f>Maestro!L237</f>
        <v>0</v>
      </c>
      <c r="G237" t="str">
        <f t="shared" si="6"/>
        <v>Urbanización Alborada 1-4 PH - Factura del Mes de Agosto de 2017 0 - 0 - 0.pdf</v>
      </c>
      <c r="H237" t="str">
        <f t="shared" si="7"/>
        <v>C:\Users\USUARIO\Macros\FACTURAS Y LISTADOS\1130 - Urbanización Alborada 1-4 PH\Agosto de 2017\Urbanización Alborada 1-4 PH - Factura del Mes de Agosto de 2017 0 - 0 - 0.pdf</v>
      </c>
    </row>
    <row r="238" spans="4:8" x14ac:dyDescent="0.25">
      <c r="D238" s="3">
        <f>Maestro!D238</f>
        <v>0</v>
      </c>
      <c r="E238" s="3">
        <f>Maestro!C238</f>
        <v>0</v>
      </c>
      <c r="F238" s="3">
        <f>Maestro!L238</f>
        <v>0</v>
      </c>
      <c r="G238" t="str">
        <f t="shared" si="6"/>
        <v>Urbanización Alborada 1-4 PH - Factura del Mes de Agosto de 2017 0 - 0 - 0.pdf</v>
      </c>
      <c r="H238" t="str">
        <f t="shared" si="7"/>
        <v>C:\Users\USUARIO\Macros\FACTURAS Y LISTADOS\1130 - Urbanización Alborada 1-4 PH\Agosto de 2017\Urbanización Alborada 1-4 PH - Factura del Mes de Agosto de 2017 0 - 0 - 0.pdf</v>
      </c>
    </row>
    <row r="239" spans="4:8" x14ac:dyDescent="0.25">
      <c r="D239" s="3">
        <f>Maestro!D239</f>
        <v>0</v>
      </c>
      <c r="E239" s="3">
        <f>Maestro!C239</f>
        <v>0</v>
      </c>
      <c r="F239" s="3">
        <f>Maestro!L239</f>
        <v>0</v>
      </c>
      <c r="G239" t="str">
        <f t="shared" si="6"/>
        <v>Urbanización Alborada 1-4 PH - Factura del Mes de Agosto de 2017 0 - 0 - 0.pdf</v>
      </c>
      <c r="H239" t="str">
        <f t="shared" si="7"/>
        <v>C:\Users\USUARIO\Macros\FACTURAS Y LISTADOS\1130 - Urbanización Alborada 1-4 PH\Agosto de 2017\Urbanización Alborada 1-4 PH - Factura del Mes de Agosto de 2017 0 - 0 - 0.pdf</v>
      </c>
    </row>
    <row r="240" spans="4:8" x14ac:dyDescent="0.25">
      <c r="D240" s="3">
        <f>Maestro!D240</f>
        <v>0</v>
      </c>
      <c r="E240" s="3">
        <f>Maestro!C240</f>
        <v>0</v>
      </c>
      <c r="F240" s="3">
        <f>Maestro!L240</f>
        <v>0</v>
      </c>
      <c r="G240" t="str">
        <f t="shared" si="6"/>
        <v>Urbanización Alborada 1-4 PH - Factura del Mes de Agosto de 2017 0 - 0 - 0.pdf</v>
      </c>
      <c r="H240" t="str">
        <f t="shared" si="7"/>
        <v>C:\Users\USUARIO\Macros\FACTURAS Y LISTADOS\1130 - Urbanización Alborada 1-4 PH\Agosto de 2017\Urbanización Alborada 1-4 PH - Factura del Mes de Agosto de 2017 0 - 0 - 0.pdf</v>
      </c>
    </row>
    <row r="241" spans="4:8" x14ac:dyDescent="0.25">
      <c r="D241" s="3">
        <f>Maestro!D241</f>
        <v>0</v>
      </c>
      <c r="E241" s="3">
        <f>Maestro!C241</f>
        <v>0</v>
      </c>
      <c r="F241" s="3">
        <f>Maestro!L241</f>
        <v>0</v>
      </c>
      <c r="G241" t="str">
        <f t="shared" si="6"/>
        <v>Urbanización Alborada 1-4 PH - Factura del Mes de Agosto de 2017 0 - 0 - 0.pdf</v>
      </c>
      <c r="H241" t="str">
        <f t="shared" si="7"/>
        <v>C:\Users\USUARIO\Macros\FACTURAS Y LISTADOS\1130 - Urbanización Alborada 1-4 PH\Agosto de 2017\Urbanización Alborada 1-4 PH - Factura del Mes de Agosto de 2017 0 - 0 - 0.pdf</v>
      </c>
    </row>
    <row r="242" spans="4:8" x14ac:dyDescent="0.25">
      <c r="D242" s="3">
        <f>Maestro!D242</f>
        <v>0</v>
      </c>
      <c r="E242" s="3">
        <f>Maestro!C242</f>
        <v>0</v>
      </c>
      <c r="F242" s="3">
        <f>Maestro!L242</f>
        <v>0</v>
      </c>
      <c r="G242" t="str">
        <f t="shared" si="6"/>
        <v>Urbanización Alborada 1-4 PH - Factura del Mes de Agosto de 2017 0 - 0 - 0.pdf</v>
      </c>
      <c r="H242" t="str">
        <f t="shared" si="7"/>
        <v>C:\Users\USUARIO\Macros\FACTURAS Y LISTADOS\1130 - Urbanización Alborada 1-4 PH\Agosto de 2017\Urbanización Alborada 1-4 PH - Factura del Mes de Agosto de 2017 0 - 0 - 0.pdf</v>
      </c>
    </row>
    <row r="243" spans="4:8" x14ac:dyDescent="0.25">
      <c r="D243" s="3">
        <f>Maestro!D243</f>
        <v>0</v>
      </c>
      <c r="E243" s="3">
        <f>Maestro!C243</f>
        <v>0</v>
      </c>
      <c r="F243" s="3">
        <f>Maestro!L243</f>
        <v>0</v>
      </c>
      <c r="G243" t="str">
        <f t="shared" si="6"/>
        <v>Urbanización Alborada 1-4 PH - Factura del Mes de Agosto de 2017 0 - 0 - 0.pdf</v>
      </c>
      <c r="H243" t="str">
        <f t="shared" si="7"/>
        <v>C:\Users\USUARIO\Macros\FACTURAS Y LISTADOS\1130 - Urbanización Alborada 1-4 PH\Agosto de 2017\Urbanización Alborada 1-4 PH - Factura del Mes de Agosto de 2017 0 - 0 - 0.pdf</v>
      </c>
    </row>
    <row r="244" spans="4:8" x14ac:dyDescent="0.25">
      <c r="D244" s="3">
        <f>Maestro!D244</f>
        <v>0</v>
      </c>
      <c r="E244" s="3">
        <f>Maestro!C244</f>
        <v>0</v>
      </c>
      <c r="F244" s="3">
        <f>Maestro!L244</f>
        <v>0</v>
      </c>
      <c r="G244" t="str">
        <f t="shared" si="6"/>
        <v>Urbanización Alborada 1-4 PH - Factura del Mes de Agosto de 2017 0 - 0 - 0.pdf</v>
      </c>
      <c r="H244" t="str">
        <f t="shared" si="7"/>
        <v>C:\Users\USUARIO\Macros\FACTURAS Y LISTADOS\1130 - Urbanización Alborada 1-4 PH\Agosto de 2017\Urbanización Alborada 1-4 PH - Factura del Mes de Agosto de 2017 0 - 0 - 0.pdf</v>
      </c>
    </row>
    <row r="245" spans="4:8" x14ac:dyDescent="0.25">
      <c r="D245" s="3">
        <f>Maestro!D245</f>
        <v>0</v>
      </c>
      <c r="E245" s="3">
        <f>Maestro!C245</f>
        <v>0</v>
      </c>
      <c r="F245" s="3">
        <f>Maestro!L245</f>
        <v>0</v>
      </c>
      <c r="G245" t="str">
        <f t="shared" si="6"/>
        <v>Urbanización Alborada 1-4 PH - Factura del Mes de Agosto de 2017 0 - 0 - 0.pdf</v>
      </c>
      <c r="H245" t="str">
        <f t="shared" si="7"/>
        <v>C:\Users\USUARIO\Macros\FACTURAS Y LISTADOS\1130 - Urbanización Alborada 1-4 PH\Agosto de 2017\Urbanización Alborada 1-4 PH - Factura del Mes de Agosto de 2017 0 - 0 - 0.pdf</v>
      </c>
    </row>
    <row r="246" spans="4:8" x14ac:dyDescent="0.25">
      <c r="D246" s="3">
        <f>Maestro!D246</f>
        <v>0</v>
      </c>
      <c r="E246" s="3">
        <f>Maestro!C246</f>
        <v>0</v>
      </c>
      <c r="F246" s="3">
        <f>Maestro!L246</f>
        <v>0</v>
      </c>
      <c r="G246" t="str">
        <f t="shared" si="6"/>
        <v>Urbanización Alborada 1-4 PH - Factura del Mes de Agosto de 2017 0 - 0 - 0.pdf</v>
      </c>
      <c r="H246" t="str">
        <f t="shared" si="7"/>
        <v>C:\Users\USUARIO\Macros\FACTURAS Y LISTADOS\1130 - Urbanización Alborada 1-4 PH\Agosto de 2017\Urbanización Alborada 1-4 PH - Factura del Mes de Agosto de 2017 0 - 0 - 0.pdf</v>
      </c>
    </row>
    <row r="247" spans="4:8" x14ac:dyDescent="0.25">
      <c r="D247" s="3">
        <f>Maestro!D247</f>
        <v>0</v>
      </c>
      <c r="E247" s="3">
        <f>Maestro!C247</f>
        <v>0</v>
      </c>
      <c r="F247" s="3">
        <f>Maestro!L247</f>
        <v>0</v>
      </c>
      <c r="G247" t="str">
        <f t="shared" si="6"/>
        <v>Urbanización Alborada 1-4 PH - Factura del Mes de Agosto de 2017 0 - 0 - 0.pdf</v>
      </c>
      <c r="H247" t="str">
        <f t="shared" si="7"/>
        <v>C:\Users\USUARIO\Macros\FACTURAS Y LISTADOS\1130 - Urbanización Alborada 1-4 PH\Agosto de 2017\Urbanización Alborada 1-4 PH - Factura del Mes de Agosto de 2017 0 - 0 - 0.pdf</v>
      </c>
    </row>
    <row r="248" spans="4:8" x14ac:dyDescent="0.25">
      <c r="D248" s="3">
        <f>Maestro!D248</f>
        <v>0</v>
      </c>
      <c r="E248" s="3">
        <f>Maestro!C248</f>
        <v>0</v>
      </c>
      <c r="F248" s="3">
        <f>Maestro!L248</f>
        <v>0</v>
      </c>
      <c r="G248" t="str">
        <f t="shared" si="6"/>
        <v>Urbanización Alborada 1-4 PH - Factura del Mes de Agosto de 2017 0 - 0 - 0.pdf</v>
      </c>
      <c r="H248" t="str">
        <f t="shared" si="7"/>
        <v>C:\Users\USUARIO\Macros\FACTURAS Y LISTADOS\1130 - Urbanización Alborada 1-4 PH\Agosto de 2017\Urbanización Alborada 1-4 PH - Factura del Mes de Agosto de 2017 0 - 0 - 0.pdf</v>
      </c>
    </row>
    <row r="249" spans="4:8" x14ac:dyDescent="0.25">
      <c r="D249" s="3">
        <f>Maestro!D249</f>
        <v>0</v>
      </c>
      <c r="E249" s="3">
        <f>Maestro!C249</f>
        <v>0</v>
      </c>
      <c r="F249" s="3">
        <f>Maestro!L249</f>
        <v>0</v>
      </c>
      <c r="G249" t="str">
        <f t="shared" si="6"/>
        <v>Urbanización Alborada 1-4 PH - Factura del Mes de Agosto de 2017 0 - 0 - 0.pdf</v>
      </c>
      <c r="H249" t="str">
        <f t="shared" si="7"/>
        <v>C:\Users\USUARIO\Macros\FACTURAS Y LISTADOS\1130 - Urbanización Alborada 1-4 PH\Agosto de 2017\Urbanización Alborada 1-4 PH - Factura del Mes de Agosto de 2017 0 - 0 - 0.pdf</v>
      </c>
    </row>
    <row r="250" spans="4:8" x14ac:dyDescent="0.25">
      <c r="D250" s="3">
        <f>Maestro!D250</f>
        <v>0</v>
      </c>
      <c r="E250" s="3">
        <f>Maestro!C250</f>
        <v>0</v>
      </c>
      <c r="F250" s="3">
        <f>Maestro!L250</f>
        <v>0</v>
      </c>
      <c r="G250" t="str">
        <f t="shared" si="6"/>
        <v>Urbanización Alborada 1-4 PH - Factura del Mes de Agosto de 2017 0 - 0 - 0.pdf</v>
      </c>
      <c r="H250" t="str">
        <f t="shared" si="7"/>
        <v>C:\Users\USUARIO\Macros\FACTURAS Y LISTADOS\1130 - Urbanización Alborada 1-4 PH\Agosto de 2017\Urbanización Alborada 1-4 PH - Factura del Mes de Agosto de 2017 0 - 0 - 0.pdf</v>
      </c>
    </row>
    <row r="251" spans="4:8" x14ac:dyDescent="0.25">
      <c r="D251" s="3">
        <f>Maestro!D251</f>
        <v>0</v>
      </c>
      <c r="E251" s="3">
        <f>Maestro!C251</f>
        <v>0</v>
      </c>
      <c r="F251" s="3">
        <f>Maestro!L251</f>
        <v>0</v>
      </c>
      <c r="G251" t="str">
        <f t="shared" si="6"/>
        <v>Urbanización Alborada 1-4 PH - Factura del Mes de Agosto de 2017 0 - 0 - 0.pdf</v>
      </c>
      <c r="H251" t="str">
        <f t="shared" si="7"/>
        <v>C:\Users\USUARIO\Macros\FACTURAS Y LISTADOS\1130 - Urbanización Alborada 1-4 PH\Agosto de 2017\Urbanización Alborada 1-4 PH - Factura del Mes de Agosto de 2017 0 - 0 - 0.pdf</v>
      </c>
    </row>
    <row r="252" spans="4:8" x14ac:dyDescent="0.25">
      <c r="D252" s="3">
        <f>Maestro!D252</f>
        <v>0</v>
      </c>
      <c r="E252" s="3">
        <f>Maestro!C252</f>
        <v>0</v>
      </c>
      <c r="F252" s="3">
        <f>Maestro!L252</f>
        <v>0</v>
      </c>
      <c r="G252" t="str">
        <f t="shared" si="6"/>
        <v>Urbanización Alborada 1-4 PH - Factura del Mes de Agosto de 2017 0 - 0 - 0.pdf</v>
      </c>
      <c r="H252" t="str">
        <f t="shared" si="7"/>
        <v>C:\Users\USUARIO\Macros\FACTURAS Y LISTADOS\1130 - Urbanización Alborada 1-4 PH\Agosto de 2017\Urbanización Alborada 1-4 PH - Factura del Mes de Agosto de 2017 0 - 0 - 0.pdf</v>
      </c>
    </row>
    <row r="253" spans="4:8" x14ac:dyDescent="0.25">
      <c r="D253" s="3">
        <f>Maestro!D253</f>
        <v>0</v>
      </c>
      <c r="E253" s="3">
        <f>Maestro!C253</f>
        <v>0</v>
      </c>
      <c r="F253" s="3">
        <f>Maestro!L253</f>
        <v>0</v>
      </c>
      <c r="G253" t="str">
        <f t="shared" si="6"/>
        <v>Urbanización Alborada 1-4 PH - Factura del Mes de Agosto de 2017 0 - 0 - 0.pdf</v>
      </c>
      <c r="H253" t="str">
        <f t="shared" si="7"/>
        <v>C:\Users\USUARIO\Macros\FACTURAS Y LISTADOS\1130 - Urbanización Alborada 1-4 PH\Agosto de 2017\Urbanización Alborada 1-4 PH - Factura del Mes de Agosto de 2017 0 - 0 - 0.pdf</v>
      </c>
    </row>
    <row r="254" spans="4:8" x14ac:dyDescent="0.25">
      <c r="D254" s="3">
        <f>Maestro!D254</f>
        <v>0</v>
      </c>
      <c r="E254" s="3">
        <f>Maestro!C254</f>
        <v>0</v>
      </c>
      <c r="F254" s="3">
        <f>Maestro!L254</f>
        <v>0</v>
      </c>
      <c r="G254" t="str">
        <f t="shared" si="6"/>
        <v>Urbanización Alborada 1-4 PH - Factura del Mes de Agosto de 2017 0 - 0 - 0.pdf</v>
      </c>
      <c r="H254" t="str">
        <f t="shared" si="7"/>
        <v>C:\Users\USUARIO\Macros\FACTURAS Y LISTADOS\1130 - Urbanización Alborada 1-4 PH\Agosto de 2017\Urbanización Alborada 1-4 PH - Factura del Mes de Agosto de 2017 0 - 0 - 0.pdf</v>
      </c>
    </row>
    <row r="255" spans="4:8" x14ac:dyDescent="0.25">
      <c r="D255" s="3">
        <f>Maestro!D255</f>
        <v>0</v>
      </c>
      <c r="E255" s="3">
        <f>Maestro!C255</f>
        <v>0</v>
      </c>
      <c r="F255" s="3">
        <f>Maestro!L255</f>
        <v>0</v>
      </c>
      <c r="G255" t="str">
        <f t="shared" si="6"/>
        <v>Urbanización Alborada 1-4 PH - Factura del Mes de Agosto de 2017 0 - 0 - 0.pdf</v>
      </c>
      <c r="H255" t="str">
        <f t="shared" si="7"/>
        <v>C:\Users\USUARIO\Macros\FACTURAS Y LISTADOS\1130 - Urbanización Alborada 1-4 PH\Agosto de 2017\Urbanización Alborada 1-4 PH - Factura del Mes de Agosto de 2017 0 - 0 - 0.pdf</v>
      </c>
    </row>
    <row r="256" spans="4:8" x14ac:dyDescent="0.25">
      <c r="D256" s="3">
        <f>Maestro!D256</f>
        <v>0</v>
      </c>
      <c r="E256" s="3">
        <f>Maestro!C256</f>
        <v>0</v>
      </c>
      <c r="F256" s="3">
        <f>Maestro!L256</f>
        <v>0</v>
      </c>
      <c r="G256" t="str">
        <f t="shared" si="6"/>
        <v>Urbanización Alborada 1-4 PH - Factura del Mes de Agosto de 2017 0 - 0 - 0.pdf</v>
      </c>
      <c r="H256" t="str">
        <f t="shared" si="7"/>
        <v>C:\Users\USUARIO\Macros\FACTURAS Y LISTADOS\1130 - Urbanización Alborada 1-4 PH\Agosto de 2017\Urbanización Alborada 1-4 PH - Factura del Mes de Agosto de 2017 0 - 0 - 0.pdf</v>
      </c>
    </row>
    <row r="257" spans="4:8" x14ac:dyDescent="0.25">
      <c r="D257" s="3">
        <f>Maestro!D257</f>
        <v>0</v>
      </c>
      <c r="E257" s="3">
        <f>Maestro!C257</f>
        <v>0</v>
      </c>
      <c r="F257" s="3">
        <f>Maestro!L257</f>
        <v>0</v>
      </c>
      <c r="G257" t="str">
        <f t="shared" si="6"/>
        <v>Urbanización Alborada 1-4 PH - Factura del Mes de Agosto de 2017 0 - 0 - 0.pdf</v>
      </c>
      <c r="H257" t="str">
        <f t="shared" si="7"/>
        <v>C:\Users\USUARIO\Macros\FACTURAS Y LISTADOS\1130 - Urbanización Alborada 1-4 PH\Agosto de 2017\Urbanización Alborada 1-4 PH - Factura del Mes de Agosto de 2017 0 - 0 - 0.pdf</v>
      </c>
    </row>
    <row r="258" spans="4:8" x14ac:dyDescent="0.25">
      <c r="D258" s="3">
        <f>Maestro!D258</f>
        <v>0</v>
      </c>
      <c r="E258" s="3">
        <f>Maestro!C258</f>
        <v>0</v>
      </c>
      <c r="F258" s="3">
        <f>Maestro!L258</f>
        <v>0</v>
      </c>
      <c r="G258" t="str">
        <f t="shared" ref="G258:G300" si="8">CONCATENATE($G$1,$A$6,$A$15,$A$3,$A$1,$A$4,$B$1,$A$5,$A$7,E258,$A$6,D258, $A$6, F258,$A$8 )</f>
        <v>Urbanización Alborada 1-4 PH - Factura del Mes de Agosto de 2017 0 - 0 - 0.pdf</v>
      </c>
      <c r="H258" t="str">
        <f t="shared" ref="H258:H309" si="9">CONCATENATE($H$1,$A$10,$A$1,$A$4,$B$1,$A$10,G258)</f>
        <v>C:\Users\USUARIO\Macros\FACTURAS Y LISTADOS\1130 - Urbanización Alborada 1-4 PH\Agosto de 2017\Urbanización Alborada 1-4 PH - Factura del Mes de Agosto de 2017 0 - 0 - 0.pdf</v>
      </c>
    </row>
    <row r="259" spans="4:8" x14ac:dyDescent="0.25">
      <c r="D259" s="3">
        <f>Maestro!D259</f>
        <v>0</v>
      </c>
      <c r="E259" s="3">
        <f>Maestro!C259</f>
        <v>0</v>
      </c>
      <c r="F259" s="3">
        <f>Maestro!L259</f>
        <v>0</v>
      </c>
      <c r="G259" t="str">
        <f t="shared" si="8"/>
        <v>Urbanización Alborada 1-4 PH - Factura del Mes de Agosto de 2017 0 - 0 - 0.pdf</v>
      </c>
      <c r="H259" t="str">
        <f t="shared" si="9"/>
        <v>C:\Users\USUARIO\Macros\FACTURAS Y LISTADOS\1130 - Urbanización Alborada 1-4 PH\Agosto de 2017\Urbanización Alborada 1-4 PH - Factura del Mes de Agosto de 2017 0 - 0 - 0.pdf</v>
      </c>
    </row>
    <row r="260" spans="4:8" x14ac:dyDescent="0.25">
      <c r="D260" s="3">
        <f>Maestro!D260</f>
        <v>0</v>
      </c>
      <c r="E260" s="3">
        <f>Maestro!C260</f>
        <v>0</v>
      </c>
      <c r="F260" s="3">
        <f>Maestro!L260</f>
        <v>0</v>
      </c>
      <c r="G260" t="str">
        <f t="shared" si="8"/>
        <v>Urbanización Alborada 1-4 PH - Factura del Mes de Agosto de 2017 0 - 0 - 0.pdf</v>
      </c>
      <c r="H260" t="str">
        <f t="shared" si="9"/>
        <v>C:\Users\USUARIO\Macros\FACTURAS Y LISTADOS\1130 - Urbanización Alborada 1-4 PH\Agosto de 2017\Urbanización Alborada 1-4 PH - Factura del Mes de Agosto de 2017 0 - 0 - 0.pdf</v>
      </c>
    </row>
    <row r="261" spans="4:8" x14ac:dyDescent="0.25">
      <c r="D261" s="3">
        <f>Maestro!D261</f>
        <v>0</v>
      </c>
      <c r="E261" s="3">
        <f>Maestro!C261</f>
        <v>0</v>
      </c>
      <c r="F261" s="3">
        <f>Maestro!L261</f>
        <v>0</v>
      </c>
      <c r="G261" t="str">
        <f t="shared" si="8"/>
        <v>Urbanización Alborada 1-4 PH - Factura del Mes de Agosto de 2017 0 - 0 - 0.pdf</v>
      </c>
      <c r="H261" t="str">
        <f t="shared" si="9"/>
        <v>C:\Users\USUARIO\Macros\FACTURAS Y LISTADOS\1130 - Urbanización Alborada 1-4 PH\Agosto de 2017\Urbanización Alborada 1-4 PH - Factura del Mes de Agosto de 2017 0 - 0 - 0.pdf</v>
      </c>
    </row>
    <row r="262" spans="4:8" x14ac:dyDescent="0.25">
      <c r="D262" s="3">
        <f>Maestro!D262</f>
        <v>0</v>
      </c>
      <c r="E262" s="3">
        <f>Maestro!C262</f>
        <v>0</v>
      </c>
      <c r="F262" s="3">
        <f>Maestro!L262</f>
        <v>0</v>
      </c>
      <c r="G262" t="str">
        <f t="shared" si="8"/>
        <v>Urbanización Alborada 1-4 PH - Factura del Mes de Agosto de 2017 0 - 0 - 0.pdf</v>
      </c>
      <c r="H262" t="str">
        <f t="shared" si="9"/>
        <v>C:\Users\USUARIO\Macros\FACTURAS Y LISTADOS\1130 - Urbanización Alborada 1-4 PH\Agosto de 2017\Urbanización Alborada 1-4 PH - Factura del Mes de Agosto de 2017 0 - 0 - 0.pdf</v>
      </c>
    </row>
    <row r="263" spans="4:8" x14ac:dyDescent="0.25">
      <c r="D263" s="3">
        <f>Maestro!D263</f>
        <v>0</v>
      </c>
      <c r="E263" s="3">
        <f>Maestro!C263</f>
        <v>0</v>
      </c>
      <c r="F263" s="3">
        <f>Maestro!L263</f>
        <v>0</v>
      </c>
      <c r="G263" t="str">
        <f t="shared" si="8"/>
        <v>Urbanización Alborada 1-4 PH - Factura del Mes de Agosto de 2017 0 - 0 - 0.pdf</v>
      </c>
      <c r="H263" t="str">
        <f t="shared" si="9"/>
        <v>C:\Users\USUARIO\Macros\FACTURAS Y LISTADOS\1130 - Urbanización Alborada 1-4 PH\Agosto de 2017\Urbanización Alborada 1-4 PH - Factura del Mes de Agosto de 2017 0 - 0 - 0.pdf</v>
      </c>
    </row>
    <row r="264" spans="4:8" x14ac:dyDescent="0.25">
      <c r="D264" s="3">
        <f>Maestro!D264</f>
        <v>0</v>
      </c>
      <c r="E264" s="3">
        <f>Maestro!C264</f>
        <v>0</v>
      </c>
      <c r="F264" s="3">
        <f>Maestro!L264</f>
        <v>0</v>
      </c>
      <c r="G264" t="str">
        <f t="shared" si="8"/>
        <v>Urbanización Alborada 1-4 PH - Factura del Mes de Agosto de 2017 0 - 0 - 0.pdf</v>
      </c>
      <c r="H264" t="str">
        <f t="shared" si="9"/>
        <v>C:\Users\USUARIO\Macros\FACTURAS Y LISTADOS\1130 - Urbanización Alborada 1-4 PH\Agosto de 2017\Urbanización Alborada 1-4 PH - Factura del Mes de Agosto de 2017 0 - 0 - 0.pdf</v>
      </c>
    </row>
    <row r="265" spans="4:8" x14ac:dyDescent="0.25">
      <c r="D265" s="3">
        <f>Maestro!D265</f>
        <v>0</v>
      </c>
      <c r="E265" s="3">
        <f>Maestro!C265</f>
        <v>0</v>
      </c>
      <c r="F265" s="3">
        <f>Maestro!L265</f>
        <v>0</v>
      </c>
      <c r="G265" t="str">
        <f t="shared" si="8"/>
        <v>Urbanización Alborada 1-4 PH - Factura del Mes de Agosto de 2017 0 - 0 - 0.pdf</v>
      </c>
      <c r="H265" t="str">
        <f t="shared" si="9"/>
        <v>C:\Users\USUARIO\Macros\FACTURAS Y LISTADOS\1130 - Urbanización Alborada 1-4 PH\Agosto de 2017\Urbanización Alborada 1-4 PH - Factura del Mes de Agosto de 2017 0 - 0 - 0.pdf</v>
      </c>
    </row>
    <row r="266" spans="4:8" x14ac:dyDescent="0.25">
      <c r="D266" s="3">
        <f>Maestro!D266</f>
        <v>0</v>
      </c>
      <c r="E266" s="3">
        <f>Maestro!C266</f>
        <v>0</v>
      </c>
      <c r="F266" s="3">
        <f>Maestro!L266</f>
        <v>0</v>
      </c>
      <c r="G266" t="str">
        <f t="shared" si="8"/>
        <v>Urbanización Alborada 1-4 PH - Factura del Mes de Agosto de 2017 0 - 0 - 0.pdf</v>
      </c>
      <c r="H266" t="str">
        <f t="shared" si="9"/>
        <v>C:\Users\USUARIO\Macros\FACTURAS Y LISTADOS\1130 - Urbanización Alborada 1-4 PH\Agosto de 2017\Urbanización Alborada 1-4 PH - Factura del Mes de Agosto de 2017 0 - 0 - 0.pdf</v>
      </c>
    </row>
    <row r="267" spans="4:8" x14ac:dyDescent="0.25">
      <c r="D267" s="3">
        <f>Maestro!D267</f>
        <v>0</v>
      </c>
      <c r="E267" s="3">
        <f>Maestro!C267</f>
        <v>0</v>
      </c>
      <c r="F267" s="3">
        <f>Maestro!L267</f>
        <v>0</v>
      </c>
      <c r="G267" t="str">
        <f t="shared" si="8"/>
        <v>Urbanización Alborada 1-4 PH - Factura del Mes de Agosto de 2017 0 - 0 - 0.pdf</v>
      </c>
      <c r="H267" t="str">
        <f t="shared" si="9"/>
        <v>C:\Users\USUARIO\Macros\FACTURAS Y LISTADOS\1130 - Urbanización Alborada 1-4 PH\Agosto de 2017\Urbanización Alborada 1-4 PH - Factura del Mes de Agosto de 2017 0 - 0 - 0.pdf</v>
      </c>
    </row>
    <row r="268" spans="4:8" x14ac:dyDescent="0.25">
      <c r="D268" s="3">
        <f>Maestro!D268</f>
        <v>0</v>
      </c>
      <c r="E268" s="3">
        <f>Maestro!C268</f>
        <v>0</v>
      </c>
      <c r="F268" s="3">
        <f>Maestro!L268</f>
        <v>0</v>
      </c>
      <c r="G268" t="str">
        <f t="shared" si="8"/>
        <v>Urbanización Alborada 1-4 PH - Factura del Mes de Agosto de 2017 0 - 0 - 0.pdf</v>
      </c>
      <c r="H268" t="str">
        <f t="shared" si="9"/>
        <v>C:\Users\USUARIO\Macros\FACTURAS Y LISTADOS\1130 - Urbanización Alborada 1-4 PH\Agosto de 2017\Urbanización Alborada 1-4 PH - Factura del Mes de Agosto de 2017 0 - 0 - 0.pdf</v>
      </c>
    </row>
    <row r="269" spans="4:8" x14ac:dyDescent="0.25">
      <c r="D269" s="3">
        <f>Maestro!D269</f>
        <v>0</v>
      </c>
      <c r="E269" s="3">
        <f>Maestro!C269</f>
        <v>0</v>
      </c>
      <c r="F269" s="3">
        <f>Maestro!L269</f>
        <v>0</v>
      </c>
      <c r="G269" t="str">
        <f t="shared" si="8"/>
        <v>Urbanización Alborada 1-4 PH - Factura del Mes de Agosto de 2017 0 - 0 - 0.pdf</v>
      </c>
      <c r="H269" t="str">
        <f t="shared" si="9"/>
        <v>C:\Users\USUARIO\Macros\FACTURAS Y LISTADOS\1130 - Urbanización Alborada 1-4 PH\Agosto de 2017\Urbanización Alborada 1-4 PH - Factura del Mes de Agosto de 2017 0 - 0 - 0.pdf</v>
      </c>
    </row>
    <row r="270" spans="4:8" x14ac:dyDescent="0.25">
      <c r="D270" s="3">
        <f>Maestro!D270</f>
        <v>0</v>
      </c>
      <c r="E270" s="3">
        <f>Maestro!C270</f>
        <v>0</v>
      </c>
      <c r="F270" s="3">
        <f>Maestro!L270</f>
        <v>0</v>
      </c>
      <c r="G270" t="str">
        <f t="shared" si="8"/>
        <v>Urbanización Alborada 1-4 PH - Factura del Mes de Agosto de 2017 0 - 0 - 0.pdf</v>
      </c>
      <c r="H270" t="str">
        <f t="shared" si="9"/>
        <v>C:\Users\USUARIO\Macros\FACTURAS Y LISTADOS\1130 - Urbanización Alborada 1-4 PH\Agosto de 2017\Urbanización Alborada 1-4 PH - Factura del Mes de Agosto de 2017 0 - 0 - 0.pdf</v>
      </c>
    </row>
    <row r="271" spans="4:8" x14ac:dyDescent="0.25">
      <c r="D271" s="3">
        <f>Maestro!D271</f>
        <v>0</v>
      </c>
      <c r="E271" s="3">
        <f>Maestro!C271</f>
        <v>0</v>
      </c>
      <c r="F271" s="3">
        <f>Maestro!L271</f>
        <v>0</v>
      </c>
      <c r="G271" t="str">
        <f t="shared" si="8"/>
        <v>Urbanización Alborada 1-4 PH - Factura del Mes de Agosto de 2017 0 - 0 - 0.pdf</v>
      </c>
      <c r="H271" t="str">
        <f t="shared" si="9"/>
        <v>C:\Users\USUARIO\Macros\FACTURAS Y LISTADOS\1130 - Urbanización Alborada 1-4 PH\Agosto de 2017\Urbanización Alborada 1-4 PH - Factura del Mes de Agosto de 2017 0 - 0 - 0.pdf</v>
      </c>
    </row>
    <row r="272" spans="4:8" x14ac:dyDescent="0.25">
      <c r="D272" s="3">
        <f>Maestro!D272</f>
        <v>0</v>
      </c>
      <c r="E272" s="3">
        <f>Maestro!C272</f>
        <v>0</v>
      </c>
      <c r="F272" s="3">
        <f>Maestro!L272</f>
        <v>0</v>
      </c>
      <c r="G272" t="str">
        <f t="shared" si="8"/>
        <v>Urbanización Alborada 1-4 PH - Factura del Mes de Agosto de 2017 0 - 0 - 0.pdf</v>
      </c>
      <c r="H272" t="str">
        <f t="shared" si="9"/>
        <v>C:\Users\USUARIO\Macros\FACTURAS Y LISTADOS\1130 - Urbanización Alborada 1-4 PH\Agosto de 2017\Urbanización Alborada 1-4 PH - Factura del Mes de Agosto de 2017 0 - 0 - 0.pdf</v>
      </c>
    </row>
    <row r="273" spans="4:8" x14ac:dyDescent="0.25">
      <c r="D273" s="3">
        <f>Maestro!D273</f>
        <v>0</v>
      </c>
      <c r="E273" s="3">
        <f>Maestro!C273</f>
        <v>0</v>
      </c>
      <c r="F273" s="3">
        <f>Maestro!L273</f>
        <v>0</v>
      </c>
      <c r="G273" t="str">
        <f t="shared" si="8"/>
        <v>Urbanización Alborada 1-4 PH - Factura del Mes de Agosto de 2017 0 - 0 - 0.pdf</v>
      </c>
      <c r="H273" t="str">
        <f t="shared" si="9"/>
        <v>C:\Users\USUARIO\Macros\FACTURAS Y LISTADOS\1130 - Urbanización Alborada 1-4 PH\Agosto de 2017\Urbanización Alborada 1-4 PH - Factura del Mes de Agosto de 2017 0 - 0 - 0.pdf</v>
      </c>
    </row>
    <row r="274" spans="4:8" x14ac:dyDescent="0.25">
      <c r="D274" s="3">
        <f>Maestro!D274</f>
        <v>0</v>
      </c>
      <c r="E274" s="3">
        <f>Maestro!C274</f>
        <v>0</v>
      </c>
      <c r="F274" s="3">
        <f>Maestro!L274</f>
        <v>0</v>
      </c>
      <c r="G274" t="str">
        <f t="shared" si="8"/>
        <v>Urbanización Alborada 1-4 PH - Factura del Mes de Agosto de 2017 0 - 0 - 0.pdf</v>
      </c>
      <c r="H274" t="str">
        <f t="shared" si="9"/>
        <v>C:\Users\USUARIO\Macros\FACTURAS Y LISTADOS\1130 - Urbanización Alborada 1-4 PH\Agosto de 2017\Urbanización Alborada 1-4 PH - Factura del Mes de Agosto de 2017 0 - 0 - 0.pdf</v>
      </c>
    </row>
    <row r="275" spans="4:8" x14ac:dyDescent="0.25">
      <c r="D275" s="3">
        <f>Maestro!D275</f>
        <v>0</v>
      </c>
      <c r="E275" s="3">
        <f>Maestro!C275</f>
        <v>0</v>
      </c>
      <c r="F275" s="3">
        <f>Maestro!L275</f>
        <v>0</v>
      </c>
      <c r="G275" t="str">
        <f t="shared" si="8"/>
        <v>Urbanización Alborada 1-4 PH - Factura del Mes de Agosto de 2017 0 - 0 - 0.pdf</v>
      </c>
      <c r="H275" t="str">
        <f t="shared" si="9"/>
        <v>C:\Users\USUARIO\Macros\FACTURAS Y LISTADOS\1130 - Urbanización Alborada 1-4 PH\Agosto de 2017\Urbanización Alborada 1-4 PH - Factura del Mes de Agosto de 2017 0 - 0 - 0.pdf</v>
      </c>
    </row>
    <row r="276" spans="4:8" x14ac:dyDescent="0.25">
      <c r="D276" s="3">
        <f>Maestro!D276</f>
        <v>0</v>
      </c>
      <c r="E276" s="3">
        <f>Maestro!C276</f>
        <v>0</v>
      </c>
      <c r="F276" s="3">
        <f>Maestro!L276</f>
        <v>0</v>
      </c>
      <c r="G276" t="str">
        <f t="shared" si="8"/>
        <v>Urbanización Alborada 1-4 PH - Factura del Mes de Agosto de 2017 0 - 0 - 0.pdf</v>
      </c>
      <c r="H276" t="str">
        <f t="shared" si="9"/>
        <v>C:\Users\USUARIO\Macros\FACTURAS Y LISTADOS\1130 - Urbanización Alborada 1-4 PH\Agosto de 2017\Urbanización Alborada 1-4 PH - Factura del Mes de Agosto de 2017 0 - 0 - 0.pdf</v>
      </c>
    </row>
    <row r="277" spans="4:8" x14ac:dyDescent="0.25">
      <c r="D277" s="3">
        <f>Maestro!D277</f>
        <v>0</v>
      </c>
      <c r="E277" s="3">
        <f>Maestro!C277</f>
        <v>0</v>
      </c>
      <c r="F277" s="3">
        <f>Maestro!L277</f>
        <v>0</v>
      </c>
      <c r="G277" t="str">
        <f t="shared" si="8"/>
        <v>Urbanización Alborada 1-4 PH - Factura del Mes de Agosto de 2017 0 - 0 - 0.pdf</v>
      </c>
      <c r="H277" t="str">
        <f t="shared" si="9"/>
        <v>C:\Users\USUARIO\Macros\FACTURAS Y LISTADOS\1130 - Urbanización Alborada 1-4 PH\Agosto de 2017\Urbanización Alborada 1-4 PH - Factura del Mes de Agosto de 2017 0 - 0 - 0.pdf</v>
      </c>
    </row>
    <row r="278" spans="4:8" x14ac:dyDescent="0.25">
      <c r="D278" s="3">
        <f>Maestro!D278</f>
        <v>0</v>
      </c>
      <c r="E278" s="3">
        <f>Maestro!C278</f>
        <v>0</v>
      </c>
      <c r="F278" s="3">
        <f>Maestro!L278</f>
        <v>0</v>
      </c>
      <c r="G278" t="str">
        <f t="shared" si="8"/>
        <v>Urbanización Alborada 1-4 PH - Factura del Mes de Agosto de 2017 0 - 0 - 0.pdf</v>
      </c>
      <c r="H278" t="str">
        <f t="shared" si="9"/>
        <v>C:\Users\USUARIO\Macros\FACTURAS Y LISTADOS\1130 - Urbanización Alborada 1-4 PH\Agosto de 2017\Urbanización Alborada 1-4 PH - Factura del Mes de Agosto de 2017 0 - 0 - 0.pdf</v>
      </c>
    </row>
    <row r="279" spans="4:8" x14ac:dyDescent="0.25">
      <c r="D279" s="3">
        <f>Maestro!D279</f>
        <v>0</v>
      </c>
      <c r="E279" s="3">
        <f>Maestro!C279</f>
        <v>0</v>
      </c>
      <c r="F279" s="3">
        <f>Maestro!L279</f>
        <v>0</v>
      </c>
      <c r="G279" t="str">
        <f t="shared" si="8"/>
        <v>Urbanización Alborada 1-4 PH - Factura del Mes de Agosto de 2017 0 - 0 - 0.pdf</v>
      </c>
      <c r="H279" t="str">
        <f t="shared" si="9"/>
        <v>C:\Users\USUARIO\Macros\FACTURAS Y LISTADOS\1130 - Urbanización Alborada 1-4 PH\Agosto de 2017\Urbanización Alborada 1-4 PH - Factura del Mes de Agosto de 2017 0 - 0 - 0.pdf</v>
      </c>
    </row>
    <row r="280" spans="4:8" x14ac:dyDescent="0.25">
      <c r="D280" s="3">
        <f>Maestro!D280</f>
        <v>0</v>
      </c>
      <c r="E280" s="3">
        <f>Maestro!C280</f>
        <v>0</v>
      </c>
      <c r="F280" s="3">
        <f>Maestro!L280</f>
        <v>0</v>
      </c>
      <c r="G280" t="str">
        <f t="shared" si="8"/>
        <v>Urbanización Alborada 1-4 PH - Factura del Mes de Agosto de 2017 0 - 0 - 0.pdf</v>
      </c>
      <c r="H280" t="str">
        <f t="shared" si="9"/>
        <v>C:\Users\USUARIO\Macros\FACTURAS Y LISTADOS\1130 - Urbanización Alborada 1-4 PH\Agosto de 2017\Urbanización Alborada 1-4 PH - Factura del Mes de Agosto de 2017 0 - 0 - 0.pdf</v>
      </c>
    </row>
    <row r="281" spans="4:8" x14ac:dyDescent="0.25">
      <c r="D281" s="3">
        <f>Maestro!D281</f>
        <v>0</v>
      </c>
      <c r="E281" s="3">
        <f>Maestro!C281</f>
        <v>0</v>
      </c>
      <c r="F281" s="3">
        <f>Maestro!L281</f>
        <v>0</v>
      </c>
      <c r="G281" t="str">
        <f t="shared" si="8"/>
        <v>Urbanización Alborada 1-4 PH - Factura del Mes de Agosto de 2017 0 - 0 - 0.pdf</v>
      </c>
      <c r="H281" t="str">
        <f t="shared" si="9"/>
        <v>C:\Users\USUARIO\Macros\FACTURAS Y LISTADOS\1130 - Urbanización Alborada 1-4 PH\Agosto de 2017\Urbanización Alborada 1-4 PH - Factura del Mes de Agosto de 2017 0 - 0 - 0.pdf</v>
      </c>
    </row>
    <row r="282" spans="4:8" x14ac:dyDescent="0.25">
      <c r="D282" s="3">
        <f>Maestro!D282</f>
        <v>0</v>
      </c>
      <c r="E282" s="3">
        <f>Maestro!C282</f>
        <v>0</v>
      </c>
      <c r="F282" s="3">
        <f>Maestro!L282</f>
        <v>0</v>
      </c>
      <c r="G282" t="str">
        <f t="shared" si="8"/>
        <v>Urbanización Alborada 1-4 PH - Factura del Mes de Agosto de 2017 0 - 0 - 0.pdf</v>
      </c>
      <c r="H282" t="str">
        <f t="shared" si="9"/>
        <v>C:\Users\USUARIO\Macros\FACTURAS Y LISTADOS\1130 - Urbanización Alborada 1-4 PH\Agosto de 2017\Urbanización Alborada 1-4 PH - Factura del Mes de Agosto de 2017 0 - 0 - 0.pdf</v>
      </c>
    </row>
    <row r="283" spans="4:8" x14ac:dyDescent="0.25">
      <c r="D283" s="3">
        <f>Maestro!D283</f>
        <v>0</v>
      </c>
      <c r="E283" s="3">
        <f>Maestro!C283</f>
        <v>0</v>
      </c>
      <c r="F283" s="3">
        <f>Maestro!L283</f>
        <v>0</v>
      </c>
      <c r="G283" t="str">
        <f t="shared" si="8"/>
        <v>Urbanización Alborada 1-4 PH - Factura del Mes de Agosto de 2017 0 - 0 - 0.pdf</v>
      </c>
      <c r="H283" t="str">
        <f t="shared" si="9"/>
        <v>C:\Users\USUARIO\Macros\FACTURAS Y LISTADOS\1130 - Urbanización Alborada 1-4 PH\Agosto de 2017\Urbanización Alborada 1-4 PH - Factura del Mes de Agosto de 2017 0 - 0 - 0.pdf</v>
      </c>
    </row>
    <row r="284" spans="4:8" x14ac:dyDescent="0.25">
      <c r="D284" s="3">
        <f>Maestro!D284</f>
        <v>0</v>
      </c>
      <c r="E284" s="3">
        <f>Maestro!C284</f>
        <v>0</v>
      </c>
      <c r="F284" s="3">
        <f>Maestro!L284</f>
        <v>0</v>
      </c>
      <c r="G284" t="str">
        <f t="shared" si="8"/>
        <v>Urbanización Alborada 1-4 PH - Factura del Mes de Agosto de 2017 0 - 0 - 0.pdf</v>
      </c>
      <c r="H284" t="str">
        <f t="shared" si="9"/>
        <v>C:\Users\USUARIO\Macros\FACTURAS Y LISTADOS\1130 - Urbanización Alborada 1-4 PH\Agosto de 2017\Urbanización Alborada 1-4 PH - Factura del Mes de Agosto de 2017 0 - 0 - 0.pdf</v>
      </c>
    </row>
    <row r="285" spans="4:8" x14ac:dyDescent="0.25">
      <c r="D285" s="3">
        <f>Maestro!D285</f>
        <v>0</v>
      </c>
      <c r="E285" s="3">
        <f>Maestro!C285</f>
        <v>0</v>
      </c>
      <c r="F285" s="3">
        <f>Maestro!L285</f>
        <v>0</v>
      </c>
      <c r="G285" t="str">
        <f t="shared" si="8"/>
        <v>Urbanización Alborada 1-4 PH - Factura del Mes de Agosto de 2017 0 - 0 - 0.pdf</v>
      </c>
      <c r="H285" t="str">
        <f t="shared" si="9"/>
        <v>C:\Users\USUARIO\Macros\FACTURAS Y LISTADOS\1130 - Urbanización Alborada 1-4 PH\Agosto de 2017\Urbanización Alborada 1-4 PH - Factura del Mes de Agosto de 2017 0 - 0 - 0.pdf</v>
      </c>
    </row>
    <row r="286" spans="4:8" x14ac:dyDescent="0.25">
      <c r="D286" s="3">
        <f>Maestro!D286</f>
        <v>0</v>
      </c>
      <c r="E286" s="3">
        <f>Maestro!C286</f>
        <v>0</v>
      </c>
      <c r="F286" s="3">
        <f>Maestro!L286</f>
        <v>0</v>
      </c>
      <c r="G286" t="str">
        <f t="shared" si="8"/>
        <v>Urbanización Alborada 1-4 PH - Factura del Mes de Agosto de 2017 0 - 0 - 0.pdf</v>
      </c>
      <c r="H286" t="str">
        <f t="shared" si="9"/>
        <v>C:\Users\USUARIO\Macros\FACTURAS Y LISTADOS\1130 - Urbanización Alborada 1-4 PH\Agosto de 2017\Urbanización Alborada 1-4 PH - Factura del Mes de Agosto de 2017 0 - 0 - 0.pdf</v>
      </c>
    </row>
    <row r="287" spans="4:8" x14ac:dyDescent="0.25">
      <c r="D287" s="3">
        <f>Maestro!D287</f>
        <v>0</v>
      </c>
      <c r="E287" s="3">
        <f>Maestro!C287</f>
        <v>0</v>
      </c>
      <c r="F287" s="3">
        <f>Maestro!L287</f>
        <v>0</v>
      </c>
      <c r="G287" t="str">
        <f t="shared" si="8"/>
        <v>Urbanización Alborada 1-4 PH - Factura del Mes de Agosto de 2017 0 - 0 - 0.pdf</v>
      </c>
      <c r="H287" t="str">
        <f t="shared" si="9"/>
        <v>C:\Users\USUARIO\Macros\FACTURAS Y LISTADOS\1130 - Urbanización Alborada 1-4 PH\Agosto de 2017\Urbanización Alborada 1-4 PH - Factura del Mes de Agosto de 2017 0 - 0 - 0.pdf</v>
      </c>
    </row>
    <row r="288" spans="4:8" x14ac:dyDescent="0.25">
      <c r="D288" s="3">
        <f>Maestro!D288</f>
        <v>0</v>
      </c>
      <c r="E288" s="3">
        <f>Maestro!C288</f>
        <v>0</v>
      </c>
      <c r="F288" s="3">
        <f>Maestro!L288</f>
        <v>0</v>
      </c>
      <c r="G288" t="str">
        <f t="shared" si="8"/>
        <v>Urbanización Alborada 1-4 PH - Factura del Mes de Agosto de 2017 0 - 0 - 0.pdf</v>
      </c>
      <c r="H288" t="str">
        <f t="shared" si="9"/>
        <v>C:\Users\USUARIO\Macros\FACTURAS Y LISTADOS\1130 - Urbanización Alborada 1-4 PH\Agosto de 2017\Urbanización Alborada 1-4 PH - Factura del Mes de Agosto de 2017 0 - 0 - 0.pdf</v>
      </c>
    </row>
    <row r="289" spans="4:8" x14ac:dyDescent="0.25">
      <c r="D289" s="3">
        <f>Maestro!D289</f>
        <v>0</v>
      </c>
      <c r="E289" s="3">
        <f>Maestro!C289</f>
        <v>0</v>
      </c>
      <c r="F289" s="3">
        <f>Maestro!L289</f>
        <v>0</v>
      </c>
      <c r="G289" t="str">
        <f t="shared" si="8"/>
        <v>Urbanización Alborada 1-4 PH - Factura del Mes de Agosto de 2017 0 - 0 - 0.pdf</v>
      </c>
      <c r="H289" t="str">
        <f t="shared" si="9"/>
        <v>C:\Users\USUARIO\Macros\FACTURAS Y LISTADOS\1130 - Urbanización Alborada 1-4 PH\Agosto de 2017\Urbanización Alborada 1-4 PH - Factura del Mes de Agosto de 2017 0 - 0 - 0.pdf</v>
      </c>
    </row>
    <row r="290" spans="4:8" x14ac:dyDescent="0.25">
      <c r="D290" s="3">
        <f>Maestro!D290</f>
        <v>0</v>
      </c>
      <c r="E290" s="3">
        <f>Maestro!C290</f>
        <v>0</v>
      </c>
      <c r="F290" s="3">
        <f>Maestro!L290</f>
        <v>0</v>
      </c>
      <c r="G290" t="str">
        <f t="shared" si="8"/>
        <v>Urbanización Alborada 1-4 PH - Factura del Mes de Agosto de 2017 0 - 0 - 0.pdf</v>
      </c>
      <c r="H290" t="str">
        <f t="shared" si="9"/>
        <v>C:\Users\USUARIO\Macros\FACTURAS Y LISTADOS\1130 - Urbanización Alborada 1-4 PH\Agosto de 2017\Urbanización Alborada 1-4 PH - Factura del Mes de Agosto de 2017 0 - 0 - 0.pdf</v>
      </c>
    </row>
    <row r="291" spans="4:8" x14ac:dyDescent="0.25">
      <c r="D291" s="3">
        <f>Maestro!D291</f>
        <v>0</v>
      </c>
      <c r="E291" s="3">
        <f>Maestro!C291</f>
        <v>0</v>
      </c>
      <c r="F291" s="3">
        <f>Maestro!L291</f>
        <v>0</v>
      </c>
      <c r="G291" t="str">
        <f t="shared" si="8"/>
        <v>Urbanización Alborada 1-4 PH - Factura del Mes de Agosto de 2017 0 - 0 - 0.pdf</v>
      </c>
      <c r="H291" t="str">
        <f t="shared" si="9"/>
        <v>C:\Users\USUARIO\Macros\FACTURAS Y LISTADOS\1130 - Urbanización Alborada 1-4 PH\Agosto de 2017\Urbanización Alborada 1-4 PH - Factura del Mes de Agosto de 2017 0 - 0 - 0.pdf</v>
      </c>
    </row>
    <row r="292" spans="4:8" x14ac:dyDescent="0.25">
      <c r="D292" s="3">
        <f>Maestro!D292</f>
        <v>0</v>
      </c>
      <c r="E292" s="3">
        <f>Maestro!C292</f>
        <v>0</v>
      </c>
      <c r="F292" s="3">
        <f>Maestro!L292</f>
        <v>0</v>
      </c>
      <c r="G292" t="str">
        <f t="shared" si="8"/>
        <v>Urbanización Alborada 1-4 PH - Factura del Mes de Agosto de 2017 0 - 0 - 0.pdf</v>
      </c>
      <c r="H292" t="str">
        <f t="shared" si="9"/>
        <v>C:\Users\USUARIO\Macros\FACTURAS Y LISTADOS\1130 - Urbanización Alborada 1-4 PH\Agosto de 2017\Urbanización Alborada 1-4 PH - Factura del Mes de Agosto de 2017 0 - 0 - 0.pdf</v>
      </c>
    </row>
    <row r="293" spans="4:8" x14ac:dyDescent="0.25">
      <c r="D293" s="3">
        <f>Maestro!D293</f>
        <v>0</v>
      </c>
      <c r="E293" s="3">
        <f>Maestro!C293</f>
        <v>0</v>
      </c>
      <c r="F293" s="3">
        <f>Maestro!L293</f>
        <v>0</v>
      </c>
      <c r="G293" t="str">
        <f t="shared" si="8"/>
        <v>Urbanización Alborada 1-4 PH - Factura del Mes de Agosto de 2017 0 - 0 - 0.pdf</v>
      </c>
      <c r="H293" t="str">
        <f t="shared" si="9"/>
        <v>C:\Users\USUARIO\Macros\FACTURAS Y LISTADOS\1130 - Urbanización Alborada 1-4 PH\Agosto de 2017\Urbanización Alborada 1-4 PH - Factura del Mes de Agosto de 2017 0 - 0 - 0.pdf</v>
      </c>
    </row>
    <row r="294" spans="4:8" x14ac:dyDescent="0.25">
      <c r="D294" s="3">
        <f>Maestro!D294</f>
        <v>0</v>
      </c>
      <c r="E294" s="3">
        <f>Maestro!C294</f>
        <v>0</v>
      </c>
      <c r="F294" s="3">
        <f>Maestro!L294</f>
        <v>0</v>
      </c>
      <c r="G294" t="str">
        <f t="shared" si="8"/>
        <v>Urbanización Alborada 1-4 PH - Factura del Mes de Agosto de 2017 0 - 0 - 0.pdf</v>
      </c>
      <c r="H294" t="str">
        <f t="shared" si="9"/>
        <v>C:\Users\USUARIO\Macros\FACTURAS Y LISTADOS\1130 - Urbanización Alborada 1-4 PH\Agosto de 2017\Urbanización Alborada 1-4 PH - Factura del Mes de Agosto de 2017 0 - 0 - 0.pdf</v>
      </c>
    </row>
    <row r="295" spans="4:8" x14ac:dyDescent="0.25">
      <c r="D295" s="3">
        <f>Maestro!D295</f>
        <v>0</v>
      </c>
      <c r="E295" s="3">
        <f>Maestro!C295</f>
        <v>0</v>
      </c>
      <c r="F295" s="3">
        <f>Maestro!L295</f>
        <v>0</v>
      </c>
      <c r="G295" t="str">
        <f t="shared" si="8"/>
        <v>Urbanización Alborada 1-4 PH - Factura del Mes de Agosto de 2017 0 - 0 - 0.pdf</v>
      </c>
      <c r="H295" t="str">
        <f t="shared" si="9"/>
        <v>C:\Users\USUARIO\Macros\FACTURAS Y LISTADOS\1130 - Urbanización Alborada 1-4 PH\Agosto de 2017\Urbanización Alborada 1-4 PH - Factura del Mes de Agosto de 2017 0 - 0 - 0.pdf</v>
      </c>
    </row>
    <row r="296" spans="4:8" x14ac:dyDescent="0.25">
      <c r="D296" s="3">
        <f>Maestro!D296</f>
        <v>0</v>
      </c>
      <c r="E296" s="3">
        <f>Maestro!C296</f>
        <v>0</v>
      </c>
      <c r="F296" s="3">
        <f>Maestro!L296</f>
        <v>0</v>
      </c>
      <c r="G296" t="str">
        <f t="shared" si="8"/>
        <v>Urbanización Alborada 1-4 PH - Factura del Mes de Agosto de 2017 0 - 0 - 0.pdf</v>
      </c>
      <c r="H296" t="str">
        <f t="shared" si="9"/>
        <v>C:\Users\USUARIO\Macros\FACTURAS Y LISTADOS\1130 - Urbanización Alborada 1-4 PH\Agosto de 2017\Urbanización Alborada 1-4 PH - Factura del Mes de Agosto de 2017 0 - 0 - 0.pdf</v>
      </c>
    </row>
    <row r="297" spans="4:8" x14ac:dyDescent="0.25">
      <c r="D297" s="3">
        <f>Maestro!D297</f>
        <v>0</v>
      </c>
      <c r="E297" s="3">
        <f>Maestro!C297</f>
        <v>0</v>
      </c>
      <c r="F297" s="3">
        <f>Maestro!L297</f>
        <v>0</v>
      </c>
      <c r="G297" t="str">
        <f t="shared" si="8"/>
        <v>Urbanización Alborada 1-4 PH - Factura del Mes de Agosto de 2017 0 - 0 - 0.pdf</v>
      </c>
      <c r="H297" t="str">
        <f t="shared" si="9"/>
        <v>C:\Users\USUARIO\Macros\FACTURAS Y LISTADOS\1130 - Urbanización Alborada 1-4 PH\Agosto de 2017\Urbanización Alborada 1-4 PH - Factura del Mes de Agosto de 2017 0 - 0 - 0.pdf</v>
      </c>
    </row>
    <row r="298" spans="4:8" x14ac:dyDescent="0.25">
      <c r="D298" s="3">
        <f>Maestro!D298</f>
        <v>0</v>
      </c>
      <c r="E298" s="3">
        <f>Maestro!C298</f>
        <v>0</v>
      </c>
      <c r="F298" s="3">
        <f>Maestro!L298</f>
        <v>0</v>
      </c>
      <c r="G298" t="str">
        <f t="shared" si="8"/>
        <v>Urbanización Alborada 1-4 PH - Factura del Mes de Agosto de 2017 0 - 0 - 0.pdf</v>
      </c>
      <c r="H298" t="str">
        <f t="shared" si="9"/>
        <v>C:\Users\USUARIO\Macros\FACTURAS Y LISTADOS\1130 - Urbanización Alborada 1-4 PH\Agosto de 2017\Urbanización Alborada 1-4 PH - Factura del Mes de Agosto de 2017 0 - 0 - 0.pdf</v>
      </c>
    </row>
    <row r="299" spans="4:8" x14ac:dyDescent="0.25">
      <c r="D299" s="3">
        <f>Maestro!D299</f>
        <v>0</v>
      </c>
      <c r="E299" s="3">
        <f>Maestro!C299</f>
        <v>0</v>
      </c>
      <c r="F299" s="3">
        <f>Maestro!L299</f>
        <v>0</v>
      </c>
      <c r="G299" t="str">
        <f t="shared" si="8"/>
        <v>Urbanización Alborada 1-4 PH - Factura del Mes de Agosto de 2017 0 - 0 - 0.pdf</v>
      </c>
      <c r="H299" t="str">
        <f t="shared" si="9"/>
        <v>C:\Users\USUARIO\Macros\FACTURAS Y LISTADOS\1130 - Urbanización Alborada 1-4 PH\Agosto de 2017\Urbanización Alborada 1-4 PH - Factura del Mes de Agosto de 2017 0 - 0 - 0.pdf</v>
      </c>
    </row>
    <row r="300" spans="4:8" x14ac:dyDescent="0.25">
      <c r="D300" s="3">
        <f>Maestro!D300</f>
        <v>0</v>
      </c>
      <c r="E300" s="3">
        <f>Maestro!C300</f>
        <v>0</v>
      </c>
      <c r="F300" s="3">
        <f>Maestro!L300</f>
        <v>0</v>
      </c>
      <c r="G300" t="str">
        <f t="shared" si="8"/>
        <v>Urbanización Alborada 1-4 PH - Factura del Mes de Agosto de 2017 0 - 0 - 0.pdf</v>
      </c>
      <c r="H300" t="str">
        <f t="shared" si="9"/>
        <v>C:\Users\USUARIO\Macros\FACTURAS Y LISTADOS\1130 - Urbanización Alborada 1-4 PH\Agosto de 2017\Urbanización Alborada 1-4 PH - Factura del Mes de Agosto de 2017 0 - 0 - 0.pdf</v>
      </c>
    </row>
    <row r="301" spans="4:8" x14ac:dyDescent="0.25">
      <c r="F301" s="3" t="str">
        <f>CONCATENATE($G$1,$A$6,A11)</f>
        <v xml:space="preserve">Urbanización Alborada 1-4 PH - Facturas del mes de </v>
      </c>
      <c r="G301" t="str">
        <f>CONCATENATE(F301,$A$1,$A$4,$B$1,$A$8)</f>
        <v>Urbanización Alborada 1-4 PH - Facturas del mes de Agosto de 2017.pdf</v>
      </c>
      <c r="H301" t="str">
        <f t="shared" si="9"/>
        <v>C:\Users\USUARIO\Macros\FACTURAS Y LISTADOS\1130 - Urbanización Alborada 1-4 PH\Agosto de 2017\Urbanización Alborada 1-4 PH - Facturas del mes de Agosto de 2017.pdf</v>
      </c>
    </row>
    <row r="302" spans="4:8" x14ac:dyDescent="0.25">
      <c r="F302" s="3" t="str">
        <f>CONCATENATE($G$1,$A$6,A12)</f>
        <v xml:space="preserve">Urbanización Alborada 1-4 PH - Listado de Pagos del mes de </v>
      </c>
      <c r="G302" t="str">
        <f>CONCATENATE(F302,$A$2,$A$4,$B$2,$A$9)</f>
        <v>Urbanización Alborada 1-4 PH - Listado de Pagos del mes de Julio de 2017.xlsx</v>
      </c>
      <c r="H302" t="str">
        <f t="shared" si="9"/>
        <v>C:\Users\USUARIO\Macros\FACTURAS Y LISTADOS\1130 - Urbanización Alborada 1-4 PH\Agosto de 2017\Urbanización Alborada 1-4 PH - Listado de Pagos del mes de Julio de 2017.xlsx</v>
      </c>
    </row>
    <row r="303" spans="4:8" x14ac:dyDescent="0.25">
      <c r="F303" s="3" t="str">
        <f>CONCATENATE($G$1,$A$6,A13)</f>
        <v xml:space="preserve">Urbanización Alborada 1-4 PH - Listado de Pendientes del mes de </v>
      </c>
      <c r="G303" t="str">
        <f>CONCATENATE(F303,$A$1,$A$4,$B$1,$A$9)</f>
        <v>Urbanización Alborada 1-4 PH - Listado de Pendientes del mes de Agosto de 2017.xlsx</v>
      </c>
      <c r="H303" t="str">
        <f t="shared" si="9"/>
        <v>C:\Users\USUARIO\Macros\FACTURAS Y LISTADOS\1130 - Urbanización Alborada 1-4 PH\Agosto de 2017\Urbanización Alborada 1-4 PH - Listado de Pendientes del mes de Agosto de 2017.xlsx</v>
      </c>
    </row>
    <row r="304" spans="4:8" x14ac:dyDescent="0.25">
      <c r="F304" s="3" t="str">
        <f>CONCATENATE($G$1,$A$6,A14)</f>
        <v xml:space="preserve">Urbanización Alborada 1-4 PH - Listado de Facturación del mes de </v>
      </c>
      <c r="G304" t="str">
        <f>CONCATENATE(F304,$A$1,$A$4,$B$1,$A$9)</f>
        <v>Urbanización Alborada 1-4 PH - Listado de Facturación del mes de Agosto de 2017.xlsx</v>
      </c>
      <c r="H304" t="str">
        <f t="shared" si="9"/>
        <v>C:\Users\USUARIO\Macros\FACTURAS Y LISTADOS\1130 - Urbanización Alborada 1-4 PH\Agosto de 2017\Urbanización Alborada 1-4 PH - Listado de Facturación del mes de Agosto de 2017.xlsx</v>
      </c>
    </row>
    <row r="305" spans="6:8" x14ac:dyDescent="0.25">
      <c r="F305" s="3" t="str">
        <f>CONCATENATE($G$1,$A$6,A12)</f>
        <v xml:space="preserve">Urbanización Alborada 1-4 PH - Listado de Pagos del mes de </v>
      </c>
      <c r="G305" t="str">
        <f>CONCATENATE(F305,$A$2,$A$4,$B$2,$A$8)</f>
        <v>Urbanización Alborada 1-4 PH - Listado de Pagos del mes de Julio de 2017.pdf</v>
      </c>
      <c r="H305" t="str">
        <f t="shared" si="9"/>
        <v>C:\Users\USUARIO\Macros\FACTURAS Y LISTADOS\1130 - Urbanización Alborada 1-4 PH\Agosto de 2017\Urbanización Alborada 1-4 PH - Listado de Pagos del mes de Julio de 2017.pdf</v>
      </c>
    </row>
    <row r="306" spans="6:8" x14ac:dyDescent="0.25">
      <c r="F306" s="3" t="str">
        <f>CONCATENATE($G$1,$A$6,A13)</f>
        <v xml:space="preserve">Urbanización Alborada 1-4 PH - Listado de Pendientes del mes de </v>
      </c>
      <c r="G306" t="str">
        <f>CONCATENATE(F306,$A$1,$A$4,$B$1,$A$8)</f>
        <v>Urbanización Alborada 1-4 PH - Listado de Pendientes del mes de Agosto de 2017.pdf</v>
      </c>
      <c r="H306" t="str">
        <f t="shared" si="9"/>
        <v>C:\Users\USUARIO\Macros\FACTURAS Y LISTADOS\1130 - Urbanización Alborada 1-4 PH\Agosto de 2017\Urbanización Alborada 1-4 PH - Listado de Pendientes del mes de Agosto de 2017.pdf</v>
      </c>
    </row>
    <row r="307" spans="6:8" x14ac:dyDescent="0.25">
      <c r="F307" s="3" t="str">
        <f>CONCATENATE($G$1,$A$6,A14)</f>
        <v xml:space="preserve">Urbanización Alborada 1-4 PH - Listado de Facturación del mes de </v>
      </c>
      <c r="G307" t="str">
        <f>CONCATENATE(F307,$A$1,$A$4,$B$1,$A$8)</f>
        <v>Urbanización Alborada 1-4 PH - Listado de Facturación del mes de Agosto de 2017.pdf</v>
      </c>
      <c r="H307" t="str">
        <f t="shared" si="9"/>
        <v>C:\Users\USUARIO\Macros\FACTURAS Y LISTADOS\1130 - Urbanización Alborada 1-4 PH\Agosto de 2017\Urbanización Alborada 1-4 PH - Listado de Facturación del mes de Agosto de 2017.pdf</v>
      </c>
    </row>
    <row r="308" spans="6:8" x14ac:dyDescent="0.25">
      <c r="F308" s="3" t="str">
        <f>CONCATENATE($G$1,$A$6,A16)</f>
        <v xml:space="preserve">Urbanización Alborada 1-4 PH - Listado de Descuentos del mes de </v>
      </c>
      <c r="G308" t="str">
        <f>CONCATENATE(F308,$A$2,$A$4,$B$1,$A$9)</f>
        <v>Urbanización Alborada 1-4 PH - Listado de Descuentos del mes de Julio de 2017.xlsx</v>
      </c>
      <c r="H308" t="str">
        <f t="shared" si="9"/>
        <v>C:\Users\USUARIO\Macros\FACTURAS Y LISTADOS\1130 - Urbanización Alborada 1-4 PH\Agosto de 2017\Urbanización Alborada 1-4 PH - Listado de Descuentos del mes de Julio de 2017.xlsx</v>
      </c>
    </row>
    <row r="309" spans="6:8" x14ac:dyDescent="0.25">
      <c r="F309" s="3" t="str">
        <f>CONCATENATE($G$1,$A$6,A16)</f>
        <v xml:space="preserve">Urbanización Alborada 1-4 PH - Listado de Descuentos del mes de </v>
      </c>
      <c r="G309" t="str">
        <f>CONCATENATE(F309,$A$2,$A$4,$B$1,$A$8)</f>
        <v>Urbanización Alborada 1-4 PH - Listado de Descuentos del mes de Julio de 2017.pdf</v>
      </c>
      <c r="H309" t="str">
        <f t="shared" si="9"/>
        <v>C:\Users\USUARIO\Macros\FACTURAS Y LISTADOS\1130 - Urbanización Alborada 1-4 PH\Agosto de 2017\Urbanización Alborada 1-4 PH - Listado de Descuentos del mes de Julio de 2017.pdf</v>
      </c>
    </row>
    <row r="310" spans="6:8" x14ac:dyDescent="0.25">
      <c r="F310" s="3" t="str">
        <f>CONCATENATE($A$18,$A$6,$G$1,$A$6,A17)</f>
        <v>1130 - Urbanización Alborada 1-4 PH - Archivo para facturas</v>
      </c>
      <c r="G310" t="str">
        <f>CONCATENATE(F310,A9)</f>
        <v>1130 - Urbanización Alborada 1-4 PH - Archivo para facturas.xlsx</v>
      </c>
      <c r="H310" t="str">
        <f t="shared" ref="H310" si="10">CONCATENATE($H$1,$A$10,$A$1,$A$4,$B$1,$A$10,G310)</f>
        <v>C:\Users\USUARIO\Macros\FACTURAS Y LISTADOS\1130 - Urbanización Alborada 1-4 PH\Agosto de 2017\1130 - Urbanización Alborada 1-4 PH - Archivo para facturas.xlsx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R281"/>
  <sheetViews>
    <sheetView workbookViewId="0">
      <selection sqref="A1:XFD1048576"/>
    </sheetView>
  </sheetViews>
  <sheetFormatPr baseColWidth="10" defaultRowHeight="15" x14ac:dyDescent="0.25"/>
  <cols>
    <col min="1" max="1" width="4.7109375" style="3" customWidth="1"/>
    <col min="2" max="3" width="2.7109375" style="3" customWidth="1"/>
    <col min="4" max="4" width="4.7109375" style="3" customWidth="1"/>
    <col min="5" max="5" width="8.7109375" style="3" customWidth="1"/>
    <col min="6" max="6" width="4.7109375" style="3" customWidth="1"/>
    <col min="7" max="7" width="50.7109375" style="3" customWidth="1"/>
    <col min="8" max="8" width="45.7109375" style="3" customWidth="1"/>
    <col min="9" max="9" width="17.7109375" style="3" customWidth="1"/>
    <col min="10" max="10" width="12.7109375" style="3" customWidth="1"/>
    <col min="11" max="11" width="4.7109375" style="3" customWidth="1"/>
    <col min="12" max="14" width="30.7109375" style="3" customWidth="1"/>
    <col min="15" max="15" width="9.7109375" style="3" customWidth="1"/>
    <col min="16" max="16" width="8.7109375" style="4" customWidth="1"/>
    <col min="17" max="18" width="8.7109375" style="3" customWidth="1"/>
    <col min="19" max="27" width="9.7109375" style="5" customWidth="1"/>
    <col min="28" max="33" width="6.7109375" style="6" customWidth="1"/>
    <col min="34" max="35" width="9.7109375" style="3" customWidth="1"/>
    <col min="36" max="36" width="12.7109375" style="3" customWidth="1"/>
    <col min="37" max="37" width="9.7109375" style="3" customWidth="1"/>
    <col min="38" max="38" width="6.7109375" style="3" customWidth="1"/>
    <col min="39" max="39" width="9.7109375" style="3" customWidth="1"/>
    <col min="40" max="40" width="1.7109375" style="3" customWidth="1"/>
    <col min="41" max="44" width="60.7109375" style="3" customWidth="1"/>
  </cols>
  <sheetData>
    <row r="1" spans="1:44" x14ac:dyDescent="0.25">
      <c r="A1" s="3" t="s">
        <v>6</v>
      </c>
      <c r="B1" s="3" t="s">
        <v>7</v>
      </c>
      <c r="C1" s="3" t="s">
        <v>8</v>
      </c>
      <c r="D1" s="3" t="s">
        <v>2</v>
      </c>
      <c r="E1" s="3" t="s">
        <v>9</v>
      </c>
      <c r="F1" s="3" t="s">
        <v>10</v>
      </c>
      <c r="G1" s="3" t="s">
        <v>11</v>
      </c>
      <c r="H1" s="3" t="s">
        <v>12</v>
      </c>
      <c r="I1" s="3" t="s">
        <v>13</v>
      </c>
      <c r="J1" s="3" t="s">
        <v>14</v>
      </c>
      <c r="K1" s="3" t="s">
        <v>15</v>
      </c>
      <c r="L1" s="3" t="s">
        <v>3</v>
      </c>
      <c r="M1" s="3" t="s">
        <v>16</v>
      </c>
      <c r="N1" s="3" t="s">
        <v>17</v>
      </c>
      <c r="O1" s="3" t="s">
        <v>18</v>
      </c>
      <c r="P1" s="4" t="s">
        <v>19</v>
      </c>
      <c r="Q1" s="3" t="s">
        <v>20</v>
      </c>
      <c r="R1" s="3" t="s">
        <v>21</v>
      </c>
      <c r="S1" s="5" t="s">
        <v>22</v>
      </c>
      <c r="T1" s="5" t="s">
        <v>23</v>
      </c>
      <c r="U1" s="5" t="s">
        <v>24</v>
      </c>
      <c r="V1" s="5" t="s">
        <v>25</v>
      </c>
      <c r="W1" s="5" t="s">
        <v>26</v>
      </c>
      <c r="X1" s="5" t="s">
        <v>27</v>
      </c>
      <c r="Y1" s="5" t="s">
        <v>28</v>
      </c>
      <c r="Z1" s="5" t="s">
        <v>29</v>
      </c>
      <c r="AA1" s="5" t="s">
        <v>30</v>
      </c>
      <c r="AB1" s="6" t="s">
        <v>31</v>
      </c>
      <c r="AC1" s="6" t="s">
        <v>32</v>
      </c>
      <c r="AD1" s="6" t="s">
        <v>33</v>
      </c>
      <c r="AE1" s="6" t="s">
        <v>34</v>
      </c>
      <c r="AF1" s="6" t="s">
        <v>35</v>
      </c>
      <c r="AG1" s="6" t="s">
        <v>36</v>
      </c>
      <c r="AH1" s="3" t="s">
        <v>37</v>
      </c>
      <c r="AI1" s="3" t="s">
        <v>38</v>
      </c>
      <c r="AJ1" s="3" t="s">
        <v>39</v>
      </c>
      <c r="AK1" s="3" t="s">
        <v>40</v>
      </c>
      <c r="AL1" s="3" t="s">
        <v>41</v>
      </c>
      <c r="AM1" s="3" t="s">
        <v>42</v>
      </c>
      <c r="AN1" s="3" t="s">
        <v>43</v>
      </c>
      <c r="AO1" s="3" t="s">
        <v>61</v>
      </c>
      <c r="AP1" s="3" t="s">
        <v>62</v>
      </c>
      <c r="AQ1" s="3" t="s">
        <v>63</v>
      </c>
      <c r="AR1" s="3" t="s">
        <v>64</v>
      </c>
    </row>
    <row r="2" spans="1:44" x14ac:dyDescent="0.25">
      <c r="A2" s="3" t="s">
        <v>70</v>
      </c>
      <c r="B2" s="3" t="s">
        <v>71</v>
      </c>
      <c r="C2" s="3" t="s">
        <v>72</v>
      </c>
      <c r="D2" s="3" t="s">
        <v>73</v>
      </c>
      <c r="E2" s="3" t="s">
        <v>74</v>
      </c>
      <c r="H2" s="3" t="s">
        <v>75</v>
      </c>
      <c r="J2" s="3">
        <v>0</v>
      </c>
      <c r="L2" s="3" t="s">
        <v>76</v>
      </c>
      <c r="M2" s="3" t="s">
        <v>77</v>
      </c>
      <c r="N2" s="3" t="s">
        <v>78</v>
      </c>
      <c r="O2" s="3">
        <v>176600</v>
      </c>
      <c r="P2" s="4">
        <v>2.4</v>
      </c>
      <c r="Q2" s="3">
        <v>0</v>
      </c>
      <c r="R2" s="3">
        <v>0</v>
      </c>
      <c r="S2" s="5">
        <v>1.083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6">
        <v>0</v>
      </c>
      <c r="AC2" s="6">
        <v>0</v>
      </c>
      <c r="AD2" s="6">
        <v>0</v>
      </c>
      <c r="AE2" s="6">
        <v>0</v>
      </c>
      <c r="AF2" s="6">
        <v>0</v>
      </c>
      <c r="AG2" s="6">
        <v>0</v>
      </c>
      <c r="AH2" s="3">
        <v>0</v>
      </c>
      <c r="AI2" s="3">
        <v>165000</v>
      </c>
      <c r="AK2" s="3">
        <v>0</v>
      </c>
      <c r="AL2" s="3">
        <v>0</v>
      </c>
      <c r="AM2" s="3">
        <v>1</v>
      </c>
    </row>
    <row r="3" spans="1:44" x14ac:dyDescent="0.25">
      <c r="A3" s="3" t="s">
        <v>70</v>
      </c>
      <c r="B3" s="3" t="s">
        <v>71</v>
      </c>
      <c r="C3" s="3" t="s">
        <v>72</v>
      </c>
      <c r="D3" s="3" t="s">
        <v>79</v>
      </c>
      <c r="E3" s="3" t="s">
        <v>80</v>
      </c>
      <c r="H3" s="3" t="s">
        <v>75</v>
      </c>
      <c r="J3" s="3">
        <v>0</v>
      </c>
      <c r="L3" s="3" t="s">
        <v>81</v>
      </c>
      <c r="M3" s="3" t="s">
        <v>82</v>
      </c>
      <c r="N3" s="3" t="s">
        <v>83</v>
      </c>
      <c r="O3" s="3">
        <v>191900</v>
      </c>
      <c r="P3" s="4">
        <v>2.4</v>
      </c>
      <c r="Q3" s="3">
        <v>0</v>
      </c>
      <c r="R3" s="3">
        <v>0</v>
      </c>
      <c r="S3" s="5">
        <v>1.1759999999999999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6">
        <v>0</v>
      </c>
      <c r="AC3" s="6">
        <v>0</v>
      </c>
      <c r="AD3" s="6">
        <v>0</v>
      </c>
      <c r="AE3" s="6">
        <v>0</v>
      </c>
      <c r="AF3" s="6">
        <v>0</v>
      </c>
      <c r="AG3" s="6">
        <v>0</v>
      </c>
      <c r="AH3" s="3">
        <v>0</v>
      </c>
      <c r="AI3" s="3">
        <v>179300</v>
      </c>
      <c r="AK3" s="3">
        <v>0</v>
      </c>
      <c r="AL3" s="3">
        <v>0</v>
      </c>
      <c r="AM3" s="3">
        <v>1</v>
      </c>
    </row>
    <row r="4" spans="1:44" x14ac:dyDescent="0.25">
      <c r="A4" s="3" t="s">
        <v>70</v>
      </c>
      <c r="B4" s="3" t="s">
        <v>71</v>
      </c>
      <c r="C4" s="3" t="s">
        <v>72</v>
      </c>
      <c r="D4" s="3" t="s">
        <v>84</v>
      </c>
      <c r="E4" s="3" t="s">
        <v>85</v>
      </c>
      <c r="H4" s="3" t="s">
        <v>75</v>
      </c>
      <c r="J4" s="3">
        <v>0</v>
      </c>
      <c r="L4" s="3" t="s">
        <v>86</v>
      </c>
      <c r="N4" s="3" t="s">
        <v>87</v>
      </c>
      <c r="O4" s="3">
        <v>140100</v>
      </c>
      <c r="P4" s="4">
        <v>2.4</v>
      </c>
      <c r="Q4" s="3">
        <v>0</v>
      </c>
      <c r="R4" s="3">
        <v>0</v>
      </c>
      <c r="S4" s="5">
        <v>0.85899999999999999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6">
        <v>0</v>
      </c>
      <c r="AC4" s="6">
        <v>0</v>
      </c>
      <c r="AD4" s="6">
        <v>0</v>
      </c>
      <c r="AE4" s="6">
        <v>0</v>
      </c>
      <c r="AF4" s="6">
        <v>0</v>
      </c>
      <c r="AG4" s="6">
        <v>0</v>
      </c>
      <c r="AH4" s="3">
        <v>0</v>
      </c>
      <c r="AI4" s="3">
        <v>130900</v>
      </c>
      <c r="AK4" s="3">
        <v>0</v>
      </c>
      <c r="AL4" s="3">
        <v>0</v>
      </c>
      <c r="AM4" s="3">
        <v>1</v>
      </c>
    </row>
    <row r="5" spans="1:44" x14ac:dyDescent="0.25">
      <c r="A5" s="3" t="s">
        <v>70</v>
      </c>
      <c r="B5" s="3" t="s">
        <v>71</v>
      </c>
      <c r="C5" s="3" t="s">
        <v>72</v>
      </c>
      <c r="D5" s="3" t="s">
        <v>88</v>
      </c>
      <c r="E5" s="3" t="s">
        <v>89</v>
      </c>
      <c r="H5" s="3" t="s">
        <v>75</v>
      </c>
      <c r="J5" s="3">
        <v>0</v>
      </c>
      <c r="L5" s="3" t="s">
        <v>90</v>
      </c>
      <c r="M5" s="3" t="s">
        <v>91</v>
      </c>
      <c r="N5" s="3" t="s">
        <v>92</v>
      </c>
      <c r="O5" s="3">
        <v>166500</v>
      </c>
      <c r="P5" s="4">
        <v>2.4</v>
      </c>
      <c r="Q5" s="3">
        <v>0</v>
      </c>
      <c r="R5" s="3">
        <v>0</v>
      </c>
      <c r="S5" s="5">
        <v>1.0209999999999999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Z5" s="5">
        <v>0</v>
      </c>
      <c r="AA5" s="5">
        <v>0</v>
      </c>
      <c r="AB5" s="6">
        <v>0</v>
      </c>
      <c r="AC5" s="6">
        <v>0</v>
      </c>
      <c r="AD5" s="6">
        <v>0</v>
      </c>
      <c r="AE5" s="6">
        <v>0</v>
      </c>
      <c r="AF5" s="6">
        <v>0</v>
      </c>
      <c r="AG5" s="6">
        <v>0</v>
      </c>
      <c r="AH5" s="3">
        <v>0</v>
      </c>
      <c r="AI5" s="3">
        <v>155600</v>
      </c>
      <c r="AK5" s="3">
        <v>0</v>
      </c>
      <c r="AL5" s="3">
        <v>0</v>
      </c>
      <c r="AM5" s="3">
        <v>1</v>
      </c>
    </row>
    <row r="6" spans="1:44" x14ac:dyDescent="0.25">
      <c r="A6" s="3" t="s">
        <v>70</v>
      </c>
      <c r="B6" s="3" t="s">
        <v>71</v>
      </c>
      <c r="C6" s="3" t="s">
        <v>72</v>
      </c>
      <c r="D6" s="3" t="s">
        <v>93</v>
      </c>
      <c r="E6" s="3" t="s">
        <v>94</v>
      </c>
      <c r="H6" s="3" t="s">
        <v>75</v>
      </c>
      <c r="J6" s="3">
        <v>0</v>
      </c>
      <c r="L6" s="3" t="s">
        <v>95</v>
      </c>
      <c r="M6" s="3" t="s">
        <v>96</v>
      </c>
      <c r="N6" s="3" t="s">
        <v>97</v>
      </c>
      <c r="O6" s="3">
        <v>176600</v>
      </c>
      <c r="P6" s="4">
        <v>2.4</v>
      </c>
      <c r="Q6" s="3">
        <v>0</v>
      </c>
      <c r="R6" s="3">
        <v>0</v>
      </c>
      <c r="S6" s="5">
        <v>1.083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Z6" s="5">
        <v>0</v>
      </c>
      <c r="AA6" s="5">
        <v>0</v>
      </c>
      <c r="AB6" s="6">
        <v>0</v>
      </c>
      <c r="AC6" s="6">
        <v>0</v>
      </c>
      <c r="AD6" s="6">
        <v>0</v>
      </c>
      <c r="AE6" s="6">
        <v>0</v>
      </c>
      <c r="AF6" s="6">
        <v>0</v>
      </c>
      <c r="AG6" s="6">
        <v>0</v>
      </c>
      <c r="AH6" s="3">
        <v>0</v>
      </c>
      <c r="AI6" s="3">
        <v>165000</v>
      </c>
      <c r="AK6" s="3">
        <v>0</v>
      </c>
      <c r="AL6" s="3">
        <v>0</v>
      </c>
      <c r="AM6" s="3">
        <v>1</v>
      </c>
    </row>
    <row r="7" spans="1:44" x14ac:dyDescent="0.25">
      <c r="A7" s="3" t="s">
        <v>70</v>
      </c>
      <c r="B7" s="3" t="s">
        <v>71</v>
      </c>
      <c r="C7" s="3" t="s">
        <v>72</v>
      </c>
      <c r="D7" s="3" t="s">
        <v>98</v>
      </c>
      <c r="E7" s="3" t="s">
        <v>99</v>
      </c>
      <c r="H7" s="3" t="s">
        <v>75</v>
      </c>
      <c r="J7" s="3">
        <v>0</v>
      </c>
      <c r="L7" s="3" t="s">
        <v>100</v>
      </c>
      <c r="M7" s="3" t="s">
        <v>101</v>
      </c>
      <c r="N7" s="3" t="s">
        <v>102</v>
      </c>
      <c r="O7" s="3">
        <v>191900</v>
      </c>
      <c r="P7" s="4">
        <v>2.4</v>
      </c>
      <c r="Q7" s="3">
        <v>0</v>
      </c>
      <c r="R7" s="3">
        <v>0</v>
      </c>
      <c r="S7" s="5">
        <v>1.383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0</v>
      </c>
      <c r="AA7" s="5">
        <v>0</v>
      </c>
      <c r="AB7" s="6">
        <v>0</v>
      </c>
      <c r="AC7" s="6">
        <v>0</v>
      </c>
      <c r="AD7" s="6">
        <v>0</v>
      </c>
      <c r="AE7" s="6">
        <v>0</v>
      </c>
      <c r="AF7" s="6">
        <v>0</v>
      </c>
      <c r="AG7" s="6">
        <v>0</v>
      </c>
      <c r="AH7" s="3">
        <v>29500</v>
      </c>
      <c r="AI7" s="3">
        <v>179300</v>
      </c>
      <c r="AK7" s="3">
        <v>0</v>
      </c>
      <c r="AL7" s="3">
        <v>0</v>
      </c>
      <c r="AM7" s="3">
        <v>1</v>
      </c>
    </row>
    <row r="8" spans="1:44" x14ac:dyDescent="0.25">
      <c r="A8" s="3" t="s">
        <v>70</v>
      </c>
      <c r="B8" s="3" t="s">
        <v>71</v>
      </c>
      <c r="C8" s="3" t="s">
        <v>72</v>
      </c>
      <c r="D8" s="3" t="s">
        <v>103</v>
      </c>
      <c r="E8" s="3" t="s">
        <v>104</v>
      </c>
      <c r="H8" s="3" t="s">
        <v>75</v>
      </c>
      <c r="J8" s="3">
        <v>0</v>
      </c>
      <c r="L8" s="3" t="s">
        <v>105</v>
      </c>
      <c r="N8" s="3" t="s">
        <v>106</v>
      </c>
      <c r="O8" s="3">
        <v>140100</v>
      </c>
      <c r="P8" s="4">
        <v>2.4</v>
      </c>
      <c r="Q8" s="3">
        <v>0</v>
      </c>
      <c r="R8" s="3">
        <v>0</v>
      </c>
      <c r="S8" s="5">
        <v>1.0660000000000001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6">
        <v>0</v>
      </c>
      <c r="AC8" s="6">
        <v>0</v>
      </c>
      <c r="AD8" s="6">
        <v>0</v>
      </c>
      <c r="AE8" s="6">
        <v>0</v>
      </c>
      <c r="AF8" s="6">
        <v>0</v>
      </c>
      <c r="AG8" s="6">
        <v>0</v>
      </c>
      <c r="AH8" s="3">
        <v>29500</v>
      </c>
      <c r="AI8" s="3">
        <v>130900</v>
      </c>
      <c r="AK8" s="3">
        <v>0</v>
      </c>
      <c r="AL8" s="3">
        <v>0</v>
      </c>
      <c r="AM8" s="3">
        <v>1</v>
      </c>
    </row>
    <row r="9" spans="1:44" x14ac:dyDescent="0.25">
      <c r="A9" s="3" t="s">
        <v>70</v>
      </c>
      <c r="B9" s="3" t="s">
        <v>71</v>
      </c>
      <c r="C9" s="3" t="s">
        <v>72</v>
      </c>
      <c r="D9" s="3" t="s">
        <v>107</v>
      </c>
      <c r="E9" s="3" t="s">
        <v>108</v>
      </c>
      <c r="H9" s="3" t="s">
        <v>75</v>
      </c>
      <c r="J9" s="3">
        <v>0</v>
      </c>
      <c r="L9" s="3" t="s">
        <v>109</v>
      </c>
      <c r="M9" s="3" t="s">
        <v>110</v>
      </c>
      <c r="N9" s="3" t="s">
        <v>111</v>
      </c>
      <c r="O9" s="3">
        <v>166500</v>
      </c>
      <c r="P9" s="4">
        <v>2.4</v>
      </c>
      <c r="Q9" s="3">
        <v>0</v>
      </c>
      <c r="R9" s="3">
        <v>0</v>
      </c>
      <c r="S9" s="5">
        <v>1.0209999999999999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6">
        <v>0</v>
      </c>
      <c r="AC9" s="6">
        <v>0</v>
      </c>
      <c r="AD9" s="6">
        <v>0</v>
      </c>
      <c r="AE9" s="6">
        <v>0</v>
      </c>
      <c r="AF9" s="6">
        <v>0</v>
      </c>
      <c r="AG9" s="6">
        <v>0</v>
      </c>
      <c r="AH9" s="3">
        <v>0</v>
      </c>
      <c r="AI9" s="3">
        <v>155600</v>
      </c>
      <c r="AK9" s="3">
        <v>0</v>
      </c>
      <c r="AL9" s="3">
        <v>0</v>
      </c>
      <c r="AM9" s="3">
        <v>1</v>
      </c>
    </row>
    <row r="10" spans="1:44" x14ac:dyDescent="0.25">
      <c r="A10" s="3" t="s">
        <v>70</v>
      </c>
      <c r="B10" s="3" t="s">
        <v>71</v>
      </c>
      <c r="C10" s="3" t="s">
        <v>72</v>
      </c>
      <c r="D10" s="3" t="s">
        <v>112</v>
      </c>
      <c r="E10" s="3" t="s">
        <v>113</v>
      </c>
      <c r="H10" s="3" t="s">
        <v>75</v>
      </c>
      <c r="J10" s="3">
        <v>0</v>
      </c>
      <c r="L10" s="3" t="s">
        <v>114</v>
      </c>
      <c r="N10" s="3" t="s">
        <v>115</v>
      </c>
      <c r="O10" s="3">
        <v>176600</v>
      </c>
      <c r="P10" s="4">
        <v>2.4</v>
      </c>
      <c r="Q10" s="3">
        <v>0</v>
      </c>
      <c r="R10" s="3">
        <v>0</v>
      </c>
      <c r="S10" s="5">
        <v>1.083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3">
        <v>0</v>
      </c>
      <c r="AI10" s="3">
        <v>165000</v>
      </c>
      <c r="AK10" s="3">
        <v>0</v>
      </c>
      <c r="AL10" s="3">
        <v>0</v>
      </c>
      <c r="AM10" s="3">
        <v>1</v>
      </c>
    </row>
    <row r="11" spans="1:44" x14ac:dyDescent="0.25">
      <c r="A11" s="3" t="s">
        <v>70</v>
      </c>
      <c r="B11" s="3" t="s">
        <v>71</v>
      </c>
      <c r="C11" s="3" t="s">
        <v>72</v>
      </c>
      <c r="D11" s="3" t="s">
        <v>116</v>
      </c>
      <c r="E11" s="3" t="s">
        <v>117</v>
      </c>
      <c r="H11" s="3" t="s">
        <v>75</v>
      </c>
      <c r="J11" s="3">
        <v>0</v>
      </c>
      <c r="L11" s="3" t="s">
        <v>118</v>
      </c>
      <c r="M11" s="3" t="s">
        <v>119</v>
      </c>
      <c r="N11" s="3" t="s">
        <v>120</v>
      </c>
      <c r="O11" s="3">
        <v>191900</v>
      </c>
      <c r="P11" s="4">
        <v>2.4</v>
      </c>
      <c r="Q11" s="3">
        <v>0</v>
      </c>
      <c r="R11" s="3">
        <v>0</v>
      </c>
      <c r="S11" s="5">
        <v>1.383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6">
        <v>0</v>
      </c>
      <c r="AC11" s="6">
        <v>0</v>
      </c>
      <c r="AD11" s="6">
        <v>0</v>
      </c>
      <c r="AE11" s="6">
        <v>0</v>
      </c>
      <c r="AF11" s="6">
        <v>0</v>
      </c>
      <c r="AG11" s="6">
        <v>0</v>
      </c>
      <c r="AH11" s="3">
        <v>29500</v>
      </c>
      <c r="AI11" s="3">
        <v>179300</v>
      </c>
      <c r="AK11" s="3">
        <v>0</v>
      </c>
      <c r="AL11" s="3">
        <v>0</v>
      </c>
      <c r="AM11" s="3">
        <v>1</v>
      </c>
    </row>
    <row r="12" spans="1:44" x14ac:dyDescent="0.25">
      <c r="A12" s="3" t="s">
        <v>70</v>
      </c>
      <c r="B12" s="3" t="s">
        <v>71</v>
      </c>
      <c r="C12" s="3" t="s">
        <v>72</v>
      </c>
      <c r="D12" s="3" t="s">
        <v>229</v>
      </c>
      <c r="E12" s="3" t="s">
        <v>429</v>
      </c>
      <c r="H12" s="3" t="s">
        <v>75</v>
      </c>
      <c r="J12" s="3">
        <v>0</v>
      </c>
      <c r="L12" s="3" t="s">
        <v>430</v>
      </c>
      <c r="N12" s="3" t="s">
        <v>121</v>
      </c>
      <c r="O12" s="3">
        <v>140100</v>
      </c>
      <c r="P12" s="4">
        <v>2.4</v>
      </c>
      <c r="Q12" s="3">
        <v>0</v>
      </c>
      <c r="R12" s="3">
        <v>0</v>
      </c>
      <c r="S12" s="5">
        <v>0.85899999999999999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3">
        <v>0</v>
      </c>
      <c r="AI12" s="3">
        <v>130900</v>
      </c>
      <c r="AJ12" s="3" t="s">
        <v>431</v>
      </c>
      <c r="AK12" s="3">
        <v>0</v>
      </c>
      <c r="AL12" s="3">
        <v>0</v>
      </c>
      <c r="AM12" s="3">
        <v>1</v>
      </c>
    </row>
    <row r="13" spans="1:44" x14ac:dyDescent="0.25">
      <c r="A13" s="3" t="s">
        <v>70</v>
      </c>
      <c r="B13" s="3" t="s">
        <v>71</v>
      </c>
      <c r="C13" s="3" t="s">
        <v>72</v>
      </c>
      <c r="D13" s="3" t="s">
        <v>122</v>
      </c>
      <c r="E13" s="3" t="s">
        <v>123</v>
      </c>
      <c r="H13" s="3" t="s">
        <v>75</v>
      </c>
      <c r="J13" s="3">
        <v>0</v>
      </c>
      <c r="L13" s="3" t="s">
        <v>124</v>
      </c>
      <c r="M13" s="3" t="s">
        <v>125</v>
      </c>
      <c r="N13" s="3" t="s">
        <v>126</v>
      </c>
      <c r="O13" s="3">
        <v>166500</v>
      </c>
      <c r="P13" s="4">
        <v>2.4</v>
      </c>
      <c r="Q13" s="3">
        <v>0</v>
      </c>
      <c r="R13" s="3">
        <v>0</v>
      </c>
      <c r="S13" s="5">
        <v>1.0209999999999999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6">
        <v>0</v>
      </c>
      <c r="AC13" s="6">
        <v>0</v>
      </c>
      <c r="AD13" s="6">
        <v>0</v>
      </c>
      <c r="AE13" s="6">
        <v>0</v>
      </c>
      <c r="AF13" s="6">
        <v>0</v>
      </c>
      <c r="AG13" s="6">
        <v>0</v>
      </c>
      <c r="AH13" s="3">
        <v>0</v>
      </c>
      <c r="AI13" s="3">
        <v>155600</v>
      </c>
      <c r="AK13" s="3">
        <v>0</v>
      </c>
      <c r="AL13" s="3">
        <v>0</v>
      </c>
      <c r="AM13" s="3">
        <v>1</v>
      </c>
    </row>
    <row r="14" spans="1:44" x14ac:dyDescent="0.25">
      <c r="A14" s="3" t="s">
        <v>70</v>
      </c>
      <c r="B14" s="3" t="s">
        <v>71</v>
      </c>
      <c r="C14" s="3" t="s">
        <v>72</v>
      </c>
      <c r="D14" s="3" t="s">
        <v>127</v>
      </c>
      <c r="E14" s="3" t="s">
        <v>128</v>
      </c>
      <c r="H14" s="3" t="s">
        <v>75</v>
      </c>
      <c r="J14" s="3">
        <v>0</v>
      </c>
      <c r="L14" s="3" t="s">
        <v>129</v>
      </c>
      <c r="N14" s="3" t="s">
        <v>130</v>
      </c>
      <c r="O14" s="3">
        <v>176600</v>
      </c>
      <c r="P14" s="4">
        <v>2.4</v>
      </c>
      <c r="Q14" s="3">
        <v>0</v>
      </c>
      <c r="R14" s="3">
        <v>0</v>
      </c>
      <c r="S14" s="5">
        <v>1.083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6">
        <v>0</v>
      </c>
      <c r="AC14" s="6">
        <v>0</v>
      </c>
      <c r="AD14" s="6">
        <v>0</v>
      </c>
      <c r="AE14" s="6">
        <v>0</v>
      </c>
      <c r="AF14" s="6">
        <v>0</v>
      </c>
      <c r="AG14" s="6">
        <v>0</v>
      </c>
      <c r="AH14" s="3">
        <v>0</v>
      </c>
      <c r="AI14" s="3">
        <v>165000</v>
      </c>
      <c r="AK14" s="3">
        <v>0</v>
      </c>
      <c r="AL14" s="3">
        <v>0</v>
      </c>
      <c r="AM14" s="3">
        <v>1</v>
      </c>
    </row>
    <row r="15" spans="1:44" x14ac:dyDescent="0.25">
      <c r="A15" s="3" t="s">
        <v>70</v>
      </c>
      <c r="B15" s="3" t="s">
        <v>71</v>
      </c>
      <c r="C15" s="3" t="s">
        <v>72</v>
      </c>
      <c r="D15" s="3" t="s">
        <v>131</v>
      </c>
      <c r="E15" s="3" t="s">
        <v>132</v>
      </c>
      <c r="H15" s="3" t="s">
        <v>75</v>
      </c>
      <c r="J15" s="3">
        <v>0</v>
      </c>
      <c r="L15" s="3" t="s">
        <v>133</v>
      </c>
      <c r="M15" s="3" t="s">
        <v>134</v>
      </c>
      <c r="N15" s="3" t="s">
        <v>135</v>
      </c>
      <c r="O15" s="3">
        <v>191900</v>
      </c>
      <c r="P15" s="4">
        <v>2.4</v>
      </c>
      <c r="Q15" s="3">
        <v>0</v>
      </c>
      <c r="R15" s="3">
        <v>0</v>
      </c>
      <c r="S15" s="5">
        <v>1.1759999999999999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6">
        <v>0</v>
      </c>
      <c r="AC15" s="6">
        <v>0</v>
      </c>
      <c r="AD15" s="6">
        <v>0</v>
      </c>
      <c r="AE15" s="6">
        <v>0</v>
      </c>
      <c r="AF15" s="6">
        <v>0</v>
      </c>
      <c r="AG15" s="6">
        <v>0</v>
      </c>
      <c r="AH15" s="3">
        <v>0</v>
      </c>
      <c r="AI15" s="3">
        <v>179300</v>
      </c>
      <c r="AK15" s="3">
        <v>0</v>
      </c>
      <c r="AL15" s="3">
        <v>0</v>
      </c>
      <c r="AM15" s="3">
        <v>1</v>
      </c>
    </row>
    <row r="16" spans="1:44" x14ac:dyDescent="0.25">
      <c r="A16" s="3" t="s">
        <v>70</v>
      </c>
      <c r="B16" s="3" t="s">
        <v>71</v>
      </c>
      <c r="C16" s="3" t="s">
        <v>72</v>
      </c>
      <c r="D16" s="3" t="s">
        <v>136</v>
      </c>
      <c r="E16" s="3" t="s">
        <v>137</v>
      </c>
      <c r="H16" s="3" t="s">
        <v>75</v>
      </c>
      <c r="J16" s="3">
        <v>0</v>
      </c>
      <c r="L16" s="3" t="s">
        <v>138</v>
      </c>
      <c r="M16" s="3" t="s">
        <v>139</v>
      </c>
      <c r="N16" s="3" t="s">
        <v>140</v>
      </c>
      <c r="O16" s="3">
        <v>140100</v>
      </c>
      <c r="P16" s="4">
        <v>2.4</v>
      </c>
      <c r="Q16" s="3">
        <v>0</v>
      </c>
      <c r="R16" s="3">
        <v>0</v>
      </c>
      <c r="S16" s="5">
        <v>0.85899999999999999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6">
        <v>0</v>
      </c>
      <c r="AC16" s="6">
        <v>0</v>
      </c>
      <c r="AD16" s="6">
        <v>0</v>
      </c>
      <c r="AE16" s="6">
        <v>0</v>
      </c>
      <c r="AF16" s="6">
        <v>0</v>
      </c>
      <c r="AG16" s="6">
        <v>0</v>
      </c>
      <c r="AH16" s="3">
        <v>0</v>
      </c>
      <c r="AI16" s="3">
        <v>130900</v>
      </c>
      <c r="AK16" s="3">
        <v>0</v>
      </c>
      <c r="AL16" s="3">
        <v>0</v>
      </c>
      <c r="AM16" s="3">
        <v>1</v>
      </c>
    </row>
    <row r="17" spans="1:39" x14ac:dyDescent="0.25">
      <c r="A17" s="3" t="s">
        <v>70</v>
      </c>
      <c r="B17" s="3" t="s">
        <v>71</v>
      </c>
      <c r="C17" s="3" t="s">
        <v>72</v>
      </c>
      <c r="D17" s="3" t="s">
        <v>141</v>
      </c>
      <c r="E17" s="3" t="s">
        <v>142</v>
      </c>
      <c r="H17" s="3" t="s">
        <v>75</v>
      </c>
      <c r="J17" s="3">
        <v>0</v>
      </c>
      <c r="L17" s="3" t="s">
        <v>424</v>
      </c>
      <c r="N17" s="3" t="s">
        <v>143</v>
      </c>
      <c r="O17" s="3">
        <v>166500</v>
      </c>
      <c r="P17" s="4">
        <v>2.4</v>
      </c>
      <c r="Q17" s="3">
        <v>0</v>
      </c>
      <c r="R17" s="3">
        <v>0</v>
      </c>
      <c r="S17" s="5">
        <v>1.0209999999999999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3">
        <v>0</v>
      </c>
      <c r="AI17" s="3">
        <v>155600</v>
      </c>
      <c r="AK17" s="3">
        <v>0</v>
      </c>
      <c r="AL17" s="3">
        <v>0</v>
      </c>
      <c r="AM17" s="3">
        <v>1</v>
      </c>
    </row>
    <row r="18" spans="1:39" x14ac:dyDescent="0.25">
      <c r="A18" s="3" t="s">
        <v>70</v>
      </c>
      <c r="B18" s="3" t="s">
        <v>71</v>
      </c>
      <c r="C18" s="3" t="s">
        <v>72</v>
      </c>
      <c r="D18" s="3" t="s">
        <v>144</v>
      </c>
      <c r="E18" s="3" t="s">
        <v>145</v>
      </c>
      <c r="H18" s="3" t="s">
        <v>75</v>
      </c>
      <c r="J18" s="3">
        <v>0</v>
      </c>
      <c r="L18" s="3" t="s">
        <v>146</v>
      </c>
      <c r="N18" s="3" t="s">
        <v>147</v>
      </c>
      <c r="O18" s="3">
        <v>176600</v>
      </c>
      <c r="P18" s="4">
        <v>2.4</v>
      </c>
      <c r="Q18" s="3">
        <v>0</v>
      </c>
      <c r="R18" s="3">
        <v>0</v>
      </c>
      <c r="S18" s="5">
        <v>1.083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6">
        <v>0</v>
      </c>
      <c r="AC18" s="6">
        <v>0</v>
      </c>
      <c r="AD18" s="6">
        <v>0</v>
      </c>
      <c r="AE18" s="6">
        <v>0</v>
      </c>
      <c r="AF18" s="6">
        <v>0</v>
      </c>
      <c r="AG18" s="6">
        <v>0</v>
      </c>
      <c r="AH18" s="3">
        <v>0</v>
      </c>
      <c r="AI18" s="3">
        <v>165000</v>
      </c>
      <c r="AK18" s="3">
        <v>0</v>
      </c>
      <c r="AL18" s="3">
        <v>0</v>
      </c>
      <c r="AM18" s="3">
        <v>1</v>
      </c>
    </row>
    <row r="19" spans="1:39" x14ac:dyDescent="0.25">
      <c r="A19" s="3" t="s">
        <v>70</v>
      </c>
      <c r="B19" s="3" t="s">
        <v>71</v>
      </c>
      <c r="C19" s="3" t="s">
        <v>72</v>
      </c>
      <c r="D19" s="3" t="s">
        <v>148</v>
      </c>
      <c r="E19" s="3" t="s">
        <v>149</v>
      </c>
      <c r="H19" s="3" t="s">
        <v>75</v>
      </c>
      <c r="J19" s="3">
        <v>0</v>
      </c>
      <c r="L19" s="3" t="s">
        <v>150</v>
      </c>
      <c r="N19" s="3" t="s">
        <v>151</v>
      </c>
      <c r="O19" s="3">
        <v>191900</v>
      </c>
      <c r="P19" s="4">
        <v>2.4</v>
      </c>
      <c r="Q19" s="3">
        <v>0</v>
      </c>
      <c r="R19" s="3">
        <v>0</v>
      </c>
      <c r="S19" s="5">
        <v>1.1759999999999999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6">
        <v>0</v>
      </c>
      <c r="AC19" s="6">
        <v>0</v>
      </c>
      <c r="AD19" s="6">
        <v>0</v>
      </c>
      <c r="AE19" s="6">
        <v>0</v>
      </c>
      <c r="AF19" s="6">
        <v>0</v>
      </c>
      <c r="AG19" s="6">
        <v>0</v>
      </c>
      <c r="AH19" s="3">
        <v>0</v>
      </c>
      <c r="AI19" s="3">
        <v>179300</v>
      </c>
      <c r="AK19" s="3">
        <v>0</v>
      </c>
      <c r="AL19" s="3">
        <v>0</v>
      </c>
      <c r="AM19" s="3">
        <v>1</v>
      </c>
    </row>
    <row r="20" spans="1:39" x14ac:dyDescent="0.25">
      <c r="A20" s="3" t="s">
        <v>70</v>
      </c>
      <c r="B20" s="3" t="s">
        <v>71</v>
      </c>
      <c r="C20" s="3" t="s">
        <v>72</v>
      </c>
      <c r="D20" s="3" t="s">
        <v>152</v>
      </c>
      <c r="E20" s="3" t="s">
        <v>153</v>
      </c>
      <c r="H20" s="3" t="s">
        <v>75</v>
      </c>
      <c r="J20" s="3">
        <v>0</v>
      </c>
      <c r="L20" s="3" t="s">
        <v>154</v>
      </c>
      <c r="N20" s="3" t="s">
        <v>155</v>
      </c>
      <c r="O20" s="3">
        <v>140100</v>
      </c>
      <c r="P20" s="4">
        <v>2.4</v>
      </c>
      <c r="Q20" s="3">
        <v>0</v>
      </c>
      <c r="R20" s="3">
        <v>0</v>
      </c>
      <c r="S20" s="5">
        <v>0.85899999999999999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3">
        <v>0</v>
      </c>
      <c r="AI20" s="3">
        <v>130900</v>
      </c>
      <c r="AK20" s="3">
        <v>0</v>
      </c>
      <c r="AL20" s="3">
        <v>0</v>
      </c>
      <c r="AM20" s="3">
        <v>1</v>
      </c>
    </row>
    <row r="21" spans="1:39" x14ac:dyDescent="0.25">
      <c r="A21" s="3" t="s">
        <v>70</v>
      </c>
      <c r="B21" s="3" t="s">
        <v>71</v>
      </c>
      <c r="C21" s="3" t="s">
        <v>72</v>
      </c>
      <c r="D21" s="3" t="s">
        <v>156</v>
      </c>
      <c r="E21" s="3" t="s">
        <v>157</v>
      </c>
      <c r="H21" s="3" t="s">
        <v>75</v>
      </c>
      <c r="J21" s="3">
        <v>0</v>
      </c>
      <c r="L21" s="3" t="s">
        <v>158</v>
      </c>
      <c r="N21" s="3" t="s">
        <v>159</v>
      </c>
      <c r="O21" s="3">
        <v>166500</v>
      </c>
      <c r="P21" s="4">
        <v>2.4</v>
      </c>
      <c r="Q21" s="3">
        <v>0</v>
      </c>
      <c r="R21" s="3">
        <v>0</v>
      </c>
      <c r="S21" s="5">
        <v>1.228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3">
        <v>0</v>
      </c>
      <c r="AI21" s="3">
        <v>155600</v>
      </c>
      <c r="AK21" s="3">
        <v>0</v>
      </c>
      <c r="AL21" s="3">
        <v>0</v>
      </c>
      <c r="AM21" s="3">
        <v>1</v>
      </c>
    </row>
    <row r="22" spans="1:39" x14ac:dyDescent="0.25">
      <c r="A22" s="3" t="s">
        <v>70</v>
      </c>
      <c r="B22" s="3" t="s">
        <v>71</v>
      </c>
      <c r="C22" s="3" t="s">
        <v>160</v>
      </c>
      <c r="D22" s="3" t="s">
        <v>73</v>
      </c>
      <c r="E22" s="3" t="s">
        <v>161</v>
      </c>
      <c r="H22" s="3" t="s">
        <v>75</v>
      </c>
      <c r="J22" s="3">
        <v>0</v>
      </c>
      <c r="L22" s="3" t="s">
        <v>162</v>
      </c>
      <c r="N22" s="3" t="s">
        <v>163</v>
      </c>
      <c r="O22" s="3">
        <v>176600</v>
      </c>
      <c r="P22" s="4">
        <v>2.4</v>
      </c>
      <c r="Q22" s="3">
        <v>0</v>
      </c>
      <c r="R22" s="3">
        <v>0</v>
      </c>
      <c r="S22" s="5">
        <v>1.083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3">
        <v>0</v>
      </c>
      <c r="AI22" s="3">
        <v>165000</v>
      </c>
      <c r="AK22" s="3">
        <v>0</v>
      </c>
      <c r="AL22" s="3">
        <v>0</v>
      </c>
      <c r="AM22" s="3">
        <v>1</v>
      </c>
    </row>
    <row r="23" spans="1:39" x14ac:dyDescent="0.25">
      <c r="A23" s="3" t="s">
        <v>70</v>
      </c>
      <c r="B23" s="3" t="s">
        <v>71</v>
      </c>
      <c r="C23" s="3" t="s">
        <v>160</v>
      </c>
      <c r="D23" s="3" t="s">
        <v>79</v>
      </c>
      <c r="E23" s="3" t="s">
        <v>164</v>
      </c>
      <c r="H23" s="3" t="s">
        <v>75</v>
      </c>
      <c r="J23" s="3">
        <v>0</v>
      </c>
      <c r="L23" s="3" t="s">
        <v>81</v>
      </c>
      <c r="N23" s="3" t="s">
        <v>165</v>
      </c>
      <c r="O23" s="3">
        <v>191900</v>
      </c>
      <c r="P23" s="4">
        <v>2.4</v>
      </c>
      <c r="Q23" s="3">
        <v>0</v>
      </c>
      <c r="R23" s="3">
        <v>0</v>
      </c>
      <c r="S23" s="5">
        <v>1.383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6">
        <v>0</v>
      </c>
      <c r="AC23" s="6">
        <v>0</v>
      </c>
      <c r="AD23" s="6">
        <v>0</v>
      </c>
      <c r="AE23" s="6">
        <v>0</v>
      </c>
      <c r="AF23" s="6">
        <v>0</v>
      </c>
      <c r="AG23" s="6">
        <v>0</v>
      </c>
      <c r="AH23" s="3">
        <v>29500</v>
      </c>
      <c r="AI23" s="3">
        <v>179300</v>
      </c>
      <c r="AK23" s="3">
        <v>0</v>
      </c>
      <c r="AL23" s="3">
        <v>0</v>
      </c>
      <c r="AM23" s="3">
        <v>1</v>
      </c>
    </row>
    <row r="24" spans="1:39" x14ac:dyDescent="0.25">
      <c r="A24" s="3" t="s">
        <v>70</v>
      </c>
      <c r="B24" s="3" t="s">
        <v>71</v>
      </c>
      <c r="C24" s="3" t="s">
        <v>160</v>
      </c>
      <c r="D24" s="3" t="s">
        <v>93</v>
      </c>
      <c r="E24" s="3" t="s">
        <v>166</v>
      </c>
      <c r="H24" s="3" t="s">
        <v>75</v>
      </c>
      <c r="J24" s="3">
        <v>0</v>
      </c>
      <c r="L24" s="3" t="s">
        <v>167</v>
      </c>
      <c r="M24" s="3" t="s">
        <v>168</v>
      </c>
      <c r="N24" s="3" t="s">
        <v>169</v>
      </c>
      <c r="O24" s="3">
        <v>176600</v>
      </c>
      <c r="P24" s="4">
        <v>2.4</v>
      </c>
      <c r="Q24" s="3">
        <v>0</v>
      </c>
      <c r="R24" s="3">
        <v>0</v>
      </c>
      <c r="S24" s="5">
        <v>1.083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6">
        <v>0</v>
      </c>
      <c r="AC24" s="6">
        <v>0</v>
      </c>
      <c r="AD24" s="6">
        <v>0</v>
      </c>
      <c r="AE24" s="6">
        <v>0</v>
      </c>
      <c r="AF24" s="6">
        <v>0</v>
      </c>
      <c r="AG24" s="6">
        <v>0</v>
      </c>
      <c r="AH24" s="3">
        <v>0</v>
      </c>
      <c r="AI24" s="3">
        <v>165000</v>
      </c>
      <c r="AK24" s="3">
        <v>0</v>
      </c>
      <c r="AL24" s="3">
        <v>0</v>
      </c>
      <c r="AM24" s="3">
        <v>1</v>
      </c>
    </row>
    <row r="25" spans="1:39" x14ac:dyDescent="0.25">
      <c r="A25" s="3" t="s">
        <v>70</v>
      </c>
      <c r="B25" s="3" t="s">
        <v>71</v>
      </c>
      <c r="C25" s="3" t="s">
        <v>160</v>
      </c>
      <c r="D25" s="3" t="s">
        <v>98</v>
      </c>
      <c r="E25" s="3" t="s">
        <v>170</v>
      </c>
      <c r="H25" s="3" t="s">
        <v>75</v>
      </c>
      <c r="J25" s="3">
        <v>0</v>
      </c>
      <c r="L25" s="3" t="s">
        <v>171</v>
      </c>
      <c r="N25" s="3" t="s">
        <v>172</v>
      </c>
      <c r="O25" s="3">
        <v>191900</v>
      </c>
      <c r="P25" s="4">
        <v>2.4</v>
      </c>
      <c r="Q25" s="3">
        <v>0</v>
      </c>
      <c r="R25" s="3">
        <v>0</v>
      </c>
      <c r="S25" s="5">
        <v>1.1759999999999999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6">
        <v>0</v>
      </c>
      <c r="AC25" s="6">
        <v>0</v>
      </c>
      <c r="AD25" s="6">
        <v>0</v>
      </c>
      <c r="AE25" s="6">
        <v>0</v>
      </c>
      <c r="AF25" s="6">
        <v>0</v>
      </c>
      <c r="AG25" s="6">
        <v>0</v>
      </c>
      <c r="AH25" s="3">
        <v>0</v>
      </c>
      <c r="AI25" s="3">
        <v>179300</v>
      </c>
      <c r="AK25" s="3">
        <v>0</v>
      </c>
      <c r="AL25" s="3">
        <v>0</v>
      </c>
      <c r="AM25" s="3">
        <v>1</v>
      </c>
    </row>
    <row r="26" spans="1:39" x14ac:dyDescent="0.25">
      <c r="A26" s="3" t="s">
        <v>70</v>
      </c>
      <c r="B26" s="3" t="s">
        <v>71</v>
      </c>
      <c r="C26" s="3" t="s">
        <v>160</v>
      </c>
      <c r="D26" s="3" t="s">
        <v>112</v>
      </c>
      <c r="E26" s="3" t="s">
        <v>173</v>
      </c>
      <c r="H26" s="3" t="s">
        <v>75</v>
      </c>
      <c r="J26" s="3">
        <v>0</v>
      </c>
      <c r="L26" s="3" t="s">
        <v>174</v>
      </c>
      <c r="M26" s="3" t="s">
        <v>175</v>
      </c>
      <c r="N26" s="3" t="s">
        <v>176</v>
      </c>
      <c r="O26" s="3">
        <v>176600</v>
      </c>
      <c r="P26" s="4">
        <v>2.4</v>
      </c>
      <c r="Q26" s="3">
        <v>0</v>
      </c>
      <c r="R26" s="3">
        <v>0</v>
      </c>
      <c r="S26" s="5">
        <v>1.083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3">
        <v>0</v>
      </c>
      <c r="AI26" s="3">
        <v>165000</v>
      </c>
      <c r="AK26" s="3">
        <v>0</v>
      </c>
      <c r="AL26" s="3">
        <v>0</v>
      </c>
      <c r="AM26" s="3">
        <v>1</v>
      </c>
    </row>
    <row r="27" spans="1:39" x14ac:dyDescent="0.25">
      <c r="A27" s="3" t="s">
        <v>70</v>
      </c>
      <c r="B27" s="3" t="s">
        <v>71</v>
      </c>
      <c r="C27" s="3" t="s">
        <v>160</v>
      </c>
      <c r="D27" s="3" t="s">
        <v>116</v>
      </c>
      <c r="E27" s="3" t="s">
        <v>177</v>
      </c>
      <c r="H27" s="3" t="s">
        <v>75</v>
      </c>
      <c r="J27" s="3">
        <v>0</v>
      </c>
      <c r="L27" s="3" t="s">
        <v>178</v>
      </c>
      <c r="M27" s="3" t="s">
        <v>179</v>
      </c>
      <c r="N27" s="3" t="s">
        <v>180</v>
      </c>
      <c r="O27" s="3">
        <v>191900</v>
      </c>
      <c r="P27" s="4">
        <v>2.4</v>
      </c>
      <c r="Q27" s="3">
        <v>0</v>
      </c>
      <c r="R27" s="3">
        <v>0</v>
      </c>
      <c r="S27" s="5">
        <v>1.1759999999999999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6">
        <v>0</v>
      </c>
      <c r="AC27" s="6">
        <v>0</v>
      </c>
      <c r="AD27" s="6">
        <v>0</v>
      </c>
      <c r="AE27" s="6">
        <v>0</v>
      </c>
      <c r="AF27" s="6">
        <v>0</v>
      </c>
      <c r="AG27" s="6">
        <v>0</v>
      </c>
      <c r="AH27" s="3">
        <v>0</v>
      </c>
      <c r="AI27" s="3">
        <v>179300</v>
      </c>
      <c r="AK27" s="3">
        <v>0</v>
      </c>
      <c r="AL27" s="3">
        <v>0</v>
      </c>
      <c r="AM27" s="3">
        <v>1</v>
      </c>
    </row>
    <row r="28" spans="1:39" x14ac:dyDescent="0.25">
      <c r="A28" s="3" t="s">
        <v>70</v>
      </c>
      <c r="B28" s="3" t="s">
        <v>71</v>
      </c>
      <c r="C28" s="3" t="s">
        <v>160</v>
      </c>
      <c r="D28" s="3" t="s">
        <v>127</v>
      </c>
      <c r="E28" s="3" t="s">
        <v>181</v>
      </c>
      <c r="H28" s="3" t="s">
        <v>75</v>
      </c>
      <c r="J28" s="3">
        <v>0</v>
      </c>
      <c r="L28" s="3" t="s">
        <v>182</v>
      </c>
      <c r="M28" s="3" t="s">
        <v>183</v>
      </c>
      <c r="N28" s="3" t="s">
        <v>184</v>
      </c>
      <c r="O28" s="3">
        <v>176600</v>
      </c>
      <c r="P28" s="4">
        <v>2.4</v>
      </c>
      <c r="Q28" s="3">
        <v>0</v>
      </c>
      <c r="R28" s="3">
        <v>0</v>
      </c>
      <c r="S28" s="5">
        <v>1.083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6">
        <v>0</v>
      </c>
      <c r="AC28" s="6">
        <v>0</v>
      </c>
      <c r="AD28" s="6">
        <v>0</v>
      </c>
      <c r="AE28" s="6">
        <v>0</v>
      </c>
      <c r="AF28" s="6">
        <v>0</v>
      </c>
      <c r="AG28" s="6">
        <v>0</v>
      </c>
      <c r="AH28" s="3">
        <v>0</v>
      </c>
      <c r="AI28" s="3">
        <v>165000</v>
      </c>
      <c r="AK28" s="3">
        <v>0</v>
      </c>
      <c r="AL28" s="3">
        <v>0</v>
      </c>
      <c r="AM28" s="3">
        <v>1</v>
      </c>
    </row>
    <row r="29" spans="1:39" x14ac:dyDescent="0.25">
      <c r="A29" s="3" t="s">
        <v>70</v>
      </c>
      <c r="B29" s="3" t="s">
        <v>71</v>
      </c>
      <c r="C29" s="3" t="s">
        <v>160</v>
      </c>
      <c r="D29" s="3" t="s">
        <v>131</v>
      </c>
      <c r="E29" s="3" t="s">
        <v>185</v>
      </c>
      <c r="H29" s="3" t="s">
        <v>75</v>
      </c>
      <c r="J29" s="3">
        <v>0</v>
      </c>
      <c r="L29" s="3" t="s">
        <v>426</v>
      </c>
      <c r="M29" s="3" t="s">
        <v>186</v>
      </c>
      <c r="N29" s="3" t="s">
        <v>187</v>
      </c>
      <c r="O29" s="3">
        <v>191900</v>
      </c>
      <c r="P29" s="4">
        <v>2.4</v>
      </c>
      <c r="Q29" s="3">
        <v>0</v>
      </c>
      <c r="R29" s="3">
        <v>0</v>
      </c>
      <c r="S29" s="5">
        <v>1.1759999999999999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6">
        <v>0</v>
      </c>
      <c r="AC29" s="6">
        <v>0</v>
      </c>
      <c r="AD29" s="6">
        <v>0</v>
      </c>
      <c r="AE29" s="6">
        <v>0</v>
      </c>
      <c r="AF29" s="6">
        <v>0</v>
      </c>
      <c r="AG29" s="6">
        <v>0</v>
      </c>
      <c r="AH29" s="3">
        <v>0</v>
      </c>
      <c r="AI29" s="3">
        <v>179300</v>
      </c>
      <c r="AK29" s="3">
        <v>0</v>
      </c>
      <c r="AL29" s="3">
        <v>0</v>
      </c>
      <c r="AM29" s="3">
        <v>1</v>
      </c>
    </row>
    <row r="30" spans="1:39" x14ac:dyDescent="0.25">
      <c r="A30" s="3" t="s">
        <v>70</v>
      </c>
      <c r="B30" s="3" t="s">
        <v>71</v>
      </c>
      <c r="C30" s="3" t="s">
        <v>160</v>
      </c>
      <c r="D30" s="3" t="s">
        <v>144</v>
      </c>
      <c r="E30" s="3" t="s">
        <v>188</v>
      </c>
      <c r="H30" s="3" t="s">
        <v>75</v>
      </c>
      <c r="J30" s="3">
        <v>0</v>
      </c>
      <c r="L30" s="3" t="s">
        <v>189</v>
      </c>
      <c r="N30" s="3" t="s">
        <v>190</v>
      </c>
      <c r="O30" s="3">
        <v>176600</v>
      </c>
      <c r="P30" s="4">
        <v>2.4</v>
      </c>
      <c r="Q30" s="3">
        <v>0</v>
      </c>
      <c r="R30" s="3">
        <v>0</v>
      </c>
      <c r="S30" s="5">
        <v>1.083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6">
        <v>0</v>
      </c>
      <c r="AC30" s="6">
        <v>0</v>
      </c>
      <c r="AD30" s="6">
        <v>0</v>
      </c>
      <c r="AE30" s="6">
        <v>0</v>
      </c>
      <c r="AF30" s="6">
        <v>0</v>
      </c>
      <c r="AG30" s="6">
        <v>0</v>
      </c>
      <c r="AH30" s="3">
        <v>0</v>
      </c>
      <c r="AI30" s="3">
        <v>165000</v>
      </c>
      <c r="AK30" s="3">
        <v>0</v>
      </c>
      <c r="AL30" s="3">
        <v>0</v>
      </c>
      <c r="AM30" s="3">
        <v>1</v>
      </c>
    </row>
    <row r="31" spans="1:39" x14ac:dyDescent="0.25">
      <c r="A31" s="3" t="s">
        <v>70</v>
      </c>
      <c r="B31" s="3" t="s">
        <v>71</v>
      </c>
      <c r="C31" s="3" t="s">
        <v>160</v>
      </c>
      <c r="D31" s="3" t="s">
        <v>148</v>
      </c>
      <c r="E31" s="3" t="s">
        <v>191</v>
      </c>
      <c r="H31" s="3" t="s">
        <v>75</v>
      </c>
      <c r="J31" s="3">
        <v>0</v>
      </c>
      <c r="L31" s="3" t="s">
        <v>192</v>
      </c>
      <c r="N31" s="3" t="s">
        <v>193</v>
      </c>
      <c r="O31" s="3">
        <v>191900</v>
      </c>
      <c r="P31" s="4">
        <v>2.4</v>
      </c>
      <c r="Q31" s="3">
        <v>0</v>
      </c>
      <c r="R31" s="3">
        <v>0</v>
      </c>
      <c r="S31" s="5">
        <v>1.1759999999999999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6">
        <v>0</v>
      </c>
      <c r="AC31" s="6">
        <v>0</v>
      </c>
      <c r="AD31" s="6">
        <v>0</v>
      </c>
      <c r="AE31" s="6">
        <v>0</v>
      </c>
      <c r="AF31" s="6">
        <v>0</v>
      </c>
      <c r="AG31" s="6">
        <v>0</v>
      </c>
      <c r="AH31" s="3">
        <v>0</v>
      </c>
      <c r="AI31" s="3">
        <v>179300</v>
      </c>
      <c r="AK31" s="3">
        <v>0</v>
      </c>
      <c r="AL31" s="3">
        <v>0</v>
      </c>
      <c r="AM31" s="3">
        <v>1</v>
      </c>
    </row>
    <row r="32" spans="1:39" x14ac:dyDescent="0.25">
      <c r="A32" s="3" t="s">
        <v>70</v>
      </c>
      <c r="B32" s="3" t="s">
        <v>71</v>
      </c>
      <c r="C32" s="3" t="s">
        <v>194</v>
      </c>
      <c r="D32" s="3" t="s">
        <v>73</v>
      </c>
      <c r="E32" s="3" t="s">
        <v>195</v>
      </c>
      <c r="H32" s="3" t="s">
        <v>75</v>
      </c>
      <c r="J32" s="3">
        <v>0</v>
      </c>
      <c r="L32" s="3" t="s">
        <v>196</v>
      </c>
      <c r="N32" s="3" t="s">
        <v>197</v>
      </c>
      <c r="O32" s="3">
        <v>176600</v>
      </c>
      <c r="P32" s="4">
        <v>2.4</v>
      </c>
      <c r="Q32" s="3">
        <v>0</v>
      </c>
      <c r="R32" s="3">
        <v>0</v>
      </c>
      <c r="S32" s="5">
        <v>1.083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6">
        <v>0</v>
      </c>
      <c r="AC32" s="6">
        <v>0</v>
      </c>
      <c r="AD32" s="6">
        <v>0</v>
      </c>
      <c r="AE32" s="6">
        <v>0</v>
      </c>
      <c r="AF32" s="6">
        <v>0</v>
      </c>
      <c r="AG32" s="6">
        <v>0</v>
      </c>
      <c r="AH32" s="3">
        <v>0</v>
      </c>
      <c r="AI32" s="3">
        <v>165000</v>
      </c>
      <c r="AK32" s="3">
        <v>0</v>
      </c>
      <c r="AL32" s="3">
        <v>0</v>
      </c>
      <c r="AM32" s="3">
        <v>1</v>
      </c>
    </row>
    <row r="33" spans="1:39" x14ac:dyDescent="0.25">
      <c r="A33" s="3" t="s">
        <v>70</v>
      </c>
      <c r="B33" s="3" t="s">
        <v>71</v>
      </c>
      <c r="C33" s="3" t="s">
        <v>194</v>
      </c>
      <c r="D33" s="3" t="s">
        <v>79</v>
      </c>
      <c r="E33" s="3" t="s">
        <v>198</v>
      </c>
      <c r="H33" s="3" t="s">
        <v>75</v>
      </c>
      <c r="J33" s="3">
        <v>0</v>
      </c>
      <c r="L33" s="3" t="s">
        <v>199</v>
      </c>
      <c r="M33" s="3" t="s">
        <v>200</v>
      </c>
      <c r="N33" s="3" t="s">
        <v>201</v>
      </c>
      <c r="O33" s="3">
        <v>191900</v>
      </c>
      <c r="P33" s="4">
        <v>2.4</v>
      </c>
      <c r="Q33" s="3">
        <v>0</v>
      </c>
      <c r="R33" s="3">
        <v>0</v>
      </c>
      <c r="S33" s="5">
        <v>1.1759999999999999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3">
        <v>0</v>
      </c>
      <c r="AI33" s="3">
        <v>179300</v>
      </c>
      <c r="AK33" s="3">
        <v>0</v>
      </c>
      <c r="AL33" s="3">
        <v>0</v>
      </c>
      <c r="AM33" s="3">
        <v>1</v>
      </c>
    </row>
    <row r="34" spans="1:39" x14ac:dyDescent="0.25">
      <c r="A34" s="3" t="s">
        <v>70</v>
      </c>
      <c r="B34" s="3" t="s">
        <v>71</v>
      </c>
      <c r="C34" s="3" t="s">
        <v>194</v>
      </c>
      <c r="D34" s="3" t="s">
        <v>84</v>
      </c>
      <c r="E34" s="3" t="s">
        <v>202</v>
      </c>
      <c r="H34" s="3" t="s">
        <v>75</v>
      </c>
      <c r="J34" s="3">
        <v>0</v>
      </c>
      <c r="L34" s="3" t="s">
        <v>203</v>
      </c>
      <c r="N34" s="3" t="s">
        <v>204</v>
      </c>
      <c r="O34" s="3">
        <v>140100</v>
      </c>
      <c r="P34" s="4">
        <v>2.4</v>
      </c>
      <c r="Q34" s="3">
        <v>0</v>
      </c>
      <c r="R34" s="3">
        <v>0</v>
      </c>
      <c r="S34" s="5">
        <v>0.85899999999999999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6">
        <v>0</v>
      </c>
      <c r="AC34" s="6">
        <v>0</v>
      </c>
      <c r="AD34" s="6">
        <v>0</v>
      </c>
      <c r="AE34" s="6">
        <v>0</v>
      </c>
      <c r="AF34" s="6">
        <v>0</v>
      </c>
      <c r="AG34" s="6">
        <v>0</v>
      </c>
      <c r="AH34" s="3">
        <v>0</v>
      </c>
      <c r="AI34" s="3">
        <v>130900</v>
      </c>
      <c r="AK34" s="3">
        <v>0</v>
      </c>
      <c r="AL34" s="3">
        <v>0</v>
      </c>
      <c r="AM34" s="3">
        <v>1</v>
      </c>
    </row>
    <row r="35" spans="1:39" x14ac:dyDescent="0.25">
      <c r="A35" s="3" t="s">
        <v>70</v>
      </c>
      <c r="B35" s="3" t="s">
        <v>71</v>
      </c>
      <c r="C35" s="3" t="s">
        <v>194</v>
      </c>
      <c r="D35" s="3" t="s">
        <v>88</v>
      </c>
      <c r="E35" s="3" t="s">
        <v>205</v>
      </c>
      <c r="H35" s="3" t="s">
        <v>75</v>
      </c>
      <c r="J35" s="3">
        <v>0</v>
      </c>
      <c r="L35" s="3" t="s">
        <v>206</v>
      </c>
      <c r="M35" s="3" t="s">
        <v>207</v>
      </c>
      <c r="N35" s="3" t="s">
        <v>208</v>
      </c>
      <c r="O35" s="3">
        <v>166500</v>
      </c>
      <c r="P35" s="4">
        <v>2.4</v>
      </c>
      <c r="Q35" s="3">
        <v>0</v>
      </c>
      <c r="R35" s="3">
        <v>0</v>
      </c>
      <c r="S35" s="5">
        <v>1.228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6">
        <v>0</v>
      </c>
      <c r="AC35" s="6">
        <v>0</v>
      </c>
      <c r="AD35" s="6">
        <v>0</v>
      </c>
      <c r="AE35" s="6">
        <v>0</v>
      </c>
      <c r="AF35" s="6">
        <v>0</v>
      </c>
      <c r="AG35" s="6">
        <v>0</v>
      </c>
      <c r="AH35" s="3">
        <v>29500</v>
      </c>
      <c r="AI35" s="3">
        <v>155600</v>
      </c>
      <c r="AK35" s="3">
        <v>0</v>
      </c>
      <c r="AL35" s="3">
        <v>0</v>
      </c>
      <c r="AM35" s="3">
        <v>1</v>
      </c>
    </row>
    <row r="36" spans="1:39" x14ac:dyDescent="0.25">
      <c r="A36" s="3" t="s">
        <v>70</v>
      </c>
      <c r="B36" s="3" t="s">
        <v>71</v>
      </c>
      <c r="C36" s="3" t="s">
        <v>194</v>
      </c>
      <c r="D36" s="3" t="s">
        <v>93</v>
      </c>
      <c r="E36" s="3" t="s">
        <v>209</v>
      </c>
      <c r="H36" s="3" t="s">
        <v>75</v>
      </c>
      <c r="J36" s="3">
        <v>0</v>
      </c>
      <c r="L36" s="3" t="s">
        <v>434</v>
      </c>
      <c r="N36" s="3" t="s">
        <v>210</v>
      </c>
      <c r="O36" s="3">
        <v>176600</v>
      </c>
      <c r="P36" s="4">
        <v>2.4</v>
      </c>
      <c r="Q36" s="3">
        <v>0</v>
      </c>
      <c r="R36" s="3">
        <v>0</v>
      </c>
      <c r="S36" s="5">
        <v>1.083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6">
        <v>0</v>
      </c>
      <c r="AC36" s="6">
        <v>0</v>
      </c>
      <c r="AD36" s="6">
        <v>0</v>
      </c>
      <c r="AE36" s="6">
        <v>0</v>
      </c>
      <c r="AF36" s="6">
        <v>0</v>
      </c>
      <c r="AG36" s="6">
        <v>0</v>
      </c>
      <c r="AH36" s="3">
        <v>0</v>
      </c>
      <c r="AI36" s="3">
        <v>165000</v>
      </c>
      <c r="AJ36" s="3" t="s">
        <v>435</v>
      </c>
      <c r="AK36" s="3">
        <v>0</v>
      </c>
      <c r="AL36" s="3">
        <v>0</v>
      </c>
      <c r="AM36" s="3">
        <v>1</v>
      </c>
    </row>
    <row r="37" spans="1:39" x14ac:dyDescent="0.25">
      <c r="A37" s="3" t="s">
        <v>70</v>
      </c>
      <c r="B37" s="3" t="s">
        <v>71</v>
      </c>
      <c r="C37" s="3" t="s">
        <v>194</v>
      </c>
      <c r="D37" s="3" t="s">
        <v>98</v>
      </c>
      <c r="E37" s="3" t="s">
        <v>211</v>
      </c>
      <c r="H37" s="3" t="s">
        <v>75</v>
      </c>
      <c r="J37" s="3">
        <v>0</v>
      </c>
      <c r="L37" s="3" t="s">
        <v>212</v>
      </c>
      <c r="M37" s="3" t="s">
        <v>213</v>
      </c>
      <c r="N37" s="3" t="s">
        <v>214</v>
      </c>
      <c r="O37" s="3">
        <v>191900</v>
      </c>
      <c r="P37" s="4">
        <v>2.4</v>
      </c>
      <c r="Q37" s="3">
        <v>0</v>
      </c>
      <c r="R37" s="3">
        <v>0</v>
      </c>
      <c r="S37" s="5">
        <v>1.383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3">
        <v>29500</v>
      </c>
      <c r="AI37" s="3">
        <v>179300</v>
      </c>
      <c r="AK37" s="3">
        <v>0</v>
      </c>
      <c r="AL37" s="3">
        <v>0</v>
      </c>
      <c r="AM37" s="3">
        <v>1</v>
      </c>
    </row>
    <row r="38" spans="1:39" x14ac:dyDescent="0.25">
      <c r="A38" s="3" t="s">
        <v>70</v>
      </c>
      <c r="B38" s="3" t="s">
        <v>71</v>
      </c>
      <c r="C38" s="3" t="s">
        <v>194</v>
      </c>
      <c r="D38" s="3" t="s">
        <v>103</v>
      </c>
      <c r="E38" s="3" t="s">
        <v>215</v>
      </c>
      <c r="H38" s="3" t="s">
        <v>75</v>
      </c>
      <c r="J38" s="3">
        <v>0</v>
      </c>
      <c r="L38" s="3" t="s">
        <v>216</v>
      </c>
      <c r="N38" s="3" t="s">
        <v>217</v>
      </c>
      <c r="O38" s="3">
        <v>140100</v>
      </c>
      <c r="P38" s="4">
        <v>2.4</v>
      </c>
      <c r="Q38" s="3">
        <v>0</v>
      </c>
      <c r="R38" s="3">
        <v>0</v>
      </c>
      <c r="S38" s="5">
        <v>0.85899999999999999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6">
        <v>0</v>
      </c>
      <c r="AC38" s="6">
        <v>0</v>
      </c>
      <c r="AD38" s="6">
        <v>0</v>
      </c>
      <c r="AE38" s="6">
        <v>0</v>
      </c>
      <c r="AF38" s="6">
        <v>0</v>
      </c>
      <c r="AG38" s="6">
        <v>0</v>
      </c>
      <c r="AH38" s="3">
        <v>0</v>
      </c>
      <c r="AI38" s="3">
        <v>130900</v>
      </c>
      <c r="AK38" s="3">
        <v>0</v>
      </c>
      <c r="AL38" s="3">
        <v>0</v>
      </c>
      <c r="AM38" s="3">
        <v>1</v>
      </c>
    </row>
    <row r="39" spans="1:39" x14ac:dyDescent="0.25">
      <c r="A39" s="3" t="s">
        <v>70</v>
      </c>
      <c r="B39" s="3" t="s">
        <v>71</v>
      </c>
      <c r="C39" s="3" t="s">
        <v>194</v>
      </c>
      <c r="D39" s="3" t="s">
        <v>107</v>
      </c>
      <c r="E39" s="3" t="s">
        <v>218</v>
      </c>
      <c r="H39" s="3" t="s">
        <v>75</v>
      </c>
      <c r="J39" s="3">
        <v>0</v>
      </c>
      <c r="L39" s="3" t="s">
        <v>219</v>
      </c>
      <c r="N39" s="3" t="s">
        <v>220</v>
      </c>
      <c r="O39" s="3">
        <v>166500</v>
      </c>
      <c r="P39" s="4">
        <v>2.4</v>
      </c>
      <c r="Q39" s="3">
        <v>0</v>
      </c>
      <c r="R39" s="3">
        <v>0</v>
      </c>
      <c r="S39" s="5">
        <v>1.0209999999999999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6">
        <v>0</v>
      </c>
      <c r="AC39" s="6">
        <v>0</v>
      </c>
      <c r="AD39" s="6">
        <v>0</v>
      </c>
      <c r="AE39" s="6">
        <v>0</v>
      </c>
      <c r="AF39" s="6">
        <v>0</v>
      </c>
      <c r="AG39" s="6">
        <v>0</v>
      </c>
      <c r="AH39" s="3">
        <v>0</v>
      </c>
      <c r="AI39" s="3">
        <v>155600</v>
      </c>
      <c r="AK39" s="3">
        <v>0</v>
      </c>
      <c r="AL39" s="3">
        <v>0</v>
      </c>
      <c r="AM39" s="3">
        <v>1</v>
      </c>
    </row>
    <row r="40" spans="1:39" x14ac:dyDescent="0.25">
      <c r="A40" s="3" t="s">
        <v>70</v>
      </c>
      <c r="B40" s="3" t="s">
        <v>71</v>
      </c>
      <c r="C40" s="3" t="s">
        <v>194</v>
      </c>
      <c r="D40" s="3" t="s">
        <v>112</v>
      </c>
      <c r="E40" s="3" t="s">
        <v>221</v>
      </c>
      <c r="H40" s="3" t="s">
        <v>75</v>
      </c>
      <c r="J40" s="3">
        <v>0</v>
      </c>
      <c r="L40" s="3" t="s">
        <v>222</v>
      </c>
      <c r="M40" s="3" t="s">
        <v>223</v>
      </c>
      <c r="N40" s="3" t="s">
        <v>224</v>
      </c>
      <c r="O40" s="3">
        <v>176600</v>
      </c>
      <c r="P40" s="4">
        <v>2.4</v>
      </c>
      <c r="Q40" s="3">
        <v>0</v>
      </c>
      <c r="R40" s="3">
        <v>0</v>
      </c>
      <c r="S40" s="5">
        <v>1.083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6">
        <v>0</v>
      </c>
      <c r="AC40" s="6">
        <v>0</v>
      </c>
      <c r="AD40" s="6">
        <v>0</v>
      </c>
      <c r="AE40" s="6">
        <v>0</v>
      </c>
      <c r="AF40" s="6">
        <v>0</v>
      </c>
      <c r="AG40" s="6">
        <v>0</v>
      </c>
      <c r="AH40" s="3">
        <v>0</v>
      </c>
      <c r="AI40" s="3">
        <v>165000</v>
      </c>
      <c r="AK40" s="3">
        <v>0</v>
      </c>
      <c r="AL40" s="3">
        <v>0</v>
      </c>
      <c r="AM40" s="3">
        <v>1</v>
      </c>
    </row>
    <row r="41" spans="1:39" x14ac:dyDescent="0.25">
      <c r="A41" s="3" t="s">
        <v>70</v>
      </c>
      <c r="B41" s="3" t="s">
        <v>71</v>
      </c>
      <c r="C41" s="3" t="s">
        <v>194</v>
      </c>
      <c r="D41" s="3" t="s">
        <v>116</v>
      </c>
      <c r="E41" s="3" t="s">
        <v>225</v>
      </c>
      <c r="H41" s="3" t="s">
        <v>75</v>
      </c>
      <c r="J41" s="3">
        <v>0</v>
      </c>
      <c r="L41" s="3" t="s">
        <v>226</v>
      </c>
      <c r="M41" s="3" t="s">
        <v>227</v>
      </c>
      <c r="N41" s="3" t="s">
        <v>228</v>
      </c>
      <c r="O41" s="3">
        <v>191900</v>
      </c>
      <c r="P41" s="4">
        <v>2.4</v>
      </c>
      <c r="Q41" s="3">
        <v>0</v>
      </c>
      <c r="R41" s="3">
        <v>0</v>
      </c>
      <c r="S41" s="5">
        <v>1.383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6">
        <v>0</v>
      </c>
      <c r="AC41" s="6">
        <v>0</v>
      </c>
      <c r="AD41" s="6">
        <v>0</v>
      </c>
      <c r="AE41" s="6">
        <v>0</v>
      </c>
      <c r="AF41" s="6">
        <v>0</v>
      </c>
      <c r="AG41" s="6">
        <v>0</v>
      </c>
      <c r="AH41" s="3">
        <v>29500</v>
      </c>
      <c r="AI41" s="3">
        <v>179300</v>
      </c>
      <c r="AK41" s="3">
        <v>0</v>
      </c>
      <c r="AL41" s="3">
        <v>0</v>
      </c>
      <c r="AM41" s="3">
        <v>1</v>
      </c>
    </row>
    <row r="42" spans="1:39" x14ac:dyDescent="0.25">
      <c r="A42" s="3" t="s">
        <v>70</v>
      </c>
      <c r="B42" s="3" t="s">
        <v>71</v>
      </c>
      <c r="C42" s="3" t="s">
        <v>194</v>
      </c>
      <c r="D42" s="3" t="s">
        <v>229</v>
      </c>
      <c r="E42" s="3" t="s">
        <v>230</v>
      </c>
      <c r="H42" s="3" t="s">
        <v>75</v>
      </c>
      <c r="J42" s="3">
        <v>0</v>
      </c>
      <c r="L42" s="3" t="s">
        <v>231</v>
      </c>
      <c r="M42" s="3" t="s">
        <v>232</v>
      </c>
      <c r="N42" s="3" t="s">
        <v>233</v>
      </c>
      <c r="O42" s="3">
        <v>140100</v>
      </c>
      <c r="P42" s="4">
        <v>2.4</v>
      </c>
      <c r="Q42" s="3">
        <v>0</v>
      </c>
      <c r="R42" s="3">
        <v>0</v>
      </c>
      <c r="S42" s="5">
        <v>0.85899999999999999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6">
        <v>0</v>
      </c>
      <c r="AC42" s="6">
        <v>0</v>
      </c>
      <c r="AD42" s="6">
        <v>0</v>
      </c>
      <c r="AE42" s="6">
        <v>0</v>
      </c>
      <c r="AF42" s="6">
        <v>0</v>
      </c>
      <c r="AG42" s="6">
        <v>0</v>
      </c>
      <c r="AH42" s="3">
        <v>0</v>
      </c>
      <c r="AI42" s="3">
        <v>130900</v>
      </c>
      <c r="AK42" s="3">
        <v>0</v>
      </c>
      <c r="AL42" s="3">
        <v>0</v>
      </c>
      <c r="AM42" s="3">
        <v>1</v>
      </c>
    </row>
    <row r="43" spans="1:39" x14ac:dyDescent="0.25">
      <c r="A43" s="3" t="s">
        <v>70</v>
      </c>
      <c r="B43" s="3" t="s">
        <v>71</v>
      </c>
      <c r="C43" s="3" t="s">
        <v>194</v>
      </c>
      <c r="D43" s="3" t="s">
        <v>122</v>
      </c>
      <c r="E43" s="3" t="s">
        <v>234</v>
      </c>
      <c r="H43" s="3" t="s">
        <v>75</v>
      </c>
      <c r="J43" s="3">
        <v>0</v>
      </c>
      <c r="L43" s="3" t="s">
        <v>235</v>
      </c>
      <c r="M43" s="3" t="s">
        <v>236</v>
      </c>
      <c r="N43" s="3" t="s">
        <v>237</v>
      </c>
      <c r="O43" s="3">
        <v>166500</v>
      </c>
      <c r="P43" s="4">
        <v>2.4</v>
      </c>
      <c r="Q43" s="3">
        <v>0</v>
      </c>
      <c r="R43" s="3">
        <v>0</v>
      </c>
      <c r="S43" s="5">
        <v>1.228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6">
        <v>0</v>
      </c>
      <c r="AC43" s="6">
        <v>0</v>
      </c>
      <c r="AD43" s="6">
        <v>0</v>
      </c>
      <c r="AE43" s="6">
        <v>0</v>
      </c>
      <c r="AF43" s="6">
        <v>0</v>
      </c>
      <c r="AG43" s="6">
        <v>0</v>
      </c>
      <c r="AH43" s="3">
        <v>29500</v>
      </c>
      <c r="AI43" s="3">
        <v>155600</v>
      </c>
      <c r="AK43" s="3">
        <v>0</v>
      </c>
      <c r="AL43" s="3">
        <v>0</v>
      </c>
      <c r="AM43" s="3">
        <v>1</v>
      </c>
    </row>
    <row r="44" spans="1:39" x14ac:dyDescent="0.25">
      <c r="A44" s="3" t="s">
        <v>70</v>
      </c>
      <c r="B44" s="3" t="s">
        <v>71</v>
      </c>
      <c r="C44" s="3" t="s">
        <v>194</v>
      </c>
      <c r="D44" s="3" t="s">
        <v>127</v>
      </c>
      <c r="E44" s="3" t="s">
        <v>238</v>
      </c>
      <c r="H44" s="3" t="s">
        <v>75</v>
      </c>
      <c r="J44" s="3">
        <v>0</v>
      </c>
      <c r="L44" s="3" t="s">
        <v>239</v>
      </c>
      <c r="M44" s="3" t="s">
        <v>240</v>
      </c>
      <c r="N44" s="3" t="s">
        <v>241</v>
      </c>
      <c r="O44" s="3">
        <v>176600</v>
      </c>
      <c r="P44" s="4">
        <v>2.4</v>
      </c>
      <c r="Q44" s="3">
        <v>0</v>
      </c>
      <c r="R44" s="3">
        <v>0</v>
      </c>
      <c r="S44" s="5">
        <v>1.29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6">
        <v>0</v>
      </c>
      <c r="AC44" s="6">
        <v>0</v>
      </c>
      <c r="AD44" s="6">
        <v>0</v>
      </c>
      <c r="AE44" s="6">
        <v>0</v>
      </c>
      <c r="AF44" s="6">
        <v>0</v>
      </c>
      <c r="AG44" s="6">
        <v>0</v>
      </c>
      <c r="AH44" s="3">
        <v>29500</v>
      </c>
      <c r="AI44" s="3">
        <v>165000</v>
      </c>
      <c r="AK44" s="3">
        <v>0</v>
      </c>
      <c r="AL44" s="3">
        <v>0</v>
      </c>
      <c r="AM44" s="3">
        <v>1</v>
      </c>
    </row>
    <row r="45" spans="1:39" x14ac:dyDescent="0.25">
      <c r="A45" s="3" t="s">
        <v>70</v>
      </c>
      <c r="B45" s="3" t="s">
        <v>71</v>
      </c>
      <c r="C45" s="3" t="s">
        <v>194</v>
      </c>
      <c r="D45" s="3" t="s">
        <v>131</v>
      </c>
      <c r="E45" s="3" t="s">
        <v>242</v>
      </c>
      <c r="H45" s="3" t="s">
        <v>75</v>
      </c>
      <c r="J45" s="3">
        <v>0</v>
      </c>
      <c r="L45" s="3" t="s">
        <v>243</v>
      </c>
      <c r="N45" s="3" t="s">
        <v>244</v>
      </c>
      <c r="O45" s="3">
        <v>191900</v>
      </c>
      <c r="P45" s="4">
        <v>2.4</v>
      </c>
      <c r="Q45" s="3">
        <v>0</v>
      </c>
      <c r="R45" s="3">
        <v>0</v>
      </c>
      <c r="S45" s="5">
        <v>1.383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6">
        <v>0</v>
      </c>
      <c r="AC45" s="6">
        <v>0</v>
      </c>
      <c r="AD45" s="6">
        <v>0</v>
      </c>
      <c r="AE45" s="6">
        <v>0</v>
      </c>
      <c r="AF45" s="6">
        <v>0</v>
      </c>
      <c r="AG45" s="6">
        <v>0</v>
      </c>
      <c r="AH45" s="3">
        <v>29500</v>
      </c>
      <c r="AI45" s="3">
        <v>179300</v>
      </c>
      <c r="AK45" s="3">
        <v>0</v>
      </c>
      <c r="AL45" s="3">
        <v>0</v>
      </c>
      <c r="AM45" s="3">
        <v>1</v>
      </c>
    </row>
    <row r="46" spans="1:39" x14ac:dyDescent="0.25">
      <c r="A46" s="3" t="s">
        <v>70</v>
      </c>
      <c r="B46" s="3" t="s">
        <v>71</v>
      </c>
      <c r="C46" s="3" t="s">
        <v>194</v>
      </c>
      <c r="D46" s="3" t="s">
        <v>136</v>
      </c>
      <c r="E46" s="3" t="s">
        <v>245</v>
      </c>
      <c r="H46" s="3" t="s">
        <v>75</v>
      </c>
      <c r="J46" s="3">
        <v>0</v>
      </c>
      <c r="L46" s="3" t="s">
        <v>246</v>
      </c>
      <c r="M46" s="3" t="s">
        <v>247</v>
      </c>
      <c r="N46" s="3" t="s">
        <v>443</v>
      </c>
      <c r="O46" s="3">
        <v>140100</v>
      </c>
      <c r="P46" s="4">
        <v>2.4</v>
      </c>
      <c r="Q46" s="3">
        <v>0</v>
      </c>
      <c r="R46" s="3">
        <v>0</v>
      </c>
      <c r="S46" s="5">
        <v>0.85899999999999999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6">
        <v>0</v>
      </c>
      <c r="AC46" s="6">
        <v>0</v>
      </c>
      <c r="AD46" s="6">
        <v>0</v>
      </c>
      <c r="AE46" s="6">
        <v>0</v>
      </c>
      <c r="AF46" s="6">
        <v>0</v>
      </c>
      <c r="AG46" s="6">
        <v>0</v>
      </c>
      <c r="AH46" s="3">
        <v>0</v>
      </c>
      <c r="AI46" s="3">
        <v>130900</v>
      </c>
      <c r="AK46" s="3">
        <v>0</v>
      </c>
      <c r="AL46" s="3">
        <v>0</v>
      </c>
      <c r="AM46" s="3">
        <v>1</v>
      </c>
    </row>
    <row r="47" spans="1:39" x14ac:dyDescent="0.25">
      <c r="A47" s="3" t="s">
        <v>70</v>
      </c>
      <c r="B47" s="3" t="s">
        <v>71</v>
      </c>
      <c r="C47" s="3" t="s">
        <v>194</v>
      </c>
      <c r="D47" s="3" t="s">
        <v>141</v>
      </c>
      <c r="E47" s="3" t="s">
        <v>248</v>
      </c>
      <c r="H47" s="3" t="s">
        <v>75</v>
      </c>
      <c r="J47" s="3">
        <v>0</v>
      </c>
      <c r="L47" s="3" t="s">
        <v>249</v>
      </c>
      <c r="M47" s="3" t="s">
        <v>250</v>
      </c>
      <c r="N47" s="3" t="s">
        <v>251</v>
      </c>
      <c r="O47" s="3">
        <v>166500</v>
      </c>
      <c r="P47" s="4">
        <v>2.4</v>
      </c>
      <c r="Q47" s="3">
        <v>0</v>
      </c>
      <c r="R47" s="3">
        <v>0</v>
      </c>
      <c r="S47" s="5">
        <v>1.0209999999999999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6">
        <v>0</v>
      </c>
      <c r="AC47" s="6">
        <v>0</v>
      </c>
      <c r="AD47" s="6">
        <v>0</v>
      </c>
      <c r="AE47" s="6">
        <v>0</v>
      </c>
      <c r="AF47" s="6">
        <v>0</v>
      </c>
      <c r="AG47" s="6">
        <v>0</v>
      </c>
      <c r="AH47" s="3">
        <v>0</v>
      </c>
      <c r="AI47" s="3">
        <v>155600</v>
      </c>
      <c r="AK47" s="3">
        <v>0</v>
      </c>
      <c r="AL47" s="3">
        <v>0</v>
      </c>
      <c r="AM47" s="3">
        <v>1</v>
      </c>
    </row>
    <row r="48" spans="1:39" x14ac:dyDescent="0.25">
      <c r="A48" s="3" t="s">
        <v>70</v>
      </c>
      <c r="B48" s="3" t="s">
        <v>71</v>
      </c>
      <c r="C48" s="3" t="s">
        <v>194</v>
      </c>
      <c r="D48" s="3" t="s">
        <v>144</v>
      </c>
      <c r="E48" s="3" t="s">
        <v>252</v>
      </c>
      <c r="H48" s="3" t="s">
        <v>75</v>
      </c>
      <c r="J48" s="3">
        <v>0</v>
      </c>
      <c r="L48" s="3" t="s">
        <v>253</v>
      </c>
      <c r="N48" s="3" t="s">
        <v>254</v>
      </c>
      <c r="O48" s="3">
        <v>176600</v>
      </c>
      <c r="P48" s="4">
        <v>2.4</v>
      </c>
      <c r="Q48" s="3">
        <v>0</v>
      </c>
      <c r="R48" s="3">
        <v>0</v>
      </c>
      <c r="S48" s="5">
        <v>1.29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6">
        <v>0</v>
      </c>
      <c r="AC48" s="6">
        <v>0</v>
      </c>
      <c r="AD48" s="6">
        <v>0</v>
      </c>
      <c r="AE48" s="6">
        <v>0</v>
      </c>
      <c r="AF48" s="6">
        <v>0</v>
      </c>
      <c r="AG48" s="6">
        <v>0</v>
      </c>
      <c r="AH48" s="3">
        <v>29500</v>
      </c>
      <c r="AI48" s="3">
        <v>165000</v>
      </c>
      <c r="AK48" s="3">
        <v>0</v>
      </c>
      <c r="AL48" s="3">
        <v>0</v>
      </c>
      <c r="AM48" s="3">
        <v>1</v>
      </c>
    </row>
    <row r="49" spans="1:39" x14ac:dyDescent="0.25">
      <c r="A49" s="3" t="s">
        <v>70</v>
      </c>
      <c r="B49" s="3" t="s">
        <v>71</v>
      </c>
      <c r="C49" s="3" t="s">
        <v>194</v>
      </c>
      <c r="D49" s="3" t="s">
        <v>148</v>
      </c>
      <c r="E49" s="3" t="s">
        <v>255</v>
      </c>
      <c r="H49" s="3" t="s">
        <v>75</v>
      </c>
      <c r="J49" s="3">
        <v>0</v>
      </c>
      <c r="L49" s="3" t="s">
        <v>256</v>
      </c>
      <c r="N49" s="3" t="s">
        <v>257</v>
      </c>
      <c r="O49" s="3">
        <v>191900</v>
      </c>
      <c r="P49" s="4">
        <v>2.4</v>
      </c>
      <c r="Q49" s="3">
        <v>0</v>
      </c>
      <c r="R49" s="3">
        <v>0</v>
      </c>
      <c r="S49" s="5">
        <v>1.1759999999999999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6">
        <v>0</v>
      </c>
      <c r="AC49" s="6">
        <v>0</v>
      </c>
      <c r="AD49" s="6">
        <v>0</v>
      </c>
      <c r="AE49" s="6">
        <v>0</v>
      </c>
      <c r="AF49" s="6">
        <v>0</v>
      </c>
      <c r="AG49" s="6">
        <v>0</v>
      </c>
      <c r="AH49" s="3">
        <v>0</v>
      </c>
      <c r="AI49" s="3">
        <v>179300</v>
      </c>
      <c r="AK49" s="3">
        <v>0</v>
      </c>
      <c r="AL49" s="3">
        <v>0</v>
      </c>
      <c r="AM49" s="3">
        <v>1</v>
      </c>
    </row>
    <row r="50" spans="1:39" x14ac:dyDescent="0.25">
      <c r="A50" s="3" t="s">
        <v>70</v>
      </c>
      <c r="B50" s="3" t="s">
        <v>71</v>
      </c>
      <c r="C50" s="3" t="s">
        <v>194</v>
      </c>
      <c r="D50" s="3" t="s">
        <v>152</v>
      </c>
      <c r="E50" s="3" t="s">
        <v>258</v>
      </c>
      <c r="H50" s="3" t="s">
        <v>75</v>
      </c>
      <c r="J50" s="3">
        <v>0</v>
      </c>
      <c r="L50" s="3" t="s">
        <v>259</v>
      </c>
      <c r="N50" s="3" t="s">
        <v>260</v>
      </c>
      <c r="O50" s="3">
        <v>140100</v>
      </c>
      <c r="P50" s="4">
        <v>2.4</v>
      </c>
      <c r="Q50" s="3">
        <v>0</v>
      </c>
      <c r="R50" s="3">
        <v>0</v>
      </c>
      <c r="S50" s="5">
        <v>0.85899999999999999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6">
        <v>0</v>
      </c>
      <c r="AC50" s="6">
        <v>0</v>
      </c>
      <c r="AD50" s="6">
        <v>0</v>
      </c>
      <c r="AE50" s="6">
        <v>0</v>
      </c>
      <c r="AF50" s="6">
        <v>0</v>
      </c>
      <c r="AG50" s="6">
        <v>0</v>
      </c>
      <c r="AH50" s="3">
        <v>0</v>
      </c>
      <c r="AI50" s="3">
        <v>130900</v>
      </c>
      <c r="AK50" s="3">
        <v>0</v>
      </c>
      <c r="AL50" s="3">
        <v>0</v>
      </c>
      <c r="AM50" s="3">
        <v>1</v>
      </c>
    </row>
    <row r="51" spans="1:39" x14ac:dyDescent="0.25">
      <c r="A51" s="3" t="s">
        <v>70</v>
      </c>
      <c r="B51" s="3" t="s">
        <v>71</v>
      </c>
      <c r="C51" s="3" t="s">
        <v>194</v>
      </c>
      <c r="D51" s="3" t="s">
        <v>156</v>
      </c>
      <c r="E51" s="3" t="s">
        <v>261</v>
      </c>
      <c r="H51" s="3" t="s">
        <v>75</v>
      </c>
      <c r="J51" s="3">
        <v>0</v>
      </c>
      <c r="L51" s="3" t="s">
        <v>262</v>
      </c>
      <c r="N51" s="3" t="s">
        <v>263</v>
      </c>
      <c r="O51" s="3">
        <v>166500</v>
      </c>
      <c r="P51" s="4">
        <v>0</v>
      </c>
      <c r="Q51" s="3">
        <v>0</v>
      </c>
      <c r="R51" s="3">
        <v>0</v>
      </c>
      <c r="S51" s="5">
        <v>1.0209999999999999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6">
        <v>0</v>
      </c>
      <c r="AC51" s="6">
        <v>0</v>
      </c>
      <c r="AD51" s="6">
        <v>0</v>
      </c>
      <c r="AE51" s="6">
        <v>0</v>
      </c>
      <c r="AF51" s="6">
        <v>0</v>
      </c>
      <c r="AG51" s="6">
        <v>0</v>
      </c>
      <c r="AH51" s="3">
        <v>0</v>
      </c>
      <c r="AI51" s="3">
        <v>155600</v>
      </c>
      <c r="AK51" s="3">
        <v>0</v>
      </c>
      <c r="AL51" s="3">
        <v>0</v>
      </c>
      <c r="AM51" s="3">
        <v>1</v>
      </c>
    </row>
    <row r="52" spans="1:39" x14ac:dyDescent="0.25">
      <c r="A52" s="3" t="s">
        <v>70</v>
      </c>
      <c r="B52" s="3" t="s">
        <v>71</v>
      </c>
      <c r="C52" s="3" t="s">
        <v>264</v>
      </c>
      <c r="D52" s="3" t="s">
        <v>73</v>
      </c>
      <c r="E52" s="3" t="s">
        <v>265</v>
      </c>
      <c r="H52" s="3" t="s">
        <v>75</v>
      </c>
      <c r="J52" s="3">
        <v>0</v>
      </c>
      <c r="L52" s="3" t="s">
        <v>266</v>
      </c>
      <c r="N52" s="3" t="s">
        <v>267</v>
      </c>
      <c r="O52" s="3">
        <v>140100</v>
      </c>
      <c r="P52" s="4">
        <v>2.4</v>
      </c>
      <c r="Q52" s="3">
        <v>0</v>
      </c>
      <c r="R52" s="3">
        <v>0</v>
      </c>
      <c r="S52" s="5">
        <v>0.85899999999999999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6">
        <v>0</v>
      </c>
      <c r="AC52" s="6">
        <v>0</v>
      </c>
      <c r="AD52" s="6">
        <v>0</v>
      </c>
      <c r="AE52" s="6">
        <v>0</v>
      </c>
      <c r="AF52" s="6">
        <v>0</v>
      </c>
      <c r="AG52" s="6">
        <v>0</v>
      </c>
      <c r="AH52" s="3">
        <v>0</v>
      </c>
      <c r="AI52" s="3">
        <v>130900</v>
      </c>
      <c r="AK52" s="3">
        <v>0</v>
      </c>
      <c r="AL52" s="3">
        <v>0</v>
      </c>
      <c r="AM52" s="3">
        <v>1</v>
      </c>
    </row>
    <row r="53" spans="1:39" x14ac:dyDescent="0.25">
      <c r="A53" s="3" t="s">
        <v>70</v>
      </c>
      <c r="B53" s="3" t="s">
        <v>71</v>
      </c>
      <c r="C53" s="3" t="s">
        <v>264</v>
      </c>
      <c r="D53" s="3" t="s">
        <v>79</v>
      </c>
      <c r="E53" s="3" t="s">
        <v>268</v>
      </c>
      <c r="H53" s="3" t="s">
        <v>75</v>
      </c>
      <c r="J53" s="3">
        <v>0</v>
      </c>
      <c r="L53" s="3" t="s">
        <v>269</v>
      </c>
      <c r="M53" s="3" t="s">
        <v>270</v>
      </c>
      <c r="N53" s="3" t="s">
        <v>271</v>
      </c>
      <c r="O53" s="3">
        <v>166500</v>
      </c>
      <c r="P53" s="4">
        <v>2.4</v>
      </c>
      <c r="Q53" s="3">
        <v>0</v>
      </c>
      <c r="R53" s="3">
        <v>0</v>
      </c>
      <c r="S53" s="5">
        <v>1.0209999999999999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6">
        <v>0</v>
      </c>
      <c r="AC53" s="6">
        <v>0</v>
      </c>
      <c r="AD53" s="6">
        <v>0</v>
      </c>
      <c r="AE53" s="6">
        <v>0</v>
      </c>
      <c r="AF53" s="6">
        <v>0</v>
      </c>
      <c r="AG53" s="6">
        <v>0</v>
      </c>
      <c r="AH53" s="3">
        <v>0</v>
      </c>
      <c r="AI53" s="3">
        <v>155600</v>
      </c>
      <c r="AK53" s="3">
        <v>0</v>
      </c>
      <c r="AL53" s="3">
        <v>0</v>
      </c>
      <c r="AM53" s="3">
        <v>1</v>
      </c>
    </row>
    <row r="54" spans="1:39" x14ac:dyDescent="0.25">
      <c r="A54" s="3" t="s">
        <v>70</v>
      </c>
      <c r="B54" s="3" t="s">
        <v>71</v>
      </c>
      <c r="C54" s="3" t="s">
        <v>264</v>
      </c>
      <c r="D54" s="3" t="s">
        <v>84</v>
      </c>
      <c r="E54" s="3" t="s">
        <v>272</v>
      </c>
      <c r="H54" s="3" t="s">
        <v>75</v>
      </c>
      <c r="J54" s="3">
        <v>0</v>
      </c>
      <c r="L54" s="3" t="s">
        <v>427</v>
      </c>
      <c r="N54" s="3" t="s">
        <v>273</v>
      </c>
      <c r="O54" s="3">
        <v>196300</v>
      </c>
      <c r="P54" s="4">
        <v>2.4</v>
      </c>
      <c r="Q54" s="3">
        <v>0</v>
      </c>
      <c r="R54" s="3">
        <v>0</v>
      </c>
      <c r="S54" s="5">
        <v>1.41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6">
        <v>0</v>
      </c>
      <c r="AC54" s="6">
        <v>0</v>
      </c>
      <c r="AD54" s="6">
        <v>0</v>
      </c>
      <c r="AE54" s="6">
        <v>0</v>
      </c>
      <c r="AF54" s="6">
        <v>0</v>
      </c>
      <c r="AG54" s="6">
        <v>0</v>
      </c>
      <c r="AH54" s="3">
        <v>29500</v>
      </c>
      <c r="AI54" s="3">
        <v>183500</v>
      </c>
      <c r="AK54" s="3">
        <v>0</v>
      </c>
      <c r="AL54" s="3">
        <v>0</v>
      </c>
      <c r="AM54" s="3">
        <v>1</v>
      </c>
    </row>
    <row r="55" spans="1:39" x14ac:dyDescent="0.25">
      <c r="A55" s="3" t="s">
        <v>70</v>
      </c>
      <c r="B55" s="3" t="s">
        <v>71</v>
      </c>
      <c r="C55" s="3" t="s">
        <v>264</v>
      </c>
      <c r="D55" s="3" t="s">
        <v>88</v>
      </c>
      <c r="E55" s="3" t="s">
        <v>274</v>
      </c>
      <c r="H55" s="3" t="s">
        <v>75</v>
      </c>
      <c r="J55" s="3">
        <v>0</v>
      </c>
      <c r="L55" s="3" t="s">
        <v>275</v>
      </c>
      <c r="N55" s="3" t="s">
        <v>276</v>
      </c>
      <c r="O55" s="3">
        <v>216500</v>
      </c>
      <c r="P55" s="4">
        <v>2.4</v>
      </c>
      <c r="Q55" s="3">
        <v>0</v>
      </c>
      <c r="R55" s="3">
        <v>0</v>
      </c>
      <c r="S55" s="5">
        <v>1.5349999999999999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6">
        <v>0</v>
      </c>
      <c r="AC55" s="6">
        <v>0</v>
      </c>
      <c r="AD55" s="6">
        <v>0</v>
      </c>
      <c r="AE55" s="6">
        <v>0</v>
      </c>
      <c r="AF55" s="6">
        <v>0</v>
      </c>
      <c r="AG55" s="6">
        <v>0</v>
      </c>
      <c r="AH55" s="3">
        <v>29500</v>
      </c>
      <c r="AI55" s="3">
        <v>202300</v>
      </c>
      <c r="AK55" s="3">
        <v>0</v>
      </c>
      <c r="AL55" s="3">
        <v>0</v>
      </c>
      <c r="AM55" s="3">
        <v>1</v>
      </c>
    </row>
    <row r="56" spans="1:39" x14ac:dyDescent="0.25">
      <c r="A56" s="3" t="s">
        <v>70</v>
      </c>
      <c r="B56" s="3" t="s">
        <v>71</v>
      </c>
      <c r="C56" s="3" t="s">
        <v>264</v>
      </c>
      <c r="D56" s="3" t="s">
        <v>277</v>
      </c>
      <c r="E56" s="3" t="s">
        <v>278</v>
      </c>
      <c r="H56" s="3" t="s">
        <v>75</v>
      </c>
      <c r="J56" s="3">
        <v>0</v>
      </c>
      <c r="L56" s="3" t="s">
        <v>279</v>
      </c>
      <c r="M56" s="3" t="s">
        <v>280</v>
      </c>
      <c r="N56" s="3" t="s">
        <v>281</v>
      </c>
      <c r="O56" s="3">
        <v>196300</v>
      </c>
      <c r="P56" s="4">
        <v>2.4</v>
      </c>
      <c r="Q56" s="3">
        <v>0</v>
      </c>
      <c r="R56" s="3">
        <v>0</v>
      </c>
      <c r="S56" s="5">
        <v>1.2030000000000001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3">
        <v>0</v>
      </c>
      <c r="AI56" s="3">
        <v>183500</v>
      </c>
      <c r="AK56" s="3">
        <v>0</v>
      </c>
      <c r="AL56" s="3">
        <v>0</v>
      </c>
      <c r="AM56" s="3">
        <v>1</v>
      </c>
    </row>
    <row r="57" spans="1:39" x14ac:dyDescent="0.25">
      <c r="A57" s="3" t="s">
        <v>70</v>
      </c>
      <c r="B57" s="3" t="s">
        <v>71</v>
      </c>
      <c r="C57" s="3" t="s">
        <v>264</v>
      </c>
      <c r="D57" s="3" t="s">
        <v>282</v>
      </c>
      <c r="E57" s="3" t="s">
        <v>283</v>
      </c>
      <c r="H57" s="3" t="s">
        <v>75</v>
      </c>
      <c r="J57" s="3">
        <v>0</v>
      </c>
      <c r="L57" s="3" t="s">
        <v>432</v>
      </c>
      <c r="M57" s="3" t="s">
        <v>433</v>
      </c>
      <c r="N57" s="3" t="s">
        <v>284</v>
      </c>
      <c r="O57" s="3">
        <v>216500</v>
      </c>
      <c r="P57" s="4">
        <v>2.4</v>
      </c>
      <c r="Q57" s="3">
        <v>0</v>
      </c>
      <c r="R57" s="3">
        <v>0</v>
      </c>
      <c r="S57" s="5">
        <v>1.534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3">
        <v>29500</v>
      </c>
      <c r="AI57" s="3">
        <v>202300</v>
      </c>
      <c r="AK57" s="3">
        <v>0</v>
      </c>
      <c r="AL57" s="3">
        <v>0</v>
      </c>
      <c r="AM57" s="3">
        <v>1</v>
      </c>
    </row>
    <row r="58" spans="1:39" x14ac:dyDescent="0.25">
      <c r="A58" s="3" t="s">
        <v>70</v>
      </c>
      <c r="B58" s="3" t="s">
        <v>71</v>
      </c>
      <c r="C58" s="3" t="s">
        <v>264</v>
      </c>
      <c r="D58" s="3" t="s">
        <v>285</v>
      </c>
      <c r="E58" s="3" t="s">
        <v>286</v>
      </c>
      <c r="H58" s="3" t="s">
        <v>75</v>
      </c>
      <c r="J58" s="3">
        <v>0</v>
      </c>
      <c r="L58" s="3" t="s">
        <v>287</v>
      </c>
      <c r="M58" s="3" t="s">
        <v>288</v>
      </c>
      <c r="N58" s="3" t="s">
        <v>289</v>
      </c>
      <c r="O58" s="3">
        <v>140100</v>
      </c>
      <c r="P58" s="4">
        <v>2.4</v>
      </c>
      <c r="Q58" s="3">
        <v>0</v>
      </c>
      <c r="R58" s="3">
        <v>0</v>
      </c>
      <c r="S58" s="5">
        <v>0.85899999999999999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6">
        <v>0</v>
      </c>
      <c r="AC58" s="6">
        <v>0</v>
      </c>
      <c r="AD58" s="6">
        <v>0</v>
      </c>
      <c r="AE58" s="6">
        <v>0</v>
      </c>
      <c r="AF58" s="6">
        <v>0</v>
      </c>
      <c r="AG58" s="6">
        <v>0</v>
      </c>
      <c r="AH58" s="3">
        <v>0</v>
      </c>
      <c r="AI58" s="3">
        <v>130900</v>
      </c>
      <c r="AK58" s="3">
        <v>0</v>
      </c>
      <c r="AL58" s="3">
        <v>0</v>
      </c>
      <c r="AM58" s="3">
        <v>1</v>
      </c>
    </row>
    <row r="59" spans="1:39" x14ac:dyDescent="0.25">
      <c r="A59" s="3" t="s">
        <v>70</v>
      </c>
      <c r="B59" s="3" t="s">
        <v>71</v>
      </c>
      <c r="C59" s="3" t="s">
        <v>264</v>
      </c>
      <c r="D59" s="3" t="s">
        <v>290</v>
      </c>
      <c r="E59" s="3" t="s">
        <v>291</v>
      </c>
      <c r="H59" s="3" t="s">
        <v>75</v>
      </c>
      <c r="J59" s="3">
        <v>0</v>
      </c>
      <c r="L59" s="3" t="s">
        <v>292</v>
      </c>
      <c r="M59" s="3" t="s">
        <v>293</v>
      </c>
      <c r="N59" s="3" t="s">
        <v>294</v>
      </c>
      <c r="O59" s="3">
        <v>166500</v>
      </c>
      <c r="P59" s="4">
        <v>2.4</v>
      </c>
      <c r="Q59" s="3">
        <v>0</v>
      </c>
      <c r="R59" s="3">
        <v>0</v>
      </c>
      <c r="S59" s="5">
        <v>1.0209999999999999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6">
        <v>0</v>
      </c>
      <c r="AC59" s="6">
        <v>0</v>
      </c>
      <c r="AD59" s="6">
        <v>0</v>
      </c>
      <c r="AE59" s="6">
        <v>0</v>
      </c>
      <c r="AF59" s="6">
        <v>0</v>
      </c>
      <c r="AG59" s="6">
        <v>0</v>
      </c>
      <c r="AH59" s="3">
        <v>0</v>
      </c>
      <c r="AI59" s="3">
        <v>155600</v>
      </c>
      <c r="AK59" s="3">
        <v>0</v>
      </c>
      <c r="AL59" s="3">
        <v>0</v>
      </c>
      <c r="AM59" s="3">
        <v>1</v>
      </c>
    </row>
    <row r="60" spans="1:39" x14ac:dyDescent="0.25">
      <c r="A60" s="3" t="s">
        <v>70</v>
      </c>
      <c r="B60" s="3" t="s">
        <v>71</v>
      </c>
      <c r="C60" s="3" t="s">
        <v>264</v>
      </c>
      <c r="D60" s="3" t="s">
        <v>93</v>
      </c>
      <c r="E60" s="3" t="s">
        <v>295</v>
      </c>
      <c r="H60" s="3" t="s">
        <v>75</v>
      </c>
      <c r="J60" s="3">
        <v>0</v>
      </c>
      <c r="L60" s="3" t="s">
        <v>296</v>
      </c>
      <c r="M60" s="3" t="s">
        <v>297</v>
      </c>
      <c r="N60" s="3" t="s">
        <v>298</v>
      </c>
      <c r="O60" s="3">
        <v>140100</v>
      </c>
      <c r="P60" s="4">
        <v>2.4</v>
      </c>
      <c r="Q60" s="3">
        <v>0</v>
      </c>
      <c r="R60" s="3">
        <v>0</v>
      </c>
      <c r="S60" s="5">
        <v>0.85899999999999999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6">
        <v>0</v>
      </c>
      <c r="AC60" s="6">
        <v>0</v>
      </c>
      <c r="AD60" s="6">
        <v>0</v>
      </c>
      <c r="AE60" s="6">
        <v>0</v>
      </c>
      <c r="AF60" s="6">
        <v>0</v>
      </c>
      <c r="AG60" s="6">
        <v>0</v>
      </c>
      <c r="AH60" s="3">
        <v>0</v>
      </c>
      <c r="AI60" s="3">
        <v>130900</v>
      </c>
      <c r="AK60" s="3">
        <v>0</v>
      </c>
      <c r="AL60" s="3">
        <v>0</v>
      </c>
      <c r="AM60" s="3">
        <v>1</v>
      </c>
    </row>
    <row r="61" spans="1:39" x14ac:dyDescent="0.25">
      <c r="A61" s="3" t="s">
        <v>70</v>
      </c>
      <c r="B61" s="3" t="s">
        <v>71</v>
      </c>
      <c r="C61" s="3" t="s">
        <v>264</v>
      </c>
      <c r="D61" s="3" t="s">
        <v>98</v>
      </c>
      <c r="E61" s="3" t="s">
        <v>299</v>
      </c>
      <c r="H61" s="3" t="s">
        <v>75</v>
      </c>
      <c r="J61" s="3">
        <v>0</v>
      </c>
      <c r="L61" s="3" t="s">
        <v>300</v>
      </c>
      <c r="N61" s="3" t="s">
        <v>301</v>
      </c>
      <c r="O61" s="3">
        <v>166500</v>
      </c>
      <c r="P61" s="4">
        <v>2.4</v>
      </c>
      <c r="Q61" s="3">
        <v>0</v>
      </c>
      <c r="R61" s="3">
        <v>0</v>
      </c>
      <c r="S61" s="5">
        <v>1.0209999999999999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6">
        <v>0</v>
      </c>
      <c r="AC61" s="6">
        <v>0</v>
      </c>
      <c r="AD61" s="6">
        <v>0</v>
      </c>
      <c r="AE61" s="6">
        <v>0</v>
      </c>
      <c r="AF61" s="6">
        <v>0</v>
      </c>
      <c r="AG61" s="6">
        <v>0</v>
      </c>
      <c r="AH61" s="3">
        <v>0</v>
      </c>
      <c r="AI61" s="3">
        <v>155600</v>
      </c>
      <c r="AK61" s="3">
        <v>0</v>
      </c>
      <c r="AL61" s="3">
        <v>0</v>
      </c>
      <c r="AM61" s="3">
        <v>1</v>
      </c>
    </row>
    <row r="62" spans="1:39" x14ac:dyDescent="0.25">
      <c r="A62" s="3" t="s">
        <v>70</v>
      </c>
      <c r="B62" s="3" t="s">
        <v>71</v>
      </c>
      <c r="C62" s="3" t="s">
        <v>264</v>
      </c>
      <c r="D62" s="3" t="s">
        <v>103</v>
      </c>
      <c r="E62" s="3" t="s">
        <v>302</v>
      </c>
      <c r="H62" s="3" t="s">
        <v>75</v>
      </c>
      <c r="J62" s="3">
        <v>0</v>
      </c>
      <c r="L62" s="3" t="s">
        <v>303</v>
      </c>
      <c r="M62" s="3" t="s">
        <v>304</v>
      </c>
      <c r="N62" s="3" t="s">
        <v>305</v>
      </c>
      <c r="O62" s="3">
        <v>176600</v>
      </c>
      <c r="P62" s="4">
        <v>2.4</v>
      </c>
      <c r="Q62" s="3">
        <v>0</v>
      </c>
      <c r="R62" s="3">
        <v>0</v>
      </c>
      <c r="S62" s="5">
        <v>1.083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6">
        <v>0</v>
      </c>
      <c r="AC62" s="6">
        <v>0</v>
      </c>
      <c r="AD62" s="6">
        <v>0</v>
      </c>
      <c r="AE62" s="6">
        <v>0</v>
      </c>
      <c r="AF62" s="6">
        <v>0</v>
      </c>
      <c r="AG62" s="6">
        <v>0</v>
      </c>
      <c r="AH62" s="3">
        <v>0</v>
      </c>
      <c r="AI62" s="3">
        <v>165000</v>
      </c>
      <c r="AK62" s="3">
        <v>0</v>
      </c>
      <c r="AL62" s="3">
        <v>0</v>
      </c>
      <c r="AM62" s="3">
        <v>1</v>
      </c>
    </row>
    <row r="63" spans="1:39" x14ac:dyDescent="0.25">
      <c r="A63" s="3" t="s">
        <v>70</v>
      </c>
      <c r="B63" s="3" t="s">
        <v>71</v>
      </c>
      <c r="C63" s="3" t="s">
        <v>264</v>
      </c>
      <c r="D63" s="3" t="s">
        <v>107</v>
      </c>
      <c r="E63" s="3" t="s">
        <v>306</v>
      </c>
      <c r="H63" s="3" t="s">
        <v>75</v>
      </c>
      <c r="J63" s="3">
        <v>0</v>
      </c>
      <c r="L63" s="3" t="s">
        <v>307</v>
      </c>
      <c r="M63" s="3" t="s">
        <v>308</v>
      </c>
      <c r="N63" s="3" t="s">
        <v>309</v>
      </c>
      <c r="O63" s="3">
        <v>191900</v>
      </c>
      <c r="P63" s="4">
        <v>2.4</v>
      </c>
      <c r="Q63" s="3">
        <v>0</v>
      </c>
      <c r="R63" s="3">
        <v>0</v>
      </c>
      <c r="S63" s="5">
        <v>1.1759999999999999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6">
        <v>0</v>
      </c>
      <c r="AC63" s="6">
        <v>0</v>
      </c>
      <c r="AD63" s="6">
        <v>0</v>
      </c>
      <c r="AE63" s="6">
        <v>0</v>
      </c>
      <c r="AF63" s="6">
        <v>0</v>
      </c>
      <c r="AG63" s="6">
        <v>0</v>
      </c>
      <c r="AH63" s="3">
        <v>0</v>
      </c>
      <c r="AI63" s="3">
        <v>179300</v>
      </c>
      <c r="AK63" s="3">
        <v>0</v>
      </c>
      <c r="AL63" s="3">
        <v>0</v>
      </c>
      <c r="AM63" s="3">
        <v>1</v>
      </c>
    </row>
    <row r="64" spans="1:39" x14ac:dyDescent="0.25">
      <c r="A64" s="3" t="s">
        <v>70</v>
      </c>
      <c r="B64" s="3" t="s">
        <v>71</v>
      </c>
      <c r="C64" s="3" t="s">
        <v>264</v>
      </c>
      <c r="D64" s="3" t="s">
        <v>310</v>
      </c>
      <c r="E64" s="3" t="s">
        <v>311</v>
      </c>
      <c r="H64" s="3" t="s">
        <v>75</v>
      </c>
      <c r="J64" s="3">
        <v>0</v>
      </c>
      <c r="L64" s="3" t="s">
        <v>428</v>
      </c>
      <c r="N64" s="3" t="s">
        <v>312</v>
      </c>
      <c r="O64" s="3">
        <v>176600</v>
      </c>
      <c r="P64" s="4">
        <v>2.4</v>
      </c>
      <c r="Q64" s="3">
        <v>0</v>
      </c>
      <c r="R64" s="3">
        <v>0</v>
      </c>
      <c r="S64" s="5">
        <v>1.29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6">
        <v>0</v>
      </c>
      <c r="AC64" s="6">
        <v>0</v>
      </c>
      <c r="AD64" s="6">
        <v>0</v>
      </c>
      <c r="AE64" s="6">
        <v>0</v>
      </c>
      <c r="AF64" s="6">
        <v>0</v>
      </c>
      <c r="AG64" s="6">
        <v>0</v>
      </c>
      <c r="AH64" s="3">
        <v>29500</v>
      </c>
      <c r="AI64" s="3">
        <v>165000</v>
      </c>
      <c r="AK64" s="3">
        <v>0</v>
      </c>
      <c r="AL64" s="3">
        <v>0</v>
      </c>
      <c r="AM64" s="3">
        <v>1</v>
      </c>
    </row>
    <row r="65" spans="1:39" x14ac:dyDescent="0.25">
      <c r="A65" s="3" t="s">
        <v>70</v>
      </c>
      <c r="B65" s="3" t="s">
        <v>71</v>
      </c>
      <c r="C65" s="3" t="s">
        <v>264</v>
      </c>
      <c r="D65" s="3" t="s">
        <v>313</v>
      </c>
      <c r="E65" s="3" t="s">
        <v>314</v>
      </c>
      <c r="H65" s="3" t="s">
        <v>75</v>
      </c>
      <c r="J65" s="3">
        <v>0</v>
      </c>
      <c r="L65" s="3" t="s">
        <v>315</v>
      </c>
      <c r="N65" s="3" t="s">
        <v>316</v>
      </c>
      <c r="O65" s="3">
        <v>191900</v>
      </c>
      <c r="P65" s="4">
        <v>2.4</v>
      </c>
      <c r="Q65" s="3">
        <v>0</v>
      </c>
      <c r="R65" s="3">
        <v>0</v>
      </c>
      <c r="S65" s="5">
        <v>1.383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6">
        <v>0</v>
      </c>
      <c r="AC65" s="6">
        <v>0</v>
      </c>
      <c r="AD65" s="6">
        <v>0</v>
      </c>
      <c r="AE65" s="6">
        <v>0</v>
      </c>
      <c r="AF65" s="6">
        <v>0</v>
      </c>
      <c r="AG65" s="6">
        <v>0</v>
      </c>
      <c r="AH65" s="3">
        <v>29500</v>
      </c>
      <c r="AI65" s="3">
        <v>179300</v>
      </c>
      <c r="AK65" s="3">
        <v>0</v>
      </c>
      <c r="AL65" s="3">
        <v>0</v>
      </c>
      <c r="AM65" s="3">
        <v>1</v>
      </c>
    </row>
    <row r="66" spans="1:39" x14ac:dyDescent="0.25">
      <c r="A66" s="3" t="s">
        <v>70</v>
      </c>
      <c r="B66" s="3" t="s">
        <v>71</v>
      </c>
      <c r="C66" s="3" t="s">
        <v>264</v>
      </c>
      <c r="D66" s="3" t="s">
        <v>317</v>
      </c>
      <c r="E66" s="3" t="s">
        <v>318</v>
      </c>
      <c r="H66" s="3" t="s">
        <v>75</v>
      </c>
      <c r="J66" s="3">
        <v>0</v>
      </c>
      <c r="L66" s="3" t="s">
        <v>319</v>
      </c>
      <c r="N66" s="3" t="s">
        <v>320</v>
      </c>
      <c r="O66" s="3">
        <v>140100</v>
      </c>
      <c r="P66" s="4">
        <v>2.4</v>
      </c>
      <c r="Q66" s="3">
        <v>0</v>
      </c>
      <c r="R66" s="3">
        <v>0</v>
      </c>
      <c r="S66" s="5">
        <v>0.85899999999999999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6">
        <v>0</v>
      </c>
      <c r="AC66" s="6">
        <v>0</v>
      </c>
      <c r="AD66" s="6">
        <v>0</v>
      </c>
      <c r="AE66" s="6">
        <v>0</v>
      </c>
      <c r="AF66" s="6">
        <v>0</v>
      </c>
      <c r="AG66" s="6">
        <v>0</v>
      </c>
      <c r="AH66" s="3">
        <v>0</v>
      </c>
      <c r="AI66" s="3">
        <v>130900</v>
      </c>
      <c r="AK66" s="3">
        <v>0</v>
      </c>
      <c r="AL66" s="3">
        <v>0</v>
      </c>
      <c r="AM66" s="3">
        <v>1</v>
      </c>
    </row>
    <row r="67" spans="1:39" x14ac:dyDescent="0.25">
      <c r="A67" s="3" t="s">
        <v>70</v>
      </c>
      <c r="B67" s="3" t="s">
        <v>71</v>
      </c>
      <c r="C67" s="3" t="s">
        <v>264</v>
      </c>
      <c r="D67" s="3" t="s">
        <v>321</v>
      </c>
      <c r="E67" s="3" t="s">
        <v>322</v>
      </c>
      <c r="H67" s="3" t="s">
        <v>75</v>
      </c>
      <c r="J67" s="3">
        <v>0</v>
      </c>
      <c r="L67" s="3" t="s">
        <v>323</v>
      </c>
      <c r="M67" s="3" t="s">
        <v>324</v>
      </c>
      <c r="N67" s="3" t="s">
        <v>325</v>
      </c>
      <c r="O67" s="3">
        <v>166500</v>
      </c>
      <c r="P67" s="4">
        <v>2.4</v>
      </c>
      <c r="Q67" s="3">
        <v>0</v>
      </c>
      <c r="R67" s="3">
        <v>0</v>
      </c>
      <c r="S67" s="5">
        <v>1.0209999999999999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Z67" s="5">
        <v>0</v>
      </c>
      <c r="AA67" s="5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3">
        <v>0</v>
      </c>
      <c r="AI67" s="3">
        <v>155600</v>
      </c>
      <c r="AK67" s="3">
        <v>0</v>
      </c>
      <c r="AL67" s="3">
        <v>0</v>
      </c>
      <c r="AM67" s="3">
        <v>1</v>
      </c>
    </row>
    <row r="68" spans="1:39" x14ac:dyDescent="0.25">
      <c r="A68" s="3" t="s">
        <v>70</v>
      </c>
      <c r="B68" s="3" t="s">
        <v>71</v>
      </c>
      <c r="C68" s="3" t="s">
        <v>264</v>
      </c>
      <c r="D68" s="3" t="s">
        <v>112</v>
      </c>
      <c r="E68" s="3" t="s">
        <v>326</v>
      </c>
      <c r="H68" s="3" t="s">
        <v>75</v>
      </c>
      <c r="J68" s="3">
        <v>0</v>
      </c>
      <c r="L68" s="3" t="s">
        <v>327</v>
      </c>
      <c r="N68" s="3" t="s">
        <v>328</v>
      </c>
      <c r="O68" s="3">
        <v>140100</v>
      </c>
      <c r="P68" s="4">
        <v>2.4</v>
      </c>
      <c r="Q68" s="3">
        <v>0</v>
      </c>
      <c r="R68" s="3">
        <v>0</v>
      </c>
      <c r="S68" s="5">
        <v>0.85899999999999999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Z68" s="5">
        <v>0</v>
      </c>
      <c r="AA68" s="5">
        <v>0</v>
      </c>
      <c r="AB68" s="6">
        <v>0</v>
      </c>
      <c r="AC68" s="6">
        <v>0</v>
      </c>
      <c r="AD68" s="6">
        <v>0</v>
      </c>
      <c r="AE68" s="6">
        <v>0</v>
      </c>
      <c r="AF68" s="6">
        <v>0</v>
      </c>
      <c r="AG68" s="6">
        <v>0</v>
      </c>
      <c r="AH68" s="3">
        <v>0</v>
      </c>
      <c r="AI68" s="3">
        <v>130900</v>
      </c>
      <c r="AK68" s="3">
        <v>0</v>
      </c>
      <c r="AL68" s="3">
        <v>0</v>
      </c>
      <c r="AM68" s="3">
        <v>1</v>
      </c>
    </row>
    <row r="69" spans="1:39" x14ac:dyDescent="0.25">
      <c r="A69" s="3" t="s">
        <v>70</v>
      </c>
      <c r="B69" s="3" t="s">
        <v>71</v>
      </c>
      <c r="C69" s="3" t="s">
        <v>264</v>
      </c>
      <c r="D69" s="3" t="s">
        <v>116</v>
      </c>
      <c r="E69" s="3" t="s">
        <v>329</v>
      </c>
      <c r="H69" s="3" t="s">
        <v>75</v>
      </c>
      <c r="J69" s="3">
        <v>0</v>
      </c>
      <c r="L69" s="3" t="s">
        <v>330</v>
      </c>
      <c r="M69" s="3" t="s">
        <v>331</v>
      </c>
      <c r="N69" s="3" t="s">
        <v>332</v>
      </c>
      <c r="O69" s="3">
        <v>166500</v>
      </c>
      <c r="P69" s="4">
        <v>2.4</v>
      </c>
      <c r="Q69" s="3">
        <v>0</v>
      </c>
      <c r="R69" s="3">
        <v>0</v>
      </c>
      <c r="S69" s="5">
        <v>1.0209999999999999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Z69" s="5">
        <v>0</v>
      </c>
      <c r="AA69" s="5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3">
        <v>0</v>
      </c>
      <c r="AI69" s="3">
        <v>155600</v>
      </c>
      <c r="AK69" s="3">
        <v>0</v>
      </c>
      <c r="AL69" s="3">
        <v>0</v>
      </c>
      <c r="AM69" s="3">
        <v>1</v>
      </c>
    </row>
    <row r="70" spans="1:39" x14ac:dyDescent="0.25">
      <c r="A70" s="3" t="s">
        <v>70</v>
      </c>
      <c r="B70" s="3" t="s">
        <v>71</v>
      </c>
      <c r="C70" s="3" t="s">
        <v>264</v>
      </c>
      <c r="D70" s="3" t="s">
        <v>229</v>
      </c>
      <c r="E70" s="3" t="s">
        <v>333</v>
      </c>
      <c r="H70" s="3" t="s">
        <v>75</v>
      </c>
      <c r="J70" s="3">
        <v>0</v>
      </c>
      <c r="L70" s="3" t="s">
        <v>334</v>
      </c>
      <c r="N70" s="3" t="s">
        <v>335</v>
      </c>
      <c r="O70" s="3">
        <v>176600</v>
      </c>
      <c r="P70" s="4">
        <v>2.4</v>
      </c>
      <c r="Q70" s="3">
        <v>0</v>
      </c>
      <c r="R70" s="3">
        <v>0</v>
      </c>
      <c r="S70" s="5">
        <v>1.29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Z70" s="5">
        <v>0</v>
      </c>
      <c r="AA70" s="5">
        <v>0</v>
      </c>
      <c r="AB70" s="6">
        <v>0</v>
      </c>
      <c r="AC70" s="6">
        <v>0</v>
      </c>
      <c r="AD70" s="6">
        <v>0</v>
      </c>
      <c r="AE70" s="6">
        <v>0</v>
      </c>
      <c r="AF70" s="6">
        <v>0</v>
      </c>
      <c r="AG70" s="6">
        <v>0</v>
      </c>
      <c r="AH70" s="3">
        <v>29500</v>
      </c>
      <c r="AI70" s="3">
        <v>165000</v>
      </c>
      <c r="AK70" s="3">
        <v>0</v>
      </c>
      <c r="AL70" s="3">
        <v>0</v>
      </c>
      <c r="AM70" s="3">
        <v>1</v>
      </c>
    </row>
    <row r="71" spans="1:39" x14ac:dyDescent="0.25">
      <c r="A71" s="3" t="s">
        <v>70</v>
      </c>
      <c r="B71" s="3" t="s">
        <v>71</v>
      </c>
      <c r="C71" s="3" t="s">
        <v>264</v>
      </c>
      <c r="D71" s="3" t="s">
        <v>122</v>
      </c>
      <c r="E71" s="3" t="s">
        <v>336</v>
      </c>
      <c r="H71" s="3" t="s">
        <v>75</v>
      </c>
      <c r="J71" s="3">
        <v>0</v>
      </c>
      <c r="L71" s="3" t="s">
        <v>337</v>
      </c>
      <c r="M71" s="3" t="s">
        <v>338</v>
      </c>
      <c r="N71" s="3" t="s">
        <v>339</v>
      </c>
      <c r="O71" s="3">
        <v>191900</v>
      </c>
      <c r="P71" s="4">
        <v>2.4</v>
      </c>
      <c r="Q71" s="3">
        <v>0</v>
      </c>
      <c r="R71" s="3">
        <v>0</v>
      </c>
      <c r="S71" s="5">
        <v>1.383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Z71" s="5">
        <v>0</v>
      </c>
      <c r="AA71" s="5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3">
        <v>29500</v>
      </c>
      <c r="AI71" s="3">
        <v>179300</v>
      </c>
      <c r="AK71" s="3">
        <v>0</v>
      </c>
      <c r="AL71" s="3">
        <v>0</v>
      </c>
      <c r="AM71" s="3">
        <v>1</v>
      </c>
    </row>
    <row r="72" spans="1:39" x14ac:dyDescent="0.25">
      <c r="A72" s="3" t="s">
        <v>70</v>
      </c>
      <c r="B72" s="3" t="s">
        <v>71</v>
      </c>
      <c r="C72" s="3" t="s">
        <v>264</v>
      </c>
      <c r="D72" s="3" t="s">
        <v>340</v>
      </c>
      <c r="E72" s="3" t="s">
        <v>341</v>
      </c>
      <c r="H72" s="3" t="s">
        <v>75</v>
      </c>
      <c r="J72" s="3">
        <v>0</v>
      </c>
      <c r="L72" s="3" t="s">
        <v>342</v>
      </c>
      <c r="M72" s="3" t="s">
        <v>343</v>
      </c>
      <c r="N72" s="3" t="s">
        <v>344</v>
      </c>
      <c r="O72" s="3">
        <v>176600</v>
      </c>
      <c r="P72" s="4">
        <v>2.4</v>
      </c>
      <c r="Q72" s="3">
        <v>0</v>
      </c>
      <c r="R72" s="3">
        <v>0</v>
      </c>
      <c r="S72" s="5">
        <v>1.29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Z72" s="5">
        <v>0</v>
      </c>
      <c r="AA72" s="5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3">
        <v>29500</v>
      </c>
      <c r="AI72" s="3">
        <v>165000</v>
      </c>
      <c r="AK72" s="3">
        <v>0</v>
      </c>
      <c r="AL72" s="3">
        <v>0</v>
      </c>
      <c r="AM72" s="3">
        <v>1</v>
      </c>
    </row>
    <row r="73" spans="1:39" x14ac:dyDescent="0.25">
      <c r="A73" s="3" t="s">
        <v>70</v>
      </c>
      <c r="B73" s="3" t="s">
        <v>71</v>
      </c>
      <c r="C73" s="3" t="s">
        <v>264</v>
      </c>
      <c r="D73" s="3" t="s">
        <v>345</v>
      </c>
      <c r="E73" s="3" t="s">
        <v>346</v>
      </c>
      <c r="H73" s="3" t="s">
        <v>75</v>
      </c>
      <c r="J73" s="3">
        <v>0</v>
      </c>
      <c r="L73" s="3" t="s">
        <v>347</v>
      </c>
      <c r="N73" s="3" t="s">
        <v>348</v>
      </c>
      <c r="O73" s="3">
        <v>191900</v>
      </c>
      <c r="P73" s="4">
        <v>2.4</v>
      </c>
      <c r="Q73" s="3">
        <v>0</v>
      </c>
      <c r="R73" s="3">
        <v>0</v>
      </c>
      <c r="S73" s="5">
        <v>1.383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Z73" s="5">
        <v>0</v>
      </c>
      <c r="AA73" s="5">
        <v>0</v>
      </c>
      <c r="AB73" s="6">
        <v>0</v>
      </c>
      <c r="AC73" s="6">
        <v>0</v>
      </c>
      <c r="AD73" s="6">
        <v>0</v>
      </c>
      <c r="AE73" s="6">
        <v>0</v>
      </c>
      <c r="AF73" s="6">
        <v>0</v>
      </c>
      <c r="AG73" s="6">
        <v>0</v>
      </c>
      <c r="AH73" s="3">
        <v>29500</v>
      </c>
      <c r="AI73" s="3">
        <v>179300</v>
      </c>
      <c r="AK73" s="3">
        <v>0</v>
      </c>
      <c r="AL73" s="3">
        <v>0</v>
      </c>
      <c r="AM73" s="3">
        <v>1</v>
      </c>
    </row>
    <row r="74" spans="1:39" x14ac:dyDescent="0.25">
      <c r="A74" s="3" t="s">
        <v>70</v>
      </c>
      <c r="B74" s="3" t="s">
        <v>71</v>
      </c>
      <c r="C74" s="3" t="s">
        <v>264</v>
      </c>
      <c r="D74" s="3" t="s">
        <v>349</v>
      </c>
      <c r="E74" s="3" t="s">
        <v>350</v>
      </c>
      <c r="H74" s="3" t="s">
        <v>75</v>
      </c>
      <c r="J74" s="3">
        <v>0</v>
      </c>
      <c r="L74" s="3" t="s">
        <v>351</v>
      </c>
      <c r="N74" s="3" t="s">
        <v>352</v>
      </c>
      <c r="O74" s="3">
        <v>140100</v>
      </c>
      <c r="P74" s="4">
        <v>2.4</v>
      </c>
      <c r="Q74" s="3">
        <v>0</v>
      </c>
      <c r="R74" s="3">
        <v>0</v>
      </c>
      <c r="S74" s="5">
        <v>1.0660000000000001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3">
        <v>29500</v>
      </c>
      <c r="AI74" s="3">
        <v>130900</v>
      </c>
      <c r="AK74" s="3">
        <v>0</v>
      </c>
      <c r="AL74" s="3">
        <v>0</v>
      </c>
      <c r="AM74" s="3">
        <v>1</v>
      </c>
    </row>
    <row r="75" spans="1:39" x14ac:dyDescent="0.25">
      <c r="A75" s="3" t="s">
        <v>70</v>
      </c>
      <c r="B75" s="3" t="s">
        <v>71</v>
      </c>
      <c r="C75" s="3" t="s">
        <v>264</v>
      </c>
      <c r="D75" s="3" t="s">
        <v>353</v>
      </c>
      <c r="E75" s="3" t="s">
        <v>354</v>
      </c>
      <c r="H75" s="3" t="s">
        <v>75</v>
      </c>
      <c r="J75" s="3">
        <v>0</v>
      </c>
      <c r="L75" s="3" t="s">
        <v>355</v>
      </c>
      <c r="N75" s="3" t="s">
        <v>356</v>
      </c>
      <c r="O75" s="3">
        <v>166500</v>
      </c>
      <c r="P75" s="4">
        <v>2.4</v>
      </c>
      <c r="Q75" s="3">
        <v>0</v>
      </c>
      <c r="R75" s="3">
        <v>0</v>
      </c>
      <c r="S75" s="5">
        <v>1.228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Z75" s="5">
        <v>0</v>
      </c>
      <c r="AA75" s="5">
        <v>0</v>
      </c>
      <c r="AB75" s="6">
        <v>0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3">
        <v>29500</v>
      </c>
      <c r="AI75" s="3">
        <v>155600</v>
      </c>
      <c r="AK75" s="3">
        <v>0</v>
      </c>
      <c r="AL75" s="3">
        <v>0</v>
      </c>
      <c r="AM75" s="3">
        <v>1</v>
      </c>
    </row>
    <row r="76" spans="1:39" x14ac:dyDescent="0.25">
      <c r="A76" s="3" t="s">
        <v>70</v>
      </c>
      <c r="B76" s="3" t="s">
        <v>71</v>
      </c>
      <c r="C76" s="3" t="s">
        <v>264</v>
      </c>
      <c r="D76" s="3" t="s">
        <v>127</v>
      </c>
      <c r="E76" s="3" t="s">
        <v>357</v>
      </c>
      <c r="H76" s="3" t="s">
        <v>75</v>
      </c>
      <c r="J76" s="3">
        <v>0</v>
      </c>
      <c r="L76" s="3" t="s">
        <v>358</v>
      </c>
      <c r="N76" s="3" t="s">
        <v>359</v>
      </c>
      <c r="O76" s="3">
        <v>140100</v>
      </c>
      <c r="P76" s="4">
        <v>2.4</v>
      </c>
      <c r="Q76" s="3">
        <v>0</v>
      </c>
      <c r="R76" s="3">
        <v>0</v>
      </c>
      <c r="S76" s="5">
        <v>0.85899999999999999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Z76" s="5">
        <v>0</v>
      </c>
      <c r="AA76" s="5">
        <v>0</v>
      </c>
      <c r="AB76" s="6">
        <v>0</v>
      </c>
      <c r="AC76" s="6">
        <v>0</v>
      </c>
      <c r="AD76" s="6">
        <v>0</v>
      </c>
      <c r="AE76" s="6">
        <v>0</v>
      </c>
      <c r="AF76" s="6">
        <v>0</v>
      </c>
      <c r="AG76" s="6">
        <v>0</v>
      </c>
      <c r="AH76" s="3">
        <v>0</v>
      </c>
      <c r="AI76" s="3">
        <v>130900</v>
      </c>
      <c r="AK76" s="3">
        <v>0</v>
      </c>
      <c r="AL76" s="3">
        <v>0</v>
      </c>
      <c r="AM76" s="3">
        <v>1</v>
      </c>
    </row>
    <row r="77" spans="1:39" x14ac:dyDescent="0.25">
      <c r="A77" s="3" t="s">
        <v>70</v>
      </c>
      <c r="B77" s="3" t="s">
        <v>71</v>
      </c>
      <c r="C77" s="3" t="s">
        <v>264</v>
      </c>
      <c r="D77" s="3" t="s">
        <v>131</v>
      </c>
      <c r="E77" s="3" t="s">
        <v>360</v>
      </c>
      <c r="H77" s="3" t="s">
        <v>75</v>
      </c>
      <c r="J77" s="3">
        <v>0</v>
      </c>
      <c r="L77" s="3" t="s">
        <v>361</v>
      </c>
      <c r="N77" s="3" t="s">
        <v>362</v>
      </c>
      <c r="O77" s="3">
        <v>166500</v>
      </c>
      <c r="P77" s="4">
        <v>2.4</v>
      </c>
      <c r="Q77" s="3">
        <v>0</v>
      </c>
      <c r="R77" s="3">
        <v>0</v>
      </c>
      <c r="S77" s="5">
        <v>1.0209999999999999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0</v>
      </c>
      <c r="Z77" s="5">
        <v>0</v>
      </c>
      <c r="AA77" s="5">
        <v>0</v>
      </c>
      <c r="AB77" s="6">
        <v>0</v>
      </c>
      <c r="AC77" s="6">
        <v>0</v>
      </c>
      <c r="AD77" s="6">
        <v>0</v>
      </c>
      <c r="AE77" s="6">
        <v>0</v>
      </c>
      <c r="AF77" s="6">
        <v>0</v>
      </c>
      <c r="AG77" s="6">
        <v>0</v>
      </c>
      <c r="AH77" s="3">
        <v>0</v>
      </c>
      <c r="AI77" s="3">
        <v>155600</v>
      </c>
      <c r="AK77" s="3">
        <v>0</v>
      </c>
      <c r="AL77" s="3">
        <v>0</v>
      </c>
      <c r="AM77" s="3">
        <v>1</v>
      </c>
    </row>
    <row r="78" spans="1:39" x14ac:dyDescent="0.25">
      <c r="A78" s="3" t="s">
        <v>70</v>
      </c>
      <c r="B78" s="3" t="s">
        <v>71</v>
      </c>
      <c r="C78" s="3" t="s">
        <v>264</v>
      </c>
      <c r="D78" s="3" t="s">
        <v>136</v>
      </c>
      <c r="E78" s="3" t="s">
        <v>363</v>
      </c>
      <c r="H78" s="3" t="s">
        <v>75</v>
      </c>
      <c r="J78" s="3">
        <v>0</v>
      </c>
      <c r="L78" s="3" t="s">
        <v>364</v>
      </c>
      <c r="M78" s="3" t="s">
        <v>365</v>
      </c>
      <c r="N78" s="3" t="s">
        <v>366</v>
      </c>
      <c r="O78" s="3">
        <v>176600</v>
      </c>
      <c r="P78" s="4">
        <v>2.4</v>
      </c>
      <c r="Q78" s="3">
        <v>0</v>
      </c>
      <c r="R78" s="3">
        <v>0</v>
      </c>
      <c r="S78" s="5">
        <v>1.083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0</v>
      </c>
      <c r="Z78" s="5">
        <v>0</v>
      </c>
      <c r="AA78" s="5">
        <v>0</v>
      </c>
      <c r="AB78" s="6">
        <v>0</v>
      </c>
      <c r="AC78" s="6">
        <v>0</v>
      </c>
      <c r="AD78" s="6">
        <v>0</v>
      </c>
      <c r="AE78" s="6">
        <v>0</v>
      </c>
      <c r="AF78" s="6">
        <v>0</v>
      </c>
      <c r="AG78" s="6">
        <v>0</v>
      </c>
      <c r="AH78" s="3">
        <v>0</v>
      </c>
      <c r="AI78" s="3">
        <v>165000</v>
      </c>
      <c r="AK78" s="3">
        <v>0</v>
      </c>
      <c r="AL78" s="3">
        <v>0</v>
      </c>
      <c r="AM78" s="3">
        <v>1</v>
      </c>
    </row>
    <row r="79" spans="1:39" x14ac:dyDescent="0.25">
      <c r="A79" s="3" t="s">
        <v>70</v>
      </c>
      <c r="B79" s="3" t="s">
        <v>71</v>
      </c>
      <c r="C79" s="3" t="s">
        <v>264</v>
      </c>
      <c r="D79" s="3" t="s">
        <v>141</v>
      </c>
      <c r="E79" s="3" t="s">
        <v>367</v>
      </c>
      <c r="H79" s="3" t="s">
        <v>75</v>
      </c>
      <c r="J79" s="3">
        <v>0</v>
      </c>
      <c r="L79" s="3" t="s">
        <v>368</v>
      </c>
      <c r="M79" s="3" t="s">
        <v>369</v>
      </c>
      <c r="N79" s="3" t="s">
        <v>370</v>
      </c>
      <c r="O79" s="3">
        <v>191900</v>
      </c>
      <c r="P79" s="4">
        <v>2.4</v>
      </c>
      <c r="Q79" s="3">
        <v>0</v>
      </c>
      <c r="R79" s="3">
        <v>0</v>
      </c>
      <c r="S79" s="5">
        <v>1.1759999999999999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0</v>
      </c>
      <c r="Z79" s="5">
        <v>0</v>
      </c>
      <c r="AA79" s="5">
        <v>0</v>
      </c>
      <c r="AB79" s="6">
        <v>0</v>
      </c>
      <c r="AC79" s="6">
        <v>0</v>
      </c>
      <c r="AD79" s="6">
        <v>0</v>
      </c>
      <c r="AE79" s="6">
        <v>0</v>
      </c>
      <c r="AF79" s="6">
        <v>0</v>
      </c>
      <c r="AG79" s="6">
        <v>0</v>
      </c>
      <c r="AH79" s="3">
        <v>0</v>
      </c>
      <c r="AI79" s="3">
        <v>179300</v>
      </c>
      <c r="AK79" s="3">
        <v>0</v>
      </c>
      <c r="AL79" s="3">
        <v>0</v>
      </c>
      <c r="AM79" s="3">
        <v>1</v>
      </c>
    </row>
    <row r="80" spans="1:39" x14ac:dyDescent="0.25">
      <c r="A80" s="3" t="s">
        <v>70</v>
      </c>
      <c r="B80" s="3" t="s">
        <v>71</v>
      </c>
      <c r="C80" s="3" t="s">
        <v>264</v>
      </c>
      <c r="D80" s="3" t="s">
        <v>371</v>
      </c>
      <c r="E80" s="3" t="s">
        <v>372</v>
      </c>
      <c r="H80" s="3" t="s">
        <v>75</v>
      </c>
      <c r="J80" s="3">
        <v>0</v>
      </c>
      <c r="L80" s="3" t="s">
        <v>373</v>
      </c>
      <c r="M80" s="3" t="s">
        <v>374</v>
      </c>
      <c r="N80" s="3" t="s">
        <v>444</v>
      </c>
      <c r="O80" s="3">
        <v>176600</v>
      </c>
      <c r="P80" s="4">
        <v>2.4</v>
      </c>
      <c r="Q80" s="3">
        <v>0</v>
      </c>
      <c r="R80" s="3">
        <v>0</v>
      </c>
      <c r="S80" s="5">
        <v>1.083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6">
        <v>0</v>
      </c>
      <c r="AC80" s="6">
        <v>0</v>
      </c>
      <c r="AD80" s="6">
        <v>0</v>
      </c>
      <c r="AE80" s="6">
        <v>0</v>
      </c>
      <c r="AF80" s="6">
        <v>0</v>
      </c>
      <c r="AG80" s="6">
        <v>0</v>
      </c>
      <c r="AH80" s="3">
        <v>0</v>
      </c>
      <c r="AI80" s="3">
        <v>165000</v>
      </c>
      <c r="AK80" s="3">
        <v>0</v>
      </c>
      <c r="AL80" s="3">
        <v>0</v>
      </c>
      <c r="AM80" s="3">
        <v>1</v>
      </c>
    </row>
    <row r="81" spans="1:39" x14ac:dyDescent="0.25">
      <c r="A81" s="3" t="s">
        <v>70</v>
      </c>
      <c r="B81" s="3" t="s">
        <v>71</v>
      </c>
      <c r="C81" s="3" t="s">
        <v>264</v>
      </c>
      <c r="D81" s="3" t="s">
        <v>375</v>
      </c>
      <c r="E81" s="3" t="s">
        <v>376</v>
      </c>
      <c r="H81" s="3" t="s">
        <v>75</v>
      </c>
      <c r="J81" s="3">
        <v>0</v>
      </c>
      <c r="L81" s="3" t="s">
        <v>377</v>
      </c>
      <c r="N81" s="3" t="s">
        <v>378</v>
      </c>
      <c r="O81" s="3">
        <v>191900</v>
      </c>
      <c r="P81" s="4">
        <v>2.4</v>
      </c>
      <c r="Q81" s="3">
        <v>0</v>
      </c>
      <c r="R81" s="3">
        <v>0</v>
      </c>
      <c r="S81" s="5">
        <v>1.383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0</v>
      </c>
      <c r="Z81" s="5">
        <v>0</v>
      </c>
      <c r="AA81" s="5">
        <v>0</v>
      </c>
      <c r="AB81" s="6">
        <v>0</v>
      </c>
      <c r="AC81" s="6">
        <v>0</v>
      </c>
      <c r="AD81" s="6">
        <v>0</v>
      </c>
      <c r="AE81" s="6">
        <v>0</v>
      </c>
      <c r="AF81" s="6">
        <v>0</v>
      </c>
      <c r="AG81" s="6">
        <v>0</v>
      </c>
      <c r="AH81" s="3">
        <v>29500</v>
      </c>
      <c r="AI81" s="3">
        <v>179300</v>
      </c>
      <c r="AK81" s="3">
        <v>0</v>
      </c>
      <c r="AL81" s="3">
        <v>0</v>
      </c>
      <c r="AM81" s="3">
        <v>1</v>
      </c>
    </row>
    <row r="82" spans="1:39" x14ac:dyDescent="0.25">
      <c r="A82" s="3" t="s">
        <v>70</v>
      </c>
      <c r="B82" s="3" t="s">
        <v>71</v>
      </c>
      <c r="C82" s="3" t="s">
        <v>264</v>
      </c>
      <c r="D82" s="3" t="s">
        <v>379</v>
      </c>
      <c r="E82" s="3" t="s">
        <v>380</v>
      </c>
      <c r="H82" s="3" t="s">
        <v>75</v>
      </c>
      <c r="J82" s="3">
        <v>0</v>
      </c>
      <c r="L82" s="3" t="s">
        <v>381</v>
      </c>
      <c r="N82" s="3" t="s">
        <v>382</v>
      </c>
      <c r="O82" s="3">
        <v>140100</v>
      </c>
      <c r="P82" s="4">
        <v>2.4</v>
      </c>
      <c r="Q82" s="3">
        <v>0</v>
      </c>
      <c r="R82" s="3">
        <v>0</v>
      </c>
      <c r="S82" s="5">
        <v>0.85899999999999999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>
        <v>0</v>
      </c>
      <c r="AA82" s="5">
        <v>0</v>
      </c>
      <c r="AB82" s="6">
        <v>0</v>
      </c>
      <c r="AC82" s="6">
        <v>0</v>
      </c>
      <c r="AD82" s="6">
        <v>0</v>
      </c>
      <c r="AE82" s="6">
        <v>0</v>
      </c>
      <c r="AF82" s="6">
        <v>0</v>
      </c>
      <c r="AG82" s="6">
        <v>0</v>
      </c>
      <c r="AH82" s="3">
        <v>0</v>
      </c>
      <c r="AI82" s="3">
        <v>130900</v>
      </c>
      <c r="AK82" s="3">
        <v>0</v>
      </c>
      <c r="AL82" s="3">
        <v>0</v>
      </c>
      <c r="AM82" s="3">
        <v>1</v>
      </c>
    </row>
    <row r="83" spans="1:39" x14ac:dyDescent="0.25">
      <c r="A83" s="3" t="s">
        <v>70</v>
      </c>
      <c r="B83" s="3" t="s">
        <v>71</v>
      </c>
      <c r="C83" s="3" t="s">
        <v>264</v>
      </c>
      <c r="D83" s="3" t="s">
        <v>383</v>
      </c>
      <c r="E83" s="3" t="s">
        <v>384</v>
      </c>
      <c r="H83" s="3" t="s">
        <v>75</v>
      </c>
      <c r="J83" s="3">
        <v>0</v>
      </c>
      <c r="L83" s="3" t="s">
        <v>385</v>
      </c>
      <c r="M83" s="3" t="s">
        <v>386</v>
      </c>
      <c r="N83" s="3" t="s">
        <v>387</v>
      </c>
      <c r="O83" s="3">
        <v>166500</v>
      </c>
      <c r="P83" s="4">
        <v>2.4</v>
      </c>
      <c r="Q83" s="3">
        <v>0</v>
      </c>
      <c r="R83" s="3">
        <v>0</v>
      </c>
      <c r="S83" s="5">
        <v>1.0209999999999999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0</v>
      </c>
      <c r="Z83" s="5">
        <v>0</v>
      </c>
      <c r="AA83" s="5">
        <v>0</v>
      </c>
      <c r="AB83" s="6">
        <v>0</v>
      </c>
      <c r="AC83" s="6">
        <v>0</v>
      </c>
      <c r="AD83" s="6">
        <v>0</v>
      </c>
      <c r="AE83" s="6">
        <v>0</v>
      </c>
      <c r="AF83" s="6">
        <v>0</v>
      </c>
      <c r="AG83" s="6">
        <v>0</v>
      </c>
      <c r="AH83" s="3">
        <v>0</v>
      </c>
      <c r="AI83" s="3">
        <v>155600</v>
      </c>
      <c r="AK83" s="3">
        <v>0</v>
      </c>
      <c r="AL83" s="3">
        <v>0</v>
      </c>
      <c r="AM83" s="3">
        <v>1</v>
      </c>
    </row>
    <row r="84" spans="1:39" x14ac:dyDescent="0.25">
      <c r="A84" s="3" t="s">
        <v>70</v>
      </c>
      <c r="B84" s="3" t="s">
        <v>71</v>
      </c>
      <c r="C84" s="3" t="s">
        <v>264</v>
      </c>
      <c r="D84" s="3" t="s">
        <v>144</v>
      </c>
      <c r="E84" s="3" t="s">
        <v>388</v>
      </c>
      <c r="H84" s="3" t="s">
        <v>75</v>
      </c>
      <c r="J84" s="3">
        <v>0</v>
      </c>
      <c r="L84" s="3" t="s">
        <v>436</v>
      </c>
      <c r="N84" s="3" t="s">
        <v>389</v>
      </c>
      <c r="O84" s="3">
        <v>140100</v>
      </c>
      <c r="P84" s="4">
        <v>2.4</v>
      </c>
      <c r="Q84" s="3">
        <v>0</v>
      </c>
      <c r="R84" s="3">
        <v>0</v>
      </c>
      <c r="S84" s="5">
        <v>0.85899999999999999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0</v>
      </c>
      <c r="Z84" s="5">
        <v>0</v>
      </c>
      <c r="AA84" s="5">
        <v>0</v>
      </c>
      <c r="AB84" s="6">
        <v>0</v>
      </c>
      <c r="AC84" s="6">
        <v>0</v>
      </c>
      <c r="AD84" s="6">
        <v>0</v>
      </c>
      <c r="AE84" s="6">
        <v>0</v>
      </c>
      <c r="AF84" s="6">
        <v>0</v>
      </c>
      <c r="AG84" s="6">
        <v>0</v>
      </c>
      <c r="AH84" s="3">
        <v>0</v>
      </c>
      <c r="AI84" s="3">
        <v>130900</v>
      </c>
      <c r="AJ84" s="3" t="s">
        <v>437</v>
      </c>
      <c r="AK84" s="3">
        <v>0</v>
      </c>
      <c r="AL84" s="3">
        <v>0</v>
      </c>
      <c r="AM84" s="3">
        <v>1</v>
      </c>
    </row>
    <row r="85" spans="1:39" x14ac:dyDescent="0.25">
      <c r="A85" s="3" t="s">
        <v>70</v>
      </c>
      <c r="B85" s="3" t="s">
        <v>71</v>
      </c>
      <c r="C85" s="3" t="s">
        <v>264</v>
      </c>
      <c r="D85" s="3" t="s">
        <v>148</v>
      </c>
      <c r="E85" s="3" t="s">
        <v>390</v>
      </c>
      <c r="H85" s="3" t="s">
        <v>75</v>
      </c>
      <c r="J85" s="3">
        <v>0</v>
      </c>
      <c r="L85" s="3" t="s">
        <v>391</v>
      </c>
      <c r="N85" s="3" t="s">
        <v>392</v>
      </c>
      <c r="O85" s="3">
        <v>166500</v>
      </c>
      <c r="P85" s="4">
        <v>2.4</v>
      </c>
      <c r="Q85" s="3">
        <v>0</v>
      </c>
      <c r="R85" s="3">
        <v>0</v>
      </c>
      <c r="S85" s="5">
        <v>1.0209999999999999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6">
        <v>0</v>
      </c>
      <c r="AC85" s="6">
        <v>0</v>
      </c>
      <c r="AD85" s="6">
        <v>0</v>
      </c>
      <c r="AE85" s="6">
        <v>0</v>
      </c>
      <c r="AF85" s="6">
        <v>0</v>
      </c>
      <c r="AG85" s="6">
        <v>0</v>
      </c>
      <c r="AH85" s="3">
        <v>0</v>
      </c>
      <c r="AI85" s="3">
        <v>155600</v>
      </c>
      <c r="AK85" s="3">
        <v>0</v>
      </c>
      <c r="AL85" s="3">
        <v>0</v>
      </c>
      <c r="AM85" s="3">
        <v>1</v>
      </c>
    </row>
    <row r="86" spans="1:39" x14ac:dyDescent="0.25">
      <c r="A86" s="3" t="s">
        <v>70</v>
      </c>
      <c r="B86" s="3" t="s">
        <v>71</v>
      </c>
      <c r="C86" s="3" t="s">
        <v>264</v>
      </c>
      <c r="D86" s="3" t="s">
        <v>152</v>
      </c>
      <c r="E86" s="3" t="s">
        <v>393</v>
      </c>
      <c r="H86" s="3" t="s">
        <v>75</v>
      </c>
      <c r="J86" s="3">
        <v>0</v>
      </c>
      <c r="L86" s="3" t="s">
        <v>394</v>
      </c>
      <c r="N86" s="3" t="s">
        <v>395</v>
      </c>
      <c r="O86" s="3">
        <v>176600</v>
      </c>
      <c r="P86" s="4">
        <v>2.4</v>
      </c>
      <c r="Q86" s="3">
        <v>0</v>
      </c>
      <c r="R86" s="3">
        <v>0</v>
      </c>
      <c r="S86" s="5">
        <v>1.083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0</v>
      </c>
      <c r="Z86" s="5">
        <v>0</v>
      </c>
      <c r="AA86" s="5">
        <v>0</v>
      </c>
      <c r="AB86" s="6">
        <v>0</v>
      </c>
      <c r="AC86" s="6">
        <v>0</v>
      </c>
      <c r="AD86" s="6">
        <v>0</v>
      </c>
      <c r="AE86" s="6">
        <v>0</v>
      </c>
      <c r="AF86" s="6">
        <v>0</v>
      </c>
      <c r="AG86" s="6">
        <v>0</v>
      </c>
      <c r="AH86" s="3">
        <v>0</v>
      </c>
      <c r="AI86" s="3">
        <v>165000</v>
      </c>
      <c r="AK86" s="3">
        <v>0</v>
      </c>
      <c r="AL86" s="3">
        <v>0</v>
      </c>
      <c r="AM86" s="3">
        <v>1</v>
      </c>
    </row>
    <row r="87" spans="1:39" x14ac:dyDescent="0.25">
      <c r="A87" s="3" t="s">
        <v>70</v>
      </c>
      <c r="B87" s="3" t="s">
        <v>71</v>
      </c>
      <c r="C87" s="3" t="s">
        <v>264</v>
      </c>
      <c r="D87" s="3" t="s">
        <v>156</v>
      </c>
      <c r="E87" s="3" t="s">
        <v>396</v>
      </c>
      <c r="H87" s="3" t="s">
        <v>75</v>
      </c>
      <c r="J87" s="3">
        <v>0</v>
      </c>
      <c r="L87" s="3" t="s">
        <v>397</v>
      </c>
      <c r="M87" s="3" t="s">
        <v>398</v>
      </c>
      <c r="N87" s="3" t="s">
        <v>399</v>
      </c>
      <c r="O87" s="3">
        <v>191900</v>
      </c>
      <c r="P87" s="4">
        <v>2.4</v>
      </c>
      <c r="Q87" s="3">
        <v>0</v>
      </c>
      <c r="R87" s="3">
        <v>0</v>
      </c>
      <c r="S87" s="5">
        <v>1.383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0</v>
      </c>
      <c r="Z87" s="5">
        <v>0</v>
      </c>
      <c r="AA87" s="5">
        <v>0</v>
      </c>
      <c r="AB87" s="6">
        <v>0</v>
      </c>
      <c r="AC87" s="6">
        <v>0</v>
      </c>
      <c r="AD87" s="6">
        <v>0</v>
      </c>
      <c r="AE87" s="6">
        <v>0</v>
      </c>
      <c r="AF87" s="6">
        <v>0</v>
      </c>
      <c r="AG87" s="6">
        <v>0</v>
      </c>
      <c r="AH87" s="3">
        <v>29500</v>
      </c>
      <c r="AI87" s="3">
        <v>179300</v>
      </c>
      <c r="AK87" s="3">
        <v>0</v>
      </c>
      <c r="AL87" s="3">
        <v>0</v>
      </c>
      <c r="AM87" s="3">
        <v>1</v>
      </c>
    </row>
    <row r="88" spans="1:39" x14ac:dyDescent="0.25">
      <c r="A88" s="3" t="s">
        <v>70</v>
      </c>
      <c r="B88" s="3" t="s">
        <v>71</v>
      </c>
      <c r="C88" s="3" t="s">
        <v>264</v>
      </c>
      <c r="D88" s="3" t="s">
        <v>400</v>
      </c>
      <c r="E88" s="3" t="s">
        <v>401</v>
      </c>
      <c r="H88" s="3" t="s">
        <v>75</v>
      </c>
      <c r="J88" s="3">
        <v>0</v>
      </c>
      <c r="L88" s="3" t="s">
        <v>256</v>
      </c>
      <c r="N88" s="3" t="s">
        <v>402</v>
      </c>
      <c r="O88" s="3">
        <v>176600</v>
      </c>
      <c r="P88" s="4">
        <v>2.4</v>
      </c>
      <c r="Q88" s="3">
        <v>0</v>
      </c>
      <c r="R88" s="3">
        <v>0</v>
      </c>
      <c r="S88" s="5">
        <v>1.083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0</v>
      </c>
      <c r="Z88" s="5">
        <v>0</v>
      </c>
      <c r="AA88" s="5">
        <v>0</v>
      </c>
      <c r="AB88" s="6">
        <v>0</v>
      </c>
      <c r="AC88" s="6">
        <v>0</v>
      </c>
      <c r="AD88" s="6">
        <v>0</v>
      </c>
      <c r="AE88" s="6">
        <v>0</v>
      </c>
      <c r="AF88" s="6">
        <v>0</v>
      </c>
      <c r="AG88" s="6">
        <v>0</v>
      </c>
      <c r="AH88" s="3">
        <v>0</v>
      </c>
      <c r="AI88" s="3">
        <v>165000</v>
      </c>
      <c r="AK88" s="3">
        <v>0</v>
      </c>
      <c r="AL88" s="3">
        <v>0</v>
      </c>
      <c r="AM88" s="3">
        <v>1</v>
      </c>
    </row>
    <row r="89" spans="1:39" x14ac:dyDescent="0.25">
      <c r="A89" s="3" t="s">
        <v>70</v>
      </c>
      <c r="B89" s="3" t="s">
        <v>71</v>
      </c>
      <c r="C89" s="3" t="s">
        <v>264</v>
      </c>
      <c r="D89" s="3" t="s">
        <v>403</v>
      </c>
      <c r="E89" s="3" t="s">
        <v>404</v>
      </c>
      <c r="H89" s="3" t="s">
        <v>75</v>
      </c>
      <c r="J89" s="3">
        <v>0</v>
      </c>
      <c r="L89" s="3" t="s">
        <v>405</v>
      </c>
      <c r="M89" s="3" t="s">
        <v>406</v>
      </c>
      <c r="N89" s="3" t="s">
        <v>407</v>
      </c>
      <c r="O89" s="3">
        <v>191900</v>
      </c>
      <c r="P89" s="4">
        <v>2.4</v>
      </c>
      <c r="Q89" s="3">
        <v>0</v>
      </c>
      <c r="R89" s="3">
        <v>0</v>
      </c>
      <c r="S89" s="5">
        <v>1.1759999999999999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0</v>
      </c>
      <c r="Z89" s="5">
        <v>0</v>
      </c>
      <c r="AA89" s="5">
        <v>0</v>
      </c>
      <c r="AB89" s="6">
        <v>0</v>
      </c>
      <c r="AC89" s="6">
        <v>0</v>
      </c>
      <c r="AD89" s="6">
        <v>0</v>
      </c>
      <c r="AE89" s="6">
        <v>0</v>
      </c>
      <c r="AF89" s="6">
        <v>0</v>
      </c>
      <c r="AG89" s="6">
        <v>0</v>
      </c>
      <c r="AH89" s="3">
        <v>0</v>
      </c>
      <c r="AI89" s="3">
        <v>179300</v>
      </c>
      <c r="AK89" s="3">
        <v>0</v>
      </c>
      <c r="AL89" s="3">
        <v>0</v>
      </c>
      <c r="AM89" s="3">
        <v>1</v>
      </c>
    </row>
    <row r="90" spans="1:39" x14ac:dyDescent="0.25">
      <c r="A90" s="3" t="s">
        <v>70</v>
      </c>
      <c r="B90" s="3" t="s">
        <v>71</v>
      </c>
      <c r="C90" s="3" t="s">
        <v>264</v>
      </c>
      <c r="D90" s="3" t="s">
        <v>408</v>
      </c>
      <c r="E90" s="3" t="s">
        <v>409</v>
      </c>
      <c r="H90" s="3" t="s">
        <v>75</v>
      </c>
      <c r="J90" s="3">
        <v>0</v>
      </c>
      <c r="L90" s="3" t="s">
        <v>446</v>
      </c>
      <c r="M90" s="3" t="s">
        <v>447</v>
      </c>
      <c r="N90" s="3" t="s">
        <v>410</v>
      </c>
      <c r="O90" s="3">
        <v>140100</v>
      </c>
      <c r="P90" s="4">
        <v>2.4</v>
      </c>
      <c r="Q90" s="3">
        <v>0</v>
      </c>
      <c r="R90" s="3">
        <v>0</v>
      </c>
      <c r="S90" s="5">
        <v>0.85899999999999999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0</v>
      </c>
      <c r="Z90" s="5">
        <v>0</v>
      </c>
      <c r="AA90" s="5">
        <v>0</v>
      </c>
      <c r="AB90" s="6">
        <v>0</v>
      </c>
      <c r="AC90" s="6">
        <v>0</v>
      </c>
      <c r="AD90" s="6">
        <v>0</v>
      </c>
      <c r="AE90" s="6">
        <v>0</v>
      </c>
      <c r="AF90" s="6">
        <v>0</v>
      </c>
      <c r="AG90" s="6">
        <v>0</v>
      </c>
      <c r="AH90" s="3">
        <v>0</v>
      </c>
      <c r="AI90" s="3">
        <v>130900</v>
      </c>
      <c r="AK90" s="3">
        <v>0</v>
      </c>
      <c r="AL90" s="3">
        <v>0</v>
      </c>
      <c r="AM90" s="3">
        <v>1</v>
      </c>
    </row>
    <row r="91" spans="1:39" x14ac:dyDescent="0.25">
      <c r="A91" s="3" t="s">
        <v>70</v>
      </c>
      <c r="B91" s="3" t="s">
        <v>71</v>
      </c>
      <c r="C91" s="3" t="s">
        <v>264</v>
      </c>
      <c r="D91" s="3" t="s">
        <v>411</v>
      </c>
      <c r="E91" s="3" t="s">
        <v>412</v>
      </c>
      <c r="H91" s="3" t="s">
        <v>75</v>
      </c>
      <c r="J91" s="3">
        <v>0</v>
      </c>
      <c r="L91" s="3" t="s">
        <v>413</v>
      </c>
      <c r="M91" s="3" t="s">
        <v>414</v>
      </c>
      <c r="N91" s="3" t="s">
        <v>415</v>
      </c>
      <c r="O91" s="3">
        <v>166500</v>
      </c>
      <c r="P91" s="4">
        <v>2.4</v>
      </c>
      <c r="Q91" s="3">
        <v>0</v>
      </c>
      <c r="R91" s="3">
        <v>0</v>
      </c>
      <c r="S91" s="5">
        <v>1.228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Z91" s="5">
        <v>0</v>
      </c>
      <c r="AA91" s="5">
        <v>0</v>
      </c>
      <c r="AB91" s="6">
        <v>0</v>
      </c>
      <c r="AC91" s="6">
        <v>0</v>
      </c>
      <c r="AD91" s="6">
        <v>0</v>
      </c>
      <c r="AE91" s="6">
        <v>0</v>
      </c>
      <c r="AF91" s="6">
        <v>0</v>
      </c>
      <c r="AG91" s="6">
        <v>0</v>
      </c>
      <c r="AH91" s="3">
        <v>29500</v>
      </c>
      <c r="AI91" s="3">
        <v>155600</v>
      </c>
      <c r="AK91" s="3">
        <v>0</v>
      </c>
      <c r="AL91" s="3">
        <v>0</v>
      </c>
      <c r="AM91" s="3">
        <v>1</v>
      </c>
    </row>
    <row r="92" spans="1:39" x14ac:dyDescent="0.25">
      <c r="A92" s="3" t="s">
        <v>70</v>
      </c>
      <c r="B92" s="3" t="s">
        <v>71</v>
      </c>
      <c r="C92" s="3" t="s">
        <v>416</v>
      </c>
      <c r="D92" s="3" t="s">
        <v>148</v>
      </c>
      <c r="E92" s="3" t="s">
        <v>417</v>
      </c>
      <c r="H92" s="3" t="s">
        <v>75</v>
      </c>
      <c r="J92" s="3">
        <v>0</v>
      </c>
      <c r="L92" s="3" t="s">
        <v>418</v>
      </c>
      <c r="M92" s="3" t="s">
        <v>438</v>
      </c>
      <c r="N92" s="3" t="s">
        <v>419</v>
      </c>
      <c r="O92" s="3">
        <v>0</v>
      </c>
      <c r="P92" s="4">
        <v>0</v>
      </c>
      <c r="Q92" s="3">
        <v>0</v>
      </c>
      <c r="R92" s="3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6">
        <v>0</v>
      </c>
      <c r="AC92" s="6">
        <v>0</v>
      </c>
      <c r="AD92" s="6">
        <v>0</v>
      </c>
      <c r="AE92" s="6">
        <v>0</v>
      </c>
      <c r="AF92" s="6">
        <v>0</v>
      </c>
      <c r="AG92" s="6">
        <v>0</v>
      </c>
      <c r="AH92" s="3">
        <v>0</v>
      </c>
      <c r="AI92" s="3">
        <v>0</v>
      </c>
      <c r="AK92" s="3">
        <v>0</v>
      </c>
      <c r="AL92" s="3">
        <v>0</v>
      </c>
      <c r="AM92" s="3">
        <v>1</v>
      </c>
    </row>
    <row r="93" spans="1:39" x14ac:dyDescent="0.25">
      <c r="A93" s="3" t="s">
        <v>70</v>
      </c>
      <c r="B93" s="3" t="s">
        <v>71</v>
      </c>
      <c r="C93" s="3" t="s">
        <v>420</v>
      </c>
      <c r="D93" s="3" t="s">
        <v>112</v>
      </c>
      <c r="E93" s="3" t="s">
        <v>421</v>
      </c>
      <c r="H93" s="3" t="s">
        <v>75</v>
      </c>
      <c r="J93" s="3">
        <v>0</v>
      </c>
      <c r="L93" s="3" t="s">
        <v>425</v>
      </c>
      <c r="M93" s="3" t="s">
        <v>422</v>
      </c>
      <c r="N93" s="3" t="s">
        <v>445</v>
      </c>
      <c r="O93" s="3">
        <v>0</v>
      </c>
      <c r="P93" s="4">
        <v>0</v>
      </c>
      <c r="Q93" s="3">
        <v>0</v>
      </c>
      <c r="R93" s="3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Z93" s="5">
        <v>0</v>
      </c>
      <c r="AA93" s="5">
        <v>0</v>
      </c>
      <c r="AB93" s="6">
        <v>0</v>
      </c>
      <c r="AC93" s="6">
        <v>0</v>
      </c>
      <c r="AD93" s="6">
        <v>0</v>
      </c>
      <c r="AE93" s="6">
        <v>0</v>
      </c>
      <c r="AF93" s="6">
        <v>0</v>
      </c>
      <c r="AG93" s="6">
        <v>0</v>
      </c>
      <c r="AH93" s="3">
        <v>0</v>
      </c>
      <c r="AI93" s="3">
        <v>0</v>
      </c>
      <c r="AK93" s="3">
        <v>0</v>
      </c>
      <c r="AL93" s="3">
        <v>0</v>
      </c>
      <c r="AM93" s="3">
        <v>1</v>
      </c>
    </row>
    <row r="94" spans="1:39" x14ac:dyDescent="0.25">
      <c r="A94" s="3" t="s">
        <v>70</v>
      </c>
      <c r="B94" s="3" t="s">
        <v>71</v>
      </c>
      <c r="C94" s="3" t="s">
        <v>423</v>
      </c>
      <c r="D94" s="3" t="s">
        <v>116</v>
      </c>
      <c r="E94" s="3" t="s">
        <v>439</v>
      </c>
      <c r="H94" s="3" t="s">
        <v>75</v>
      </c>
      <c r="J94" s="3">
        <v>0</v>
      </c>
      <c r="L94" s="3" t="s">
        <v>440</v>
      </c>
      <c r="M94" s="3" t="s">
        <v>441</v>
      </c>
      <c r="N94" s="3" t="s">
        <v>442</v>
      </c>
      <c r="O94" s="3">
        <v>0</v>
      </c>
      <c r="P94" s="4">
        <v>0</v>
      </c>
      <c r="Q94" s="3">
        <v>0</v>
      </c>
      <c r="R94" s="3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s="6">
        <v>0</v>
      </c>
      <c r="AC94" s="6">
        <v>0</v>
      </c>
      <c r="AD94" s="6">
        <v>0</v>
      </c>
      <c r="AE94" s="6">
        <v>0</v>
      </c>
      <c r="AF94" s="6">
        <v>0</v>
      </c>
      <c r="AG94" s="6">
        <v>0</v>
      </c>
      <c r="AH94" s="3">
        <v>0</v>
      </c>
      <c r="AI94" s="3">
        <v>0</v>
      </c>
      <c r="AK94" s="3">
        <v>0</v>
      </c>
      <c r="AL94" s="3">
        <v>0</v>
      </c>
      <c r="AM94" s="3">
        <v>1</v>
      </c>
    </row>
    <row r="97" spans="1:43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</row>
    <row r="98" spans="1:43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</row>
    <row r="99" spans="1:43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</row>
    <row r="100" spans="1:43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:43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:43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:43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:43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:43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:43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:43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:43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</row>
    <row r="111" spans="1:43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</row>
    <row r="112" spans="1:43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</row>
    <row r="113" spans="1:42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</row>
    <row r="114" spans="1:42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</row>
    <row r="115" spans="1:42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</row>
    <row r="116" spans="1:42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</row>
    <row r="117" spans="1:42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</row>
    <row r="118" spans="1:42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</row>
    <row r="119" spans="1:42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</row>
    <row r="120" spans="1:42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</row>
    <row r="121" spans="1:42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</row>
    <row r="122" spans="1:42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</row>
    <row r="129" spans="1:39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</row>
    <row r="130" spans="1:39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</row>
    <row r="131" spans="1:39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</row>
    <row r="132" spans="1:39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</row>
    <row r="133" spans="1:39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</row>
    <row r="134" spans="1:39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</row>
    <row r="135" spans="1:39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</row>
    <row r="136" spans="1:39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</row>
    <row r="137" spans="1:39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</row>
    <row r="138" spans="1:39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</row>
    <row r="139" spans="1:39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</row>
    <row r="140" spans="1:39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</row>
    <row r="141" spans="1:39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</row>
    <row r="142" spans="1:39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</row>
    <row r="143" spans="1:39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</row>
    <row r="144" spans="1:39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</row>
    <row r="145" spans="1:39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</row>
    <row r="146" spans="1:39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</row>
    <row r="147" spans="1:39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</row>
    <row r="148" spans="1:39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</row>
    <row r="149" spans="1:39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</row>
    <row r="150" spans="1:39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</row>
    <row r="151" spans="1:39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</row>
    <row r="152" spans="1:39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</row>
    <row r="153" spans="1:39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</row>
    <row r="154" spans="1:39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</row>
    <row r="155" spans="1:39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</row>
    <row r="156" spans="1:39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</row>
    <row r="157" spans="1:39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</row>
    <row r="158" spans="1:39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</row>
    <row r="159" spans="1:39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</row>
    <row r="160" spans="1:39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</row>
    <row r="161" spans="1:39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</row>
    <row r="162" spans="1:39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</row>
    <row r="163" spans="1:39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</row>
    <row r="164" spans="1:39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</row>
    <row r="165" spans="1:39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</row>
    <row r="166" spans="1:39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</row>
    <row r="167" spans="1:39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</row>
    <row r="168" spans="1:39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</row>
    <row r="169" spans="1:39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</row>
    <row r="170" spans="1:39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</row>
    <row r="171" spans="1:39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</row>
    <row r="172" spans="1:39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</row>
    <row r="173" spans="1:39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</row>
    <row r="174" spans="1:39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</row>
    <row r="175" spans="1:39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</row>
    <row r="176" spans="1:39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</row>
    <row r="177" spans="1:39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</row>
    <row r="178" spans="1:39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</row>
    <row r="179" spans="1:39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</row>
    <row r="180" spans="1:39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</row>
    <row r="181" spans="1:39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</row>
    <row r="182" spans="1:39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</row>
    <row r="183" spans="1:39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</row>
    <row r="184" spans="1:39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</row>
    <row r="185" spans="1:39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</row>
    <row r="186" spans="1:39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</row>
    <row r="187" spans="1:39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</row>
    <row r="188" spans="1:39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</row>
    <row r="189" spans="1:39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</row>
    <row r="190" spans="1:39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</row>
    <row r="191" spans="1:39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</row>
    <row r="192" spans="1:39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</row>
    <row r="193" spans="1:39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</row>
    <row r="194" spans="1:39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</row>
    <row r="195" spans="1:39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</row>
    <row r="196" spans="1:39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</row>
    <row r="197" spans="1:39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</row>
    <row r="198" spans="1:39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</row>
    <row r="199" spans="1:39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</row>
    <row r="200" spans="1:39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</row>
    <row r="201" spans="1:39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</row>
    <row r="202" spans="1:39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</row>
    <row r="203" spans="1:39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</row>
    <row r="204" spans="1:39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</row>
    <row r="205" spans="1:39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</row>
    <row r="206" spans="1:39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</row>
    <row r="207" spans="1:39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</row>
    <row r="208" spans="1:39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</row>
    <row r="209" spans="1:39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</row>
    <row r="210" spans="1:39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</row>
    <row r="211" spans="1:39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</row>
    <row r="212" spans="1:39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</row>
    <row r="213" spans="1:39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</row>
    <row r="214" spans="1:39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</row>
    <row r="215" spans="1:39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</row>
    <row r="216" spans="1:39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</row>
    <row r="217" spans="1:39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</row>
    <row r="225" spans="1:42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</row>
    <row r="226" spans="1:42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</row>
    <row r="227" spans="1:42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</row>
    <row r="228" spans="1:42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</row>
    <row r="229" spans="1:42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</row>
    <row r="230" spans="1:42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</row>
    <row r="231" spans="1:42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</row>
    <row r="232" spans="1:42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</row>
    <row r="278" spans="1:39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</row>
    <row r="279" spans="1:39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</row>
    <row r="280" spans="1:39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</row>
    <row r="281" spans="1:39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310"/>
  <sheetViews>
    <sheetView workbookViewId="0"/>
  </sheetViews>
  <sheetFormatPr baseColWidth="10" defaultRowHeight="15" x14ac:dyDescent="0.25"/>
  <cols>
    <col min="1" max="1" width="143.5703125" bestFit="1" customWidth="1"/>
    <col min="4" max="4" width="54.140625" bestFit="1" customWidth="1"/>
    <col min="5" max="5" width="31.140625" bestFit="1" customWidth="1"/>
  </cols>
  <sheetData>
    <row r="1" spans="1:5" x14ac:dyDescent="0.25">
      <c r="A1" s="12" t="str">
        <f>CONCATENATE(Cálculos!$H$1,Cálculos!$A$10)</f>
        <v>C:\Users\USUARIO\Macros\FACTURAS Y LISTADOS\1130 - Urbanización Alborada 1-4 PH\</v>
      </c>
      <c r="B1" s="9" t="s">
        <v>55</v>
      </c>
      <c r="C1" s="10" t="s">
        <v>5</v>
      </c>
      <c r="D1" s="12" t="str">
        <f>Cálculos!G1</f>
        <v>Urbanización Alborada 1-4 PH</v>
      </c>
      <c r="E1" s="11" t="s">
        <v>4</v>
      </c>
    </row>
    <row r="2" spans="1:5" x14ac:dyDescent="0.25">
      <c r="A2" t="str">
        <f>CONCATENATE($A$1,$D$1,$E$1,$E$2,$B$1,B2,$C$1)</f>
        <v>C:\Users\USUARIO\Macros\FACTURAS Y LISTADOS\1130 - Urbanización Alborada 1-4 PH\Urbanización Alborada 1-4 PH - Facturas del mes de_1.pdf</v>
      </c>
      <c r="B2">
        <v>1</v>
      </c>
      <c r="C2" s="10" t="s">
        <v>54</v>
      </c>
      <c r="D2" t="str">
        <f>CONCATENATE($D$1,$E$1,$E$2,$B$1,B2,$C$1)</f>
        <v>Urbanización Alborada 1-4 PH - Facturas del mes de_1.pdf</v>
      </c>
      <c r="E2" s="11" t="s">
        <v>56</v>
      </c>
    </row>
    <row r="3" spans="1:5" x14ac:dyDescent="0.25">
      <c r="A3" t="str">
        <f t="shared" ref="A3:A66" si="0">CONCATENATE($A$1,$D$1,$E$1,$E$2,$B$1,B3,$C$1)</f>
        <v>C:\Users\USUARIO\Macros\FACTURAS Y LISTADOS\1130 - Urbanización Alborada 1-4 PH\Urbanización Alborada 1-4 PH - Facturas del mes de_2.pdf</v>
      </c>
      <c r="B3">
        <v>2</v>
      </c>
      <c r="C3" s="10" t="s">
        <v>48</v>
      </c>
      <c r="D3" t="str">
        <f t="shared" ref="D3:D66" si="1">CONCATENATE($D$1,$E$1,$E$2,$B$1,B3,$C$1)</f>
        <v>Urbanización Alborada 1-4 PH - Facturas del mes de_2.pdf</v>
      </c>
      <c r="E3" s="11" t="s">
        <v>57</v>
      </c>
    </row>
    <row r="4" spans="1:5" x14ac:dyDescent="0.25">
      <c r="A4" t="str">
        <f t="shared" si="0"/>
        <v>C:\Users\USUARIO\Macros\FACTURAS Y LISTADOS\1130 - Urbanización Alborada 1-4 PH\Urbanización Alborada 1-4 PH - Facturas del mes de_3.pdf</v>
      </c>
      <c r="B4">
        <v>3</v>
      </c>
      <c r="C4" s="14" t="str">
        <f>Maestro!A2</f>
        <v>1130</v>
      </c>
      <c r="D4" t="str">
        <f t="shared" si="1"/>
        <v>Urbanización Alborada 1-4 PH - Facturas del mes de_3.pdf</v>
      </c>
      <c r="E4" s="11" t="s">
        <v>58</v>
      </c>
    </row>
    <row r="5" spans="1:5" x14ac:dyDescent="0.25">
      <c r="A5" t="str">
        <f t="shared" si="0"/>
        <v>C:\Users\USUARIO\Macros\FACTURAS Y LISTADOS\1130 - Urbanización Alborada 1-4 PH\Urbanización Alborada 1-4 PH - Facturas del mes de_4.pdf</v>
      </c>
      <c r="B5">
        <v>4</v>
      </c>
      <c r="D5" t="str">
        <f t="shared" si="1"/>
        <v>Urbanización Alborada 1-4 PH - Facturas del mes de_4.pdf</v>
      </c>
      <c r="E5" s="11" t="s">
        <v>59</v>
      </c>
    </row>
    <row r="6" spans="1:5" x14ac:dyDescent="0.25">
      <c r="A6" t="str">
        <f t="shared" si="0"/>
        <v>C:\Users\USUARIO\Macros\FACTURAS Y LISTADOS\1130 - Urbanización Alborada 1-4 PH\Urbanización Alborada 1-4 PH - Facturas del mes de_5.pdf</v>
      </c>
      <c r="B6">
        <v>5</v>
      </c>
      <c r="D6" t="str">
        <f t="shared" si="1"/>
        <v>Urbanización Alborada 1-4 PH - Facturas del mes de_5.pdf</v>
      </c>
      <c r="E6" s="11" t="s">
        <v>66</v>
      </c>
    </row>
    <row r="7" spans="1:5" x14ac:dyDescent="0.25">
      <c r="A7" t="str">
        <f t="shared" si="0"/>
        <v>C:\Users\USUARIO\Macros\FACTURAS Y LISTADOS\1130 - Urbanización Alborada 1-4 PH\Urbanización Alborada 1-4 PH - Facturas del mes de_6.pdf</v>
      </c>
      <c r="B7">
        <v>6</v>
      </c>
      <c r="D7" t="str">
        <f t="shared" si="1"/>
        <v>Urbanización Alborada 1-4 PH - Facturas del mes de_6.pdf</v>
      </c>
      <c r="E7" s="11" t="s">
        <v>67</v>
      </c>
    </row>
    <row r="8" spans="1:5" x14ac:dyDescent="0.25">
      <c r="A8" t="str">
        <f t="shared" si="0"/>
        <v>C:\Users\USUARIO\Macros\FACTURAS Y LISTADOS\1130 - Urbanización Alborada 1-4 PH\Urbanización Alborada 1-4 PH - Facturas del mes de_7.pdf</v>
      </c>
      <c r="B8">
        <v>7</v>
      </c>
      <c r="D8" t="str">
        <f t="shared" si="1"/>
        <v>Urbanización Alborada 1-4 PH - Facturas del mes de_7.pdf</v>
      </c>
    </row>
    <row r="9" spans="1:5" x14ac:dyDescent="0.25">
      <c r="A9" t="str">
        <f t="shared" si="0"/>
        <v>C:\Users\USUARIO\Macros\FACTURAS Y LISTADOS\1130 - Urbanización Alborada 1-4 PH\Urbanización Alborada 1-4 PH - Facturas del mes de_8.pdf</v>
      </c>
      <c r="B9">
        <v>8</v>
      </c>
      <c r="D9" t="str">
        <f t="shared" si="1"/>
        <v>Urbanización Alborada 1-4 PH - Facturas del mes de_8.pdf</v>
      </c>
    </row>
    <row r="10" spans="1:5" x14ac:dyDescent="0.25">
      <c r="A10" t="str">
        <f t="shared" si="0"/>
        <v>C:\Users\USUARIO\Macros\FACTURAS Y LISTADOS\1130 - Urbanización Alborada 1-4 PH\Urbanización Alborada 1-4 PH - Facturas del mes de_9.pdf</v>
      </c>
      <c r="B10">
        <v>9</v>
      </c>
      <c r="D10" t="str">
        <f t="shared" si="1"/>
        <v>Urbanización Alborada 1-4 PH - Facturas del mes de_9.pdf</v>
      </c>
    </row>
    <row r="11" spans="1:5" x14ac:dyDescent="0.25">
      <c r="A11" t="str">
        <f t="shared" si="0"/>
        <v>C:\Users\USUARIO\Macros\FACTURAS Y LISTADOS\1130 - Urbanización Alborada 1-4 PH\Urbanización Alborada 1-4 PH - Facturas del mes de_10.pdf</v>
      </c>
      <c r="B11">
        <v>10</v>
      </c>
      <c r="D11" t="str">
        <f t="shared" si="1"/>
        <v>Urbanización Alborada 1-4 PH - Facturas del mes de_10.pdf</v>
      </c>
    </row>
    <row r="12" spans="1:5" x14ac:dyDescent="0.25">
      <c r="A12" t="str">
        <f t="shared" si="0"/>
        <v>C:\Users\USUARIO\Macros\FACTURAS Y LISTADOS\1130 - Urbanización Alborada 1-4 PH\Urbanización Alborada 1-4 PH - Facturas del mes de_11.pdf</v>
      </c>
      <c r="B12">
        <v>11</v>
      </c>
      <c r="D12" t="str">
        <f t="shared" si="1"/>
        <v>Urbanización Alborada 1-4 PH - Facturas del mes de_11.pdf</v>
      </c>
    </row>
    <row r="13" spans="1:5" x14ac:dyDescent="0.25">
      <c r="A13" t="str">
        <f t="shared" si="0"/>
        <v>C:\Users\USUARIO\Macros\FACTURAS Y LISTADOS\1130 - Urbanización Alborada 1-4 PH\Urbanización Alborada 1-4 PH - Facturas del mes de_12.pdf</v>
      </c>
      <c r="B13">
        <v>12</v>
      </c>
      <c r="D13" t="str">
        <f t="shared" si="1"/>
        <v>Urbanización Alborada 1-4 PH - Facturas del mes de_12.pdf</v>
      </c>
    </row>
    <row r="14" spans="1:5" x14ac:dyDescent="0.25">
      <c r="A14" t="str">
        <f t="shared" si="0"/>
        <v>C:\Users\USUARIO\Macros\FACTURAS Y LISTADOS\1130 - Urbanización Alborada 1-4 PH\Urbanización Alborada 1-4 PH - Facturas del mes de_13.pdf</v>
      </c>
      <c r="B14">
        <v>13</v>
      </c>
      <c r="D14" t="str">
        <f t="shared" si="1"/>
        <v>Urbanización Alborada 1-4 PH - Facturas del mes de_13.pdf</v>
      </c>
    </row>
    <row r="15" spans="1:5" x14ac:dyDescent="0.25">
      <c r="A15" t="str">
        <f t="shared" si="0"/>
        <v>C:\Users\USUARIO\Macros\FACTURAS Y LISTADOS\1130 - Urbanización Alborada 1-4 PH\Urbanización Alborada 1-4 PH - Facturas del mes de_14.pdf</v>
      </c>
      <c r="B15">
        <v>14</v>
      </c>
      <c r="D15" t="str">
        <f t="shared" si="1"/>
        <v>Urbanización Alborada 1-4 PH - Facturas del mes de_14.pdf</v>
      </c>
    </row>
    <row r="16" spans="1:5" x14ac:dyDescent="0.25">
      <c r="A16" t="str">
        <f t="shared" si="0"/>
        <v>C:\Users\USUARIO\Macros\FACTURAS Y LISTADOS\1130 - Urbanización Alborada 1-4 PH\Urbanización Alborada 1-4 PH - Facturas del mes de_15.pdf</v>
      </c>
      <c r="B16">
        <v>15</v>
      </c>
      <c r="D16" t="str">
        <f t="shared" si="1"/>
        <v>Urbanización Alborada 1-4 PH - Facturas del mes de_15.pdf</v>
      </c>
    </row>
    <row r="17" spans="1:4" x14ac:dyDescent="0.25">
      <c r="A17" t="str">
        <f t="shared" si="0"/>
        <v>C:\Users\USUARIO\Macros\FACTURAS Y LISTADOS\1130 - Urbanización Alborada 1-4 PH\Urbanización Alborada 1-4 PH - Facturas del mes de_16.pdf</v>
      </c>
      <c r="B17">
        <v>16</v>
      </c>
      <c r="D17" t="str">
        <f t="shared" si="1"/>
        <v>Urbanización Alborada 1-4 PH - Facturas del mes de_16.pdf</v>
      </c>
    </row>
    <row r="18" spans="1:4" x14ac:dyDescent="0.25">
      <c r="A18" t="str">
        <f t="shared" si="0"/>
        <v>C:\Users\USUARIO\Macros\FACTURAS Y LISTADOS\1130 - Urbanización Alborada 1-4 PH\Urbanización Alborada 1-4 PH - Facturas del mes de_17.pdf</v>
      </c>
      <c r="B18">
        <v>17</v>
      </c>
      <c r="D18" t="str">
        <f t="shared" si="1"/>
        <v>Urbanización Alborada 1-4 PH - Facturas del mes de_17.pdf</v>
      </c>
    </row>
    <row r="19" spans="1:4" x14ac:dyDescent="0.25">
      <c r="A19" t="str">
        <f t="shared" si="0"/>
        <v>C:\Users\USUARIO\Macros\FACTURAS Y LISTADOS\1130 - Urbanización Alborada 1-4 PH\Urbanización Alborada 1-4 PH - Facturas del mes de_18.pdf</v>
      </c>
      <c r="B19">
        <v>18</v>
      </c>
      <c r="D19" t="str">
        <f t="shared" si="1"/>
        <v>Urbanización Alborada 1-4 PH - Facturas del mes de_18.pdf</v>
      </c>
    </row>
    <row r="20" spans="1:4" x14ac:dyDescent="0.25">
      <c r="A20" t="str">
        <f t="shared" si="0"/>
        <v>C:\Users\USUARIO\Macros\FACTURAS Y LISTADOS\1130 - Urbanización Alborada 1-4 PH\Urbanización Alborada 1-4 PH - Facturas del mes de_19.pdf</v>
      </c>
      <c r="B20">
        <v>19</v>
      </c>
      <c r="D20" t="str">
        <f t="shared" si="1"/>
        <v>Urbanización Alborada 1-4 PH - Facturas del mes de_19.pdf</v>
      </c>
    </row>
    <row r="21" spans="1:4" x14ac:dyDescent="0.25">
      <c r="A21" t="str">
        <f t="shared" si="0"/>
        <v>C:\Users\USUARIO\Macros\FACTURAS Y LISTADOS\1130 - Urbanización Alborada 1-4 PH\Urbanización Alborada 1-4 PH - Facturas del mes de_20.pdf</v>
      </c>
      <c r="B21">
        <v>20</v>
      </c>
      <c r="D21" t="str">
        <f t="shared" si="1"/>
        <v>Urbanización Alborada 1-4 PH - Facturas del mes de_20.pdf</v>
      </c>
    </row>
    <row r="22" spans="1:4" x14ac:dyDescent="0.25">
      <c r="A22" t="str">
        <f t="shared" si="0"/>
        <v>C:\Users\USUARIO\Macros\FACTURAS Y LISTADOS\1130 - Urbanización Alborada 1-4 PH\Urbanización Alborada 1-4 PH - Facturas del mes de_21.pdf</v>
      </c>
      <c r="B22">
        <v>21</v>
      </c>
      <c r="D22" t="str">
        <f t="shared" si="1"/>
        <v>Urbanización Alborada 1-4 PH - Facturas del mes de_21.pdf</v>
      </c>
    </row>
    <row r="23" spans="1:4" x14ac:dyDescent="0.25">
      <c r="A23" t="str">
        <f t="shared" si="0"/>
        <v>C:\Users\USUARIO\Macros\FACTURAS Y LISTADOS\1130 - Urbanización Alborada 1-4 PH\Urbanización Alborada 1-4 PH - Facturas del mes de_22.pdf</v>
      </c>
      <c r="B23">
        <v>22</v>
      </c>
      <c r="D23" t="str">
        <f t="shared" si="1"/>
        <v>Urbanización Alborada 1-4 PH - Facturas del mes de_22.pdf</v>
      </c>
    </row>
    <row r="24" spans="1:4" x14ac:dyDescent="0.25">
      <c r="A24" t="str">
        <f t="shared" si="0"/>
        <v>C:\Users\USUARIO\Macros\FACTURAS Y LISTADOS\1130 - Urbanización Alborada 1-4 PH\Urbanización Alborada 1-4 PH - Facturas del mes de_23.pdf</v>
      </c>
      <c r="B24">
        <v>23</v>
      </c>
      <c r="D24" t="str">
        <f t="shared" si="1"/>
        <v>Urbanización Alborada 1-4 PH - Facturas del mes de_23.pdf</v>
      </c>
    </row>
    <row r="25" spans="1:4" x14ac:dyDescent="0.25">
      <c r="A25" t="str">
        <f t="shared" si="0"/>
        <v>C:\Users\USUARIO\Macros\FACTURAS Y LISTADOS\1130 - Urbanización Alborada 1-4 PH\Urbanización Alborada 1-4 PH - Facturas del mes de_24.pdf</v>
      </c>
      <c r="B25">
        <v>24</v>
      </c>
      <c r="D25" t="str">
        <f t="shared" si="1"/>
        <v>Urbanización Alborada 1-4 PH - Facturas del mes de_24.pdf</v>
      </c>
    </row>
    <row r="26" spans="1:4" x14ac:dyDescent="0.25">
      <c r="A26" t="str">
        <f t="shared" si="0"/>
        <v>C:\Users\USUARIO\Macros\FACTURAS Y LISTADOS\1130 - Urbanización Alborada 1-4 PH\Urbanización Alborada 1-4 PH - Facturas del mes de_25.pdf</v>
      </c>
      <c r="B26">
        <v>25</v>
      </c>
      <c r="D26" t="str">
        <f t="shared" si="1"/>
        <v>Urbanización Alborada 1-4 PH - Facturas del mes de_25.pdf</v>
      </c>
    </row>
    <row r="27" spans="1:4" x14ac:dyDescent="0.25">
      <c r="A27" t="str">
        <f t="shared" si="0"/>
        <v>C:\Users\USUARIO\Macros\FACTURAS Y LISTADOS\1130 - Urbanización Alborada 1-4 PH\Urbanización Alborada 1-4 PH - Facturas del mes de_26.pdf</v>
      </c>
      <c r="B27">
        <v>26</v>
      </c>
      <c r="D27" t="str">
        <f t="shared" si="1"/>
        <v>Urbanización Alborada 1-4 PH - Facturas del mes de_26.pdf</v>
      </c>
    </row>
    <row r="28" spans="1:4" x14ac:dyDescent="0.25">
      <c r="A28" t="str">
        <f t="shared" si="0"/>
        <v>C:\Users\USUARIO\Macros\FACTURAS Y LISTADOS\1130 - Urbanización Alborada 1-4 PH\Urbanización Alborada 1-4 PH - Facturas del mes de_27.pdf</v>
      </c>
      <c r="B28">
        <v>27</v>
      </c>
      <c r="D28" t="str">
        <f t="shared" si="1"/>
        <v>Urbanización Alborada 1-4 PH - Facturas del mes de_27.pdf</v>
      </c>
    </row>
    <row r="29" spans="1:4" x14ac:dyDescent="0.25">
      <c r="A29" t="str">
        <f t="shared" si="0"/>
        <v>C:\Users\USUARIO\Macros\FACTURAS Y LISTADOS\1130 - Urbanización Alborada 1-4 PH\Urbanización Alborada 1-4 PH - Facturas del mes de_28.pdf</v>
      </c>
      <c r="B29">
        <v>28</v>
      </c>
      <c r="D29" t="str">
        <f t="shared" si="1"/>
        <v>Urbanización Alborada 1-4 PH - Facturas del mes de_28.pdf</v>
      </c>
    </row>
    <row r="30" spans="1:4" x14ac:dyDescent="0.25">
      <c r="A30" t="str">
        <f t="shared" si="0"/>
        <v>C:\Users\USUARIO\Macros\FACTURAS Y LISTADOS\1130 - Urbanización Alborada 1-4 PH\Urbanización Alborada 1-4 PH - Facturas del mes de_29.pdf</v>
      </c>
      <c r="B30">
        <v>29</v>
      </c>
      <c r="D30" t="str">
        <f t="shared" si="1"/>
        <v>Urbanización Alborada 1-4 PH - Facturas del mes de_29.pdf</v>
      </c>
    </row>
    <row r="31" spans="1:4" x14ac:dyDescent="0.25">
      <c r="A31" t="str">
        <f t="shared" si="0"/>
        <v>C:\Users\USUARIO\Macros\FACTURAS Y LISTADOS\1130 - Urbanización Alborada 1-4 PH\Urbanización Alborada 1-4 PH - Facturas del mes de_30.pdf</v>
      </c>
      <c r="B31">
        <v>30</v>
      </c>
      <c r="D31" t="str">
        <f t="shared" si="1"/>
        <v>Urbanización Alborada 1-4 PH - Facturas del mes de_30.pdf</v>
      </c>
    </row>
    <row r="32" spans="1:4" x14ac:dyDescent="0.25">
      <c r="A32" t="str">
        <f t="shared" si="0"/>
        <v>C:\Users\USUARIO\Macros\FACTURAS Y LISTADOS\1130 - Urbanización Alborada 1-4 PH\Urbanización Alborada 1-4 PH - Facturas del mes de_31.pdf</v>
      </c>
      <c r="B32">
        <v>31</v>
      </c>
      <c r="D32" t="str">
        <f t="shared" si="1"/>
        <v>Urbanización Alborada 1-4 PH - Facturas del mes de_31.pdf</v>
      </c>
    </row>
    <row r="33" spans="1:4" x14ac:dyDescent="0.25">
      <c r="A33" t="str">
        <f t="shared" si="0"/>
        <v>C:\Users\USUARIO\Macros\FACTURAS Y LISTADOS\1130 - Urbanización Alborada 1-4 PH\Urbanización Alborada 1-4 PH - Facturas del mes de_32.pdf</v>
      </c>
      <c r="B33">
        <v>32</v>
      </c>
      <c r="D33" t="str">
        <f t="shared" si="1"/>
        <v>Urbanización Alborada 1-4 PH - Facturas del mes de_32.pdf</v>
      </c>
    </row>
    <row r="34" spans="1:4" x14ac:dyDescent="0.25">
      <c r="A34" t="str">
        <f t="shared" si="0"/>
        <v>C:\Users\USUARIO\Macros\FACTURAS Y LISTADOS\1130 - Urbanización Alborada 1-4 PH\Urbanización Alborada 1-4 PH - Facturas del mes de_33.pdf</v>
      </c>
      <c r="B34">
        <v>33</v>
      </c>
      <c r="D34" t="str">
        <f t="shared" si="1"/>
        <v>Urbanización Alborada 1-4 PH - Facturas del mes de_33.pdf</v>
      </c>
    </row>
    <row r="35" spans="1:4" x14ac:dyDescent="0.25">
      <c r="A35" t="str">
        <f t="shared" si="0"/>
        <v>C:\Users\USUARIO\Macros\FACTURAS Y LISTADOS\1130 - Urbanización Alborada 1-4 PH\Urbanización Alborada 1-4 PH - Facturas del mes de_34.pdf</v>
      </c>
      <c r="B35">
        <v>34</v>
      </c>
      <c r="D35" t="str">
        <f t="shared" si="1"/>
        <v>Urbanización Alborada 1-4 PH - Facturas del mes de_34.pdf</v>
      </c>
    </row>
    <row r="36" spans="1:4" x14ac:dyDescent="0.25">
      <c r="A36" t="str">
        <f t="shared" si="0"/>
        <v>C:\Users\USUARIO\Macros\FACTURAS Y LISTADOS\1130 - Urbanización Alborada 1-4 PH\Urbanización Alborada 1-4 PH - Facturas del mes de_35.pdf</v>
      </c>
      <c r="B36">
        <v>35</v>
      </c>
      <c r="D36" t="str">
        <f t="shared" si="1"/>
        <v>Urbanización Alborada 1-4 PH - Facturas del mes de_35.pdf</v>
      </c>
    </row>
    <row r="37" spans="1:4" x14ac:dyDescent="0.25">
      <c r="A37" t="str">
        <f t="shared" si="0"/>
        <v>C:\Users\USUARIO\Macros\FACTURAS Y LISTADOS\1130 - Urbanización Alborada 1-4 PH\Urbanización Alborada 1-4 PH - Facturas del mes de_36.pdf</v>
      </c>
      <c r="B37">
        <v>36</v>
      </c>
      <c r="D37" t="str">
        <f t="shared" si="1"/>
        <v>Urbanización Alborada 1-4 PH - Facturas del mes de_36.pdf</v>
      </c>
    </row>
    <row r="38" spans="1:4" x14ac:dyDescent="0.25">
      <c r="A38" t="str">
        <f t="shared" si="0"/>
        <v>C:\Users\USUARIO\Macros\FACTURAS Y LISTADOS\1130 - Urbanización Alborada 1-4 PH\Urbanización Alborada 1-4 PH - Facturas del mes de_37.pdf</v>
      </c>
      <c r="B38">
        <v>37</v>
      </c>
      <c r="D38" t="str">
        <f t="shared" si="1"/>
        <v>Urbanización Alborada 1-4 PH - Facturas del mes de_37.pdf</v>
      </c>
    </row>
    <row r="39" spans="1:4" x14ac:dyDescent="0.25">
      <c r="A39" t="str">
        <f t="shared" si="0"/>
        <v>C:\Users\USUARIO\Macros\FACTURAS Y LISTADOS\1130 - Urbanización Alborada 1-4 PH\Urbanización Alborada 1-4 PH - Facturas del mes de_38.pdf</v>
      </c>
      <c r="B39">
        <v>38</v>
      </c>
      <c r="D39" t="str">
        <f t="shared" si="1"/>
        <v>Urbanización Alborada 1-4 PH - Facturas del mes de_38.pdf</v>
      </c>
    </row>
    <row r="40" spans="1:4" x14ac:dyDescent="0.25">
      <c r="A40" t="str">
        <f t="shared" si="0"/>
        <v>C:\Users\USUARIO\Macros\FACTURAS Y LISTADOS\1130 - Urbanización Alborada 1-4 PH\Urbanización Alborada 1-4 PH - Facturas del mes de_39.pdf</v>
      </c>
      <c r="B40">
        <v>39</v>
      </c>
      <c r="D40" t="str">
        <f t="shared" si="1"/>
        <v>Urbanización Alborada 1-4 PH - Facturas del mes de_39.pdf</v>
      </c>
    </row>
    <row r="41" spans="1:4" x14ac:dyDescent="0.25">
      <c r="A41" t="str">
        <f t="shared" si="0"/>
        <v>C:\Users\USUARIO\Macros\FACTURAS Y LISTADOS\1130 - Urbanización Alborada 1-4 PH\Urbanización Alborada 1-4 PH - Facturas del mes de_40.pdf</v>
      </c>
      <c r="B41">
        <v>40</v>
      </c>
      <c r="D41" t="str">
        <f t="shared" si="1"/>
        <v>Urbanización Alborada 1-4 PH - Facturas del mes de_40.pdf</v>
      </c>
    </row>
    <row r="42" spans="1:4" x14ac:dyDescent="0.25">
      <c r="A42" t="str">
        <f t="shared" si="0"/>
        <v>C:\Users\USUARIO\Macros\FACTURAS Y LISTADOS\1130 - Urbanización Alborada 1-4 PH\Urbanización Alborada 1-4 PH - Facturas del mes de_41.pdf</v>
      </c>
      <c r="B42">
        <v>41</v>
      </c>
      <c r="D42" t="str">
        <f t="shared" si="1"/>
        <v>Urbanización Alborada 1-4 PH - Facturas del mes de_41.pdf</v>
      </c>
    </row>
    <row r="43" spans="1:4" x14ac:dyDescent="0.25">
      <c r="A43" t="str">
        <f t="shared" si="0"/>
        <v>C:\Users\USUARIO\Macros\FACTURAS Y LISTADOS\1130 - Urbanización Alborada 1-4 PH\Urbanización Alborada 1-4 PH - Facturas del mes de_42.pdf</v>
      </c>
      <c r="B43">
        <v>42</v>
      </c>
      <c r="D43" t="str">
        <f t="shared" si="1"/>
        <v>Urbanización Alborada 1-4 PH - Facturas del mes de_42.pdf</v>
      </c>
    </row>
    <row r="44" spans="1:4" x14ac:dyDescent="0.25">
      <c r="A44" t="str">
        <f t="shared" si="0"/>
        <v>C:\Users\USUARIO\Macros\FACTURAS Y LISTADOS\1130 - Urbanización Alborada 1-4 PH\Urbanización Alborada 1-4 PH - Facturas del mes de_43.pdf</v>
      </c>
      <c r="B44">
        <v>43</v>
      </c>
      <c r="D44" t="str">
        <f t="shared" si="1"/>
        <v>Urbanización Alborada 1-4 PH - Facturas del mes de_43.pdf</v>
      </c>
    </row>
    <row r="45" spans="1:4" x14ac:dyDescent="0.25">
      <c r="A45" t="str">
        <f t="shared" si="0"/>
        <v>C:\Users\USUARIO\Macros\FACTURAS Y LISTADOS\1130 - Urbanización Alborada 1-4 PH\Urbanización Alborada 1-4 PH - Facturas del mes de_44.pdf</v>
      </c>
      <c r="B45">
        <v>44</v>
      </c>
      <c r="D45" t="str">
        <f t="shared" si="1"/>
        <v>Urbanización Alborada 1-4 PH - Facturas del mes de_44.pdf</v>
      </c>
    </row>
    <row r="46" spans="1:4" x14ac:dyDescent="0.25">
      <c r="A46" t="str">
        <f t="shared" si="0"/>
        <v>C:\Users\USUARIO\Macros\FACTURAS Y LISTADOS\1130 - Urbanización Alborada 1-4 PH\Urbanización Alborada 1-4 PH - Facturas del mes de_45.pdf</v>
      </c>
      <c r="B46">
        <v>45</v>
      </c>
      <c r="D46" t="str">
        <f t="shared" si="1"/>
        <v>Urbanización Alborada 1-4 PH - Facturas del mes de_45.pdf</v>
      </c>
    </row>
    <row r="47" spans="1:4" x14ac:dyDescent="0.25">
      <c r="A47" t="str">
        <f t="shared" si="0"/>
        <v>C:\Users\USUARIO\Macros\FACTURAS Y LISTADOS\1130 - Urbanización Alborada 1-4 PH\Urbanización Alborada 1-4 PH - Facturas del mes de_46.pdf</v>
      </c>
      <c r="B47">
        <v>46</v>
      </c>
      <c r="D47" t="str">
        <f t="shared" si="1"/>
        <v>Urbanización Alborada 1-4 PH - Facturas del mes de_46.pdf</v>
      </c>
    </row>
    <row r="48" spans="1:4" x14ac:dyDescent="0.25">
      <c r="A48" t="str">
        <f t="shared" si="0"/>
        <v>C:\Users\USUARIO\Macros\FACTURAS Y LISTADOS\1130 - Urbanización Alborada 1-4 PH\Urbanización Alborada 1-4 PH - Facturas del mes de_47.pdf</v>
      </c>
      <c r="B48">
        <v>47</v>
      </c>
      <c r="D48" t="str">
        <f t="shared" si="1"/>
        <v>Urbanización Alborada 1-4 PH - Facturas del mes de_47.pdf</v>
      </c>
    </row>
    <row r="49" spans="1:4" x14ac:dyDescent="0.25">
      <c r="A49" t="str">
        <f t="shared" si="0"/>
        <v>C:\Users\USUARIO\Macros\FACTURAS Y LISTADOS\1130 - Urbanización Alborada 1-4 PH\Urbanización Alborada 1-4 PH - Facturas del mes de_48.pdf</v>
      </c>
      <c r="B49">
        <v>48</v>
      </c>
      <c r="D49" t="str">
        <f t="shared" si="1"/>
        <v>Urbanización Alborada 1-4 PH - Facturas del mes de_48.pdf</v>
      </c>
    </row>
    <row r="50" spans="1:4" x14ac:dyDescent="0.25">
      <c r="A50" t="str">
        <f t="shared" si="0"/>
        <v>C:\Users\USUARIO\Macros\FACTURAS Y LISTADOS\1130 - Urbanización Alborada 1-4 PH\Urbanización Alborada 1-4 PH - Facturas del mes de_49.pdf</v>
      </c>
      <c r="B50">
        <v>49</v>
      </c>
      <c r="D50" t="str">
        <f t="shared" si="1"/>
        <v>Urbanización Alborada 1-4 PH - Facturas del mes de_49.pdf</v>
      </c>
    </row>
    <row r="51" spans="1:4" x14ac:dyDescent="0.25">
      <c r="A51" t="str">
        <f t="shared" si="0"/>
        <v>C:\Users\USUARIO\Macros\FACTURAS Y LISTADOS\1130 - Urbanización Alborada 1-4 PH\Urbanización Alborada 1-4 PH - Facturas del mes de_50.pdf</v>
      </c>
      <c r="B51">
        <v>50</v>
      </c>
      <c r="D51" t="str">
        <f t="shared" si="1"/>
        <v>Urbanización Alborada 1-4 PH - Facturas del mes de_50.pdf</v>
      </c>
    </row>
    <row r="52" spans="1:4" x14ac:dyDescent="0.25">
      <c r="A52" t="str">
        <f t="shared" si="0"/>
        <v>C:\Users\USUARIO\Macros\FACTURAS Y LISTADOS\1130 - Urbanización Alborada 1-4 PH\Urbanización Alborada 1-4 PH - Facturas del mes de_51.pdf</v>
      </c>
      <c r="B52">
        <v>51</v>
      </c>
      <c r="D52" t="str">
        <f t="shared" si="1"/>
        <v>Urbanización Alborada 1-4 PH - Facturas del mes de_51.pdf</v>
      </c>
    </row>
    <row r="53" spans="1:4" x14ac:dyDescent="0.25">
      <c r="A53" t="str">
        <f t="shared" si="0"/>
        <v>C:\Users\USUARIO\Macros\FACTURAS Y LISTADOS\1130 - Urbanización Alborada 1-4 PH\Urbanización Alborada 1-4 PH - Facturas del mes de_52.pdf</v>
      </c>
      <c r="B53">
        <v>52</v>
      </c>
      <c r="D53" t="str">
        <f t="shared" si="1"/>
        <v>Urbanización Alborada 1-4 PH - Facturas del mes de_52.pdf</v>
      </c>
    </row>
    <row r="54" spans="1:4" x14ac:dyDescent="0.25">
      <c r="A54" t="str">
        <f t="shared" si="0"/>
        <v>C:\Users\USUARIO\Macros\FACTURAS Y LISTADOS\1130 - Urbanización Alborada 1-4 PH\Urbanización Alborada 1-4 PH - Facturas del mes de_53.pdf</v>
      </c>
      <c r="B54">
        <v>53</v>
      </c>
      <c r="D54" t="str">
        <f t="shared" si="1"/>
        <v>Urbanización Alborada 1-4 PH - Facturas del mes de_53.pdf</v>
      </c>
    </row>
    <row r="55" spans="1:4" x14ac:dyDescent="0.25">
      <c r="A55" t="str">
        <f t="shared" si="0"/>
        <v>C:\Users\USUARIO\Macros\FACTURAS Y LISTADOS\1130 - Urbanización Alborada 1-4 PH\Urbanización Alborada 1-4 PH - Facturas del mes de_54.pdf</v>
      </c>
      <c r="B55">
        <v>54</v>
      </c>
      <c r="D55" t="str">
        <f t="shared" si="1"/>
        <v>Urbanización Alborada 1-4 PH - Facturas del mes de_54.pdf</v>
      </c>
    </row>
    <row r="56" spans="1:4" x14ac:dyDescent="0.25">
      <c r="A56" t="str">
        <f t="shared" si="0"/>
        <v>C:\Users\USUARIO\Macros\FACTURAS Y LISTADOS\1130 - Urbanización Alborada 1-4 PH\Urbanización Alborada 1-4 PH - Facturas del mes de_55.pdf</v>
      </c>
      <c r="B56">
        <v>55</v>
      </c>
      <c r="D56" t="str">
        <f t="shared" si="1"/>
        <v>Urbanización Alborada 1-4 PH - Facturas del mes de_55.pdf</v>
      </c>
    </row>
    <row r="57" spans="1:4" x14ac:dyDescent="0.25">
      <c r="A57" t="str">
        <f t="shared" si="0"/>
        <v>C:\Users\USUARIO\Macros\FACTURAS Y LISTADOS\1130 - Urbanización Alborada 1-4 PH\Urbanización Alborada 1-4 PH - Facturas del mes de_56.pdf</v>
      </c>
      <c r="B57">
        <v>56</v>
      </c>
      <c r="D57" t="str">
        <f t="shared" si="1"/>
        <v>Urbanización Alborada 1-4 PH - Facturas del mes de_56.pdf</v>
      </c>
    </row>
    <row r="58" spans="1:4" x14ac:dyDescent="0.25">
      <c r="A58" t="str">
        <f t="shared" si="0"/>
        <v>C:\Users\USUARIO\Macros\FACTURAS Y LISTADOS\1130 - Urbanización Alborada 1-4 PH\Urbanización Alborada 1-4 PH - Facturas del mes de_57.pdf</v>
      </c>
      <c r="B58">
        <v>57</v>
      </c>
      <c r="D58" t="str">
        <f t="shared" si="1"/>
        <v>Urbanización Alborada 1-4 PH - Facturas del mes de_57.pdf</v>
      </c>
    </row>
    <row r="59" spans="1:4" x14ac:dyDescent="0.25">
      <c r="A59" t="str">
        <f t="shared" si="0"/>
        <v>C:\Users\USUARIO\Macros\FACTURAS Y LISTADOS\1130 - Urbanización Alborada 1-4 PH\Urbanización Alborada 1-4 PH - Facturas del mes de_58.pdf</v>
      </c>
      <c r="B59">
        <v>58</v>
      </c>
      <c r="D59" t="str">
        <f t="shared" si="1"/>
        <v>Urbanización Alborada 1-4 PH - Facturas del mes de_58.pdf</v>
      </c>
    </row>
    <row r="60" spans="1:4" x14ac:dyDescent="0.25">
      <c r="A60" t="str">
        <f t="shared" si="0"/>
        <v>C:\Users\USUARIO\Macros\FACTURAS Y LISTADOS\1130 - Urbanización Alborada 1-4 PH\Urbanización Alborada 1-4 PH - Facturas del mes de_59.pdf</v>
      </c>
      <c r="B60">
        <v>59</v>
      </c>
      <c r="D60" t="str">
        <f t="shared" si="1"/>
        <v>Urbanización Alborada 1-4 PH - Facturas del mes de_59.pdf</v>
      </c>
    </row>
    <row r="61" spans="1:4" x14ac:dyDescent="0.25">
      <c r="A61" t="str">
        <f t="shared" si="0"/>
        <v>C:\Users\USUARIO\Macros\FACTURAS Y LISTADOS\1130 - Urbanización Alborada 1-4 PH\Urbanización Alborada 1-4 PH - Facturas del mes de_60.pdf</v>
      </c>
      <c r="B61">
        <v>60</v>
      </c>
      <c r="D61" t="str">
        <f t="shared" si="1"/>
        <v>Urbanización Alborada 1-4 PH - Facturas del mes de_60.pdf</v>
      </c>
    </row>
    <row r="62" spans="1:4" x14ac:dyDescent="0.25">
      <c r="A62" t="str">
        <f t="shared" si="0"/>
        <v>C:\Users\USUARIO\Macros\FACTURAS Y LISTADOS\1130 - Urbanización Alborada 1-4 PH\Urbanización Alborada 1-4 PH - Facturas del mes de_61.pdf</v>
      </c>
      <c r="B62">
        <v>61</v>
      </c>
      <c r="D62" t="str">
        <f t="shared" si="1"/>
        <v>Urbanización Alborada 1-4 PH - Facturas del mes de_61.pdf</v>
      </c>
    </row>
    <row r="63" spans="1:4" x14ac:dyDescent="0.25">
      <c r="A63" t="str">
        <f t="shared" si="0"/>
        <v>C:\Users\USUARIO\Macros\FACTURAS Y LISTADOS\1130 - Urbanización Alborada 1-4 PH\Urbanización Alborada 1-4 PH - Facturas del mes de_62.pdf</v>
      </c>
      <c r="B63">
        <v>62</v>
      </c>
      <c r="D63" t="str">
        <f t="shared" si="1"/>
        <v>Urbanización Alborada 1-4 PH - Facturas del mes de_62.pdf</v>
      </c>
    </row>
    <row r="64" spans="1:4" x14ac:dyDescent="0.25">
      <c r="A64" t="str">
        <f t="shared" si="0"/>
        <v>C:\Users\USUARIO\Macros\FACTURAS Y LISTADOS\1130 - Urbanización Alborada 1-4 PH\Urbanización Alborada 1-4 PH - Facturas del mes de_63.pdf</v>
      </c>
      <c r="B64">
        <v>63</v>
      </c>
      <c r="D64" t="str">
        <f t="shared" si="1"/>
        <v>Urbanización Alborada 1-4 PH - Facturas del mes de_63.pdf</v>
      </c>
    </row>
    <row r="65" spans="1:4" x14ac:dyDescent="0.25">
      <c r="A65" t="str">
        <f t="shared" si="0"/>
        <v>C:\Users\USUARIO\Macros\FACTURAS Y LISTADOS\1130 - Urbanización Alborada 1-4 PH\Urbanización Alborada 1-4 PH - Facturas del mes de_64.pdf</v>
      </c>
      <c r="B65">
        <v>64</v>
      </c>
      <c r="D65" t="str">
        <f t="shared" si="1"/>
        <v>Urbanización Alborada 1-4 PH - Facturas del mes de_64.pdf</v>
      </c>
    </row>
    <row r="66" spans="1:4" x14ac:dyDescent="0.25">
      <c r="A66" t="str">
        <f t="shared" si="0"/>
        <v>C:\Users\USUARIO\Macros\FACTURAS Y LISTADOS\1130 - Urbanización Alborada 1-4 PH\Urbanización Alborada 1-4 PH - Facturas del mes de_65.pdf</v>
      </c>
      <c r="B66">
        <v>65</v>
      </c>
      <c r="D66" t="str">
        <f t="shared" si="1"/>
        <v>Urbanización Alborada 1-4 PH - Facturas del mes de_65.pdf</v>
      </c>
    </row>
    <row r="67" spans="1:4" x14ac:dyDescent="0.25">
      <c r="A67" t="str">
        <f t="shared" ref="A67:A130" si="2">CONCATENATE($A$1,$D$1,$E$1,$E$2,$B$1,B67,$C$1)</f>
        <v>C:\Users\USUARIO\Macros\FACTURAS Y LISTADOS\1130 - Urbanización Alborada 1-4 PH\Urbanización Alborada 1-4 PH - Facturas del mes de_66.pdf</v>
      </c>
      <c r="B67">
        <v>66</v>
      </c>
      <c r="D67" t="str">
        <f t="shared" ref="D67:D130" si="3">CONCATENATE($D$1,$E$1,$E$2,$B$1,B67,$C$1)</f>
        <v>Urbanización Alborada 1-4 PH - Facturas del mes de_66.pdf</v>
      </c>
    </row>
    <row r="68" spans="1:4" x14ac:dyDescent="0.25">
      <c r="A68" t="str">
        <f t="shared" si="2"/>
        <v>C:\Users\USUARIO\Macros\FACTURAS Y LISTADOS\1130 - Urbanización Alborada 1-4 PH\Urbanización Alborada 1-4 PH - Facturas del mes de_67.pdf</v>
      </c>
      <c r="B68">
        <v>67</v>
      </c>
      <c r="D68" t="str">
        <f t="shared" si="3"/>
        <v>Urbanización Alborada 1-4 PH - Facturas del mes de_67.pdf</v>
      </c>
    </row>
    <row r="69" spans="1:4" x14ac:dyDescent="0.25">
      <c r="A69" t="str">
        <f t="shared" si="2"/>
        <v>C:\Users\USUARIO\Macros\FACTURAS Y LISTADOS\1130 - Urbanización Alborada 1-4 PH\Urbanización Alborada 1-4 PH - Facturas del mes de_68.pdf</v>
      </c>
      <c r="B69">
        <v>68</v>
      </c>
      <c r="D69" t="str">
        <f t="shared" si="3"/>
        <v>Urbanización Alborada 1-4 PH - Facturas del mes de_68.pdf</v>
      </c>
    </row>
    <row r="70" spans="1:4" x14ac:dyDescent="0.25">
      <c r="A70" t="str">
        <f t="shared" si="2"/>
        <v>C:\Users\USUARIO\Macros\FACTURAS Y LISTADOS\1130 - Urbanización Alborada 1-4 PH\Urbanización Alborada 1-4 PH - Facturas del mes de_69.pdf</v>
      </c>
      <c r="B70">
        <v>69</v>
      </c>
      <c r="D70" t="str">
        <f t="shared" si="3"/>
        <v>Urbanización Alborada 1-4 PH - Facturas del mes de_69.pdf</v>
      </c>
    </row>
    <row r="71" spans="1:4" x14ac:dyDescent="0.25">
      <c r="A71" t="str">
        <f t="shared" si="2"/>
        <v>C:\Users\USUARIO\Macros\FACTURAS Y LISTADOS\1130 - Urbanización Alborada 1-4 PH\Urbanización Alborada 1-4 PH - Facturas del mes de_70.pdf</v>
      </c>
      <c r="B71">
        <v>70</v>
      </c>
      <c r="D71" t="str">
        <f t="shared" si="3"/>
        <v>Urbanización Alborada 1-4 PH - Facturas del mes de_70.pdf</v>
      </c>
    </row>
    <row r="72" spans="1:4" x14ac:dyDescent="0.25">
      <c r="A72" t="str">
        <f t="shared" si="2"/>
        <v>C:\Users\USUARIO\Macros\FACTURAS Y LISTADOS\1130 - Urbanización Alborada 1-4 PH\Urbanización Alborada 1-4 PH - Facturas del mes de_71.pdf</v>
      </c>
      <c r="B72">
        <v>71</v>
      </c>
      <c r="D72" t="str">
        <f t="shared" si="3"/>
        <v>Urbanización Alborada 1-4 PH - Facturas del mes de_71.pdf</v>
      </c>
    </row>
    <row r="73" spans="1:4" x14ac:dyDescent="0.25">
      <c r="A73" t="str">
        <f t="shared" si="2"/>
        <v>C:\Users\USUARIO\Macros\FACTURAS Y LISTADOS\1130 - Urbanización Alborada 1-4 PH\Urbanización Alborada 1-4 PH - Facturas del mes de_72.pdf</v>
      </c>
      <c r="B73">
        <v>72</v>
      </c>
      <c r="D73" t="str">
        <f t="shared" si="3"/>
        <v>Urbanización Alborada 1-4 PH - Facturas del mes de_72.pdf</v>
      </c>
    </row>
    <row r="74" spans="1:4" x14ac:dyDescent="0.25">
      <c r="A74" t="str">
        <f t="shared" si="2"/>
        <v>C:\Users\USUARIO\Macros\FACTURAS Y LISTADOS\1130 - Urbanización Alborada 1-4 PH\Urbanización Alborada 1-4 PH - Facturas del mes de_73.pdf</v>
      </c>
      <c r="B74">
        <v>73</v>
      </c>
      <c r="D74" t="str">
        <f t="shared" si="3"/>
        <v>Urbanización Alborada 1-4 PH - Facturas del mes de_73.pdf</v>
      </c>
    </row>
    <row r="75" spans="1:4" x14ac:dyDescent="0.25">
      <c r="A75" t="str">
        <f t="shared" si="2"/>
        <v>C:\Users\USUARIO\Macros\FACTURAS Y LISTADOS\1130 - Urbanización Alborada 1-4 PH\Urbanización Alborada 1-4 PH - Facturas del mes de_74.pdf</v>
      </c>
      <c r="B75">
        <v>74</v>
      </c>
      <c r="D75" t="str">
        <f t="shared" si="3"/>
        <v>Urbanización Alborada 1-4 PH - Facturas del mes de_74.pdf</v>
      </c>
    </row>
    <row r="76" spans="1:4" x14ac:dyDescent="0.25">
      <c r="A76" t="str">
        <f t="shared" si="2"/>
        <v>C:\Users\USUARIO\Macros\FACTURAS Y LISTADOS\1130 - Urbanización Alborada 1-4 PH\Urbanización Alborada 1-4 PH - Facturas del mes de_75.pdf</v>
      </c>
      <c r="B76">
        <v>75</v>
      </c>
      <c r="D76" t="str">
        <f t="shared" si="3"/>
        <v>Urbanización Alborada 1-4 PH - Facturas del mes de_75.pdf</v>
      </c>
    </row>
    <row r="77" spans="1:4" x14ac:dyDescent="0.25">
      <c r="A77" t="str">
        <f t="shared" si="2"/>
        <v>C:\Users\USUARIO\Macros\FACTURAS Y LISTADOS\1130 - Urbanización Alborada 1-4 PH\Urbanización Alborada 1-4 PH - Facturas del mes de_76.pdf</v>
      </c>
      <c r="B77">
        <v>76</v>
      </c>
      <c r="D77" t="str">
        <f t="shared" si="3"/>
        <v>Urbanización Alborada 1-4 PH - Facturas del mes de_76.pdf</v>
      </c>
    </row>
    <row r="78" spans="1:4" x14ac:dyDescent="0.25">
      <c r="A78" t="str">
        <f t="shared" si="2"/>
        <v>C:\Users\USUARIO\Macros\FACTURAS Y LISTADOS\1130 - Urbanización Alborada 1-4 PH\Urbanización Alborada 1-4 PH - Facturas del mes de_77.pdf</v>
      </c>
      <c r="B78">
        <v>77</v>
      </c>
      <c r="D78" t="str">
        <f t="shared" si="3"/>
        <v>Urbanización Alborada 1-4 PH - Facturas del mes de_77.pdf</v>
      </c>
    </row>
    <row r="79" spans="1:4" x14ac:dyDescent="0.25">
      <c r="A79" t="str">
        <f t="shared" si="2"/>
        <v>C:\Users\USUARIO\Macros\FACTURAS Y LISTADOS\1130 - Urbanización Alborada 1-4 PH\Urbanización Alborada 1-4 PH - Facturas del mes de_78.pdf</v>
      </c>
      <c r="B79">
        <v>78</v>
      </c>
      <c r="D79" t="str">
        <f t="shared" si="3"/>
        <v>Urbanización Alborada 1-4 PH - Facturas del mes de_78.pdf</v>
      </c>
    </row>
    <row r="80" spans="1:4" x14ac:dyDescent="0.25">
      <c r="A80" t="str">
        <f t="shared" si="2"/>
        <v>C:\Users\USUARIO\Macros\FACTURAS Y LISTADOS\1130 - Urbanización Alborada 1-4 PH\Urbanización Alborada 1-4 PH - Facturas del mes de_79.pdf</v>
      </c>
      <c r="B80">
        <v>79</v>
      </c>
      <c r="D80" t="str">
        <f t="shared" si="3"/>
        <v>Urbanización Alborada 1-4 PH - Facturas del mes de_79.pdf</v>
      </c>
    </row>
    <row r="81" spans="1:4" x14ac:dyDescent="0.25">
      <c r="A81" t="str">
        <f t="shared" si="2"/>
        <v>C:\Users\USUARIO\Macros\FACTURAS Y LISTADOS\1130 - Urbanización Alborada 1-4 PH\Urbanización Alborada 1-4 PH - Facturas del mes de_80.pdf</v>
      </c>
      <c r="B81">
        <v>80</v>
      </c>
      <c r="D81" t="str">
        <f t="shared" si="3"/>
        <v>Urbanización Alborada 1-4 PH - Facturas del mes de_80.pdf</v>
      </c>
    </row>
    <row r="82" spans="1:4" x14ac:dyDescent="0.25">
      <c r="A82" t="str">
        <f t="shared" si="2"/>
        <v>C:\Users\USUARIO\Macros\FACTURAS Y LISTADOS\1130 - Urbanización Alborada 1-4 PH\Urbanización Alborada 1-4 PH - Facturas del mes de_81.pdf</v>
      </c>
      <c r="B82">
        <v>81</v>
      </c>
      <c r="D82" t="str">
        <f t="shared" si="3"/>
        <v>Urbanización Alborada 1-4 PH - Facturas del mes de_81.pdf</v>
      </c>
    </row>
    <row r="83" spans="1:4" x14ac:dyDescent="0.25">
      <c r="A83" t="str">
        <f t="shared" si="2"/>
        <v>C:\Users\USUARIO\Macros\FACTURAS Y LISTADOS\1130 - Urbanización Alborada 1-4 PH\Urbanización Alborada 1-4 PH - Facturas del mes de_82.pdf</v>
      </c>
      <c r="B83">
        <v>82</v>
      </c>
      <c r="D83" t="str">
        <f t="shared" si="3"/>
        <v>Urbanización Alborada 1-4 PH - Facturas del mes de_82.pdf</v>
      </c>
    </row>
    <row r="84" spans="1:4" x14ac:dyDescent="0.25">
      <c r="A84" t="str">
        <f t="shared" si="2"/>
        <v>C:\Users\USUARIO\Macros\FACTURAS Y LISTADOS\1130 - Urbanización Alborada 1-4 PH\Urbanización Alborada 1-4 PH - Facturas del mes de_83.pdf</v>
      </c>
      <c r="B84">
        <v>83</v>
      </c>
      <c r="D84" t="str">
        <f t="shared" si="3"/>
        <v>Urbanización Alborada 1-4 PH - Facturas del mes de_83.pdf</v>
      </c>
    </row>
    <row r="85" spans="1:4" x14ac:dyDescent="0.25">
      <c r="A85" t="str">
        <f t="shared" si="2"/>
        <v>C:\Users\USUARIO\Macros\FACTURAS Y LISTADOS\1130 - Urbanización Alborada 1-4 PH\Urbanización Alborada 1-4 PH - Facturas del mes de_84.pdf</v>
      </c>
      <c r="B85">
        <v>84</v>
      </c>
      <c r="D85" t="str">
        <f t="shared" si="3"/>
        <v>Urbanización Alborada 1-4 PH - Facturas del mes de_84.pdf</v>
      </c>
    </row>
    <row r="86" spans="1:4" x14ac:dyDescent="0.25">
      <c r="A86" t="str">
        <f t="shared" si="2"/>
        <v>C:\Users\USUARIO\Macros\FACTURAS Y LISTADOS\1130 - Urbanización Alborada 1-4 PH\Urbanización Alborada 1-4 PH - Facturas del mes de_85.pdf</v>
      </c>
      <c r="B86">
        <v>85</v>
      </c>
      <c r="D86" t="str">
        <f t="shared" si="3"/>
        <v>Urbanización Alborada 1-4 PH - Facturas del mes de_85.pdf</v>
      </c>
    </row>
    <row r="87" spans="1:4" x14ac:dyDescent="0.25">
      <c r="A87" t="str">
        <f t="shared" si="2"/>
        <v>C:\Users\USUARIO\Macros\FACTURAS Y LISTADOS\1130 - Urbanización Alborada 1-4 PH\Urbanización Alborada 1-4 PH - Facturas del mes de_86.pdf</v>
      </c>
      <c r="B87">
        <v>86</v>
      </c>
      <c r="D87" t="str">
        <f t="shared" si="3"/>
        <v>Urbanización Alborada 1-4 PH - Facturas del mes de_86.pdf</v>
      </c>
    </row>
    <row r="88" spans="1:4" x14ac:dyDescent="0.25">
      <c r="A88" t="str">
        <f t="shared" si="2"/>
        <v>C:\Users\USUARIO\Macros\FACTURAS Y LISTADOS\1130 - Urbanización Alborada 1-4 PH\Urbanización Alborada 1-4 PH - Facturas del mes de_87.pdf</v>
      </c>
      <c r="B88">
        <v>87</v>
      </c>
      <c r="D88" t="str">
        <f t="shared" si="3"/>
        <v>Urbanización Alborada 1-4 PH - Facturas del mes de_87.pdf</v>
      </c>
    </row>
    <row r="89" spans="1:4" x14ac:dyDescent="0.25">
      <c r="A89" t="str">
        <f t="shared" si="2"/>
        <v>C:\Users\USUARIO\Macros\FACTURAS Y LISTADOS\1130 - Urbanización Alborada 1-4 PH\Urbanización Alborada 1-4 PH - Facturas del mes de_88.pdf</v>
      </c>
      <c r="B89">
        <v>88</v>
      </c>
      <c r="D89" t="str">
        <f t="shared" si="3"/>
        <v>Urbanización Alborada 1-4 PH - Facturas del mes de_88.pdf</v>
      </c>
    </row>
    <row r="90" spans="1:4" x14ac:dyDescent="0.25">
      <c r="A90" t="str">
        <f t="shared" si="2"/>
        <v>C:\Users\USUARIO\Macros\FACTURAS Y LISTADOS\1130 - Urbanización Alborada 1-4 PH\Urbanización Alborada 1-4 PH - Facturas del mes de_89.pdf</v>
      </c>
      <c r="B90">
        <v>89</v>
      </c>
      <c r="D90" t="str">
        <f t="shared" si="3"/>
        <v>Urbanización Alborada 1-4 PH - Facturas del mes de_89.pdf</v>
      </c>
    </row>
    <row r="91" spans="1:4" x14ac:dyDescent="0.25">
      <c r="A91" t="str">
        <f t="shared" si="2"/>
        <v>C:\Users\USUARIO\Macros\FACTURAS Y LISTADOS\1130 - Urbanización Alborada 1-4 PH\Urbanización Alborada 1-4 PH - Facturas del mes de_90.pdf</v>
      </c>
      <c r="B91">
        <v>90</v>
      </c>
      <c r="D91" t="str">
        <f t="shared" si="3"/>
        <v>Urbanización Alborada 1-4 PH - Facturas del mes de_90.pdf</v>
      </c>
    </row>
    <row r="92" spans="1:4" x14ac:dyDescent="0.25">
      <c r="A92" t="str">
        <f t="shared" si="2"/>
        <v>C:\Users\USUARIO\Macros\FACTURAS Y LISTADOS\1130 - Urbanización Alborada 1-4 PH\Urbanización Alborada 1-4 PH - Facturas del mes de_91.pdf</v>
      </c>
      <c r="B92">
        <v>91</v>
      </c>
      <c r="D92" t="str">
        <f t="shared" si="3"/>
        <v>Urbanización Alborada 1-4 PH - Facturas del mes de_91.pdf</v>
      </c>
    </row>
    <row r="93" spans="1:4" x14ac:dyDescent="0.25">
      <c r="A93" t="str">
        <f t="shared" si="2"/>
        <v>C:\Users\USUARIO\Macros\FACTURAS Y LISTADOS\1130 - Urbanización Alborada 1-4 PH\Urbanización Alborada 1-4 PH - Facturas del mes de_92.pdf</v>
      </c>
      <c r="B93">
        <v>92</v>
      </c>
      <c r="D93" t="str">
        <f t="shared" si="3"/>
        <v>Urbanización Alborada 1-4 PH - Facturas del mes de_92.pdf</v>
      </c>
    </row>
    <row r="94" spans="1:4" x14ac:dyDescent="0.25">
      <c r="A94" t="str">
        <f t="shared" si="2"/>
        <v>C:\Users\USUARIO\Macros\FACTURAS Y LISTADOS\1130 - Urbanización Alborada 1-4 PH\Urbanización Alborada 1-4 PH - Facturas del mes de_93.pdf</v>
      </c>
      <c r="B94">
        <v>93</v>
      </c>
      <c r="D94" t="str">
        <f t="shared" si="3"/>
        <v>Urbanización Alborada 1-4 PH - Facturas del mes de_93.pdf</v>
      </c>
    </row>
    <row r="95" spans="1:4" x14ac:dyDescent="0.25">
      <c r="A95" t="str">
        <f t="shared" si="2"/>
        <v>C:\Users\USUARIO\Macros\FACTURAS Y LISTADOS\1130 - Urbanización Alborada 1-4 PH\Urbanización Alborada 1-4 PH - Facturas del mes de_94.pdf</v>
      </c>
      <c r="B95">
        <v>94</v>
      </c>
      <c r="D95" t="str">
        <f t="shared" si="3"/>
        <v>Urbanización Alborada 1-4 PH - Facturas del mes de_94.pdf</v>
      </c>
    </row>
    <row r="96" spans="1:4" x14ac:dyDescent="0.25">
      <c r="A96" t="str">
        <f t="shared" si="2"/>
        <v>C:\Users\USUARIO\Macros\FACTURAS Y LISTADOS\1130 - Urbanización Alborada 1-4 PH\Urbanización Alborada 1-4 PH - Facturas del mes de_95.pdf</v>
      </c>
      <c r="B96">
        <v>95</v>
      </c>
      <c r="D96" t="str">
        <f t="shared" si="3"/>
        <v>Urbanización Alborada 1-4 PH - Facturas del mes de_95.pdf</v>
      </c>
    </row>
    <row r="97" spans="1:4" x14ac:dyDescent="0.25">
      <c r="A97" t="str">
        <f t="shared" si="2"/>
        <v>C:\Users\USUARIO\Macros\FACTURAS Y LISTADOS\1130 - Urbanización Alborada 1-4 PH\Urbanización Alborada 1-4 PH - Facturas del mes de_96.pdf</v>
      </c>
      <c r="B97">
        <v>96</v>
      </c>
      <c r="D97" t="str">
        <f t="shared" si="3"/>
        <v>Urbanización Alborada 1-4 PH - Facturas del mes de_96.pdf</v>
      </c>
    </row>
    <row r="98" spans="1:4" x14ac:dyDescent="0.25">
      <c r="A98" t="str">
        <f t="shared" si="2"/>
        <v>C:\Users\USUARIO\Macros\FACTURAS Y LISTADOS\1130 - Urbanización Alborada 1-4 PH\Urbanización Alborada 1-4 PH - Facturas del mes de_97.pdf</v>
      </c>
      <c r="B98">
        <v>97</v>
      </c>
      <c r="D98" t="str">
        <f t="shared" si="3"/>
        <v>Urbanización Alborada 1-4 PH - Facturas del mes de_97.pdf</v>
      </c>
    </row>
    <row r="99" spans="1:4" x14ac:dyDescent="0.25">
      <c r="A99" t="str">
        <f t="shared" si="2"/>
        <v>C:\Users\USUARIO\Macros\FACTURAS Y LISTADOS\1130 - Urbanización Alborada 1-4 PH\Urbanización Alborada 1-4 PH - Facturas del mes de_98.pdf</v>
      </c>
      <c r="B99">
        <v>98</v>
      </c>
      <c r="D99" t="str">
        <f t="shared" si="3"/>
        <v>Urbanización Alborada 1-4 PH - Facturas del mes de_98.pdf</v>
      </c>
    </row>
    <row r="100" spans="1:4" x14ac:dyDescent="0.25">
      <c r="A100" t="str">
        <f t="shared" si="2"/>
        <v>C:\Users\USUARIO\Macros\FACTURAS Y LISTADOS\1130 - Urbanización Alborada 1-4 PH\Urbanización Alborada 1-4 PH - Facturas del mes de_99.pdf</v>
      </c>
      <c r="B100">
        <v>99</v>
      </c>
      <c r="D100" t="str">
        <f t="shared" si="3"/>
        <v>Urbanización Alborada 1-4 PH - Facturas del mes de_99.pdf</v>
      </c>
    </row>
    <row r="101" spans="1:4" x14ac:dyDescent="0.25">
      <c r="A101" t="str">
        <f t="shared" si="2"/>
        <v>C:\Users\USUARIO\Macros\FACTURAS Y LISTADOS\1130 - Urbanización Alborada 1-4 PH\Urbanización Alborada 1-4 PH - Facturas del mes de_100.pdf</v>
      </c>
      <c r="B101">
        <v>100</v>
      </c>
      <c r="D101" t="str">
        <f t="shared" si="3"/>
        <v>Urbanización Alborada 1-4 PH - Facturas del mes de_100.pdf</v>
      </c>
    </row>
    <row r="102" spans="1:4" x14ac:dyDescent="0.25">
      <c r="A102" t="str">
        <f t="shared" si="2"/>
        <v>C:\Users\USUARIO\Macros\FACTURAS Y LISTADOS\1130 - Urbanización Alborada 1-4 PH\Urbanización Alborada 1-4 PH - Facturas del mes de_101.pdf</v>
      </c>
      <c r="B102">
        <v>101</v>
      </c>
      <c r="D102" t="str">
        <f t="shared" si="3"/>
        <v>Urbanización Alborada 1-4 PH - Facturas del mes de_101.pdf</v>
      </c>
    </row>
    <row r="103" spans="1:4" x14ac:dyDescent="0.25">
      <c r="A103" t="str">
        <f t="shared" si="2"/>
        <v>C:\Users\USUARIO\Macros\FACTURAS Y LISTADOS\1130 - Urbanización Alborada 1-4 PH\Urbanización Alborada 1-4 PH - Facturas del mes de_102.pdf</v>
      </c>
      <c r="B103">
        <v>102</v>
      </c>
      <c r="D103" t="str">
        <f t="shared" si="3"/>
        <v>Urbanización Alborada 1-4 PH - Facturas del mes de_102.pdf</v>
      </c>
    </row>
    <row r="104" spans="1:4" x14ac:dyDescent="0.25">
      <c r="A104" t="str">
        <f t="shared" si="2"/>
        <v>C:\Users\USUARIO\Macros\FACTURAS Y LISTADOS\1130 - Urbanización Alborada 1-4 PH\Urbanización Alborada 1-4 PH - Facturas del mes de_103.pdf</v>
      </c>
      <c r="B104">
        <v>103</v>
      </c>
      <c r="D104" t="str">
        <f t="shared" si="3"/>
        <v>Urbanización Alborada 1-4 PH - Facturas del mes de_103.pdf</v>
      </c>
    </row>
    <row r="105" spans="1:4" x14ac:dyDescent="0.25">
      <c r="A105" t="str">
        <f t="shared" si="2"/>
        <v>C:\Users\USUARIO\Macros\FACTURAS Y LISTADOS\1130 - Urbanización Alborada 1-4 PH\Urbanización Alborada 1-4 PH - Facturas del mes de_104.pdf</v>
      </c>
      <c r="B105">
        <v>104</v>
      </c>
      <c r="D105" t="str">
        <f t="shared" si="3"/>
        <v>Urbanización Alborada 1-4 PH - Facturas del mes de_104.pdf</v>
      </c>
    </row>
    <row r="106" spans="1:4" x14ac:dyDescent="0.25">
      <c r="A106" t="str">
        <f t="shared" si="2"/>
        <v>C:\Users\USUARIO\Macros\FACTURAS Y LISTADOS\1130 - Urbanización Alborada 1-4 PH\Urbanización Alborada 1-4 PH - Facturas del mes de_105.pdf</v>
      </c>
      <c r="B106">
        <v>105</v>
      </c>
      <c r="D106" t="str">
        <f t="shared" si="3"/>
        <v>Urbanización Alborada 1-4 PH - Facturas del mes de_105.pdf</v>
      </c>
    </row>
    <row r="107" spans="1:4" x14ac:dyDescent="0.25">
      <c r="A107" t="str">
        <f t="shared" si="2"/>
        <v>C:\Users\USUARIO\Macros\FACTURAS Y LISTADOS\1130 - Urbanización Alborada 1-4 PH\Urbanización Alborada 1-4 PH - Facturas del mes de_106.pdf</v>
      </c>
      <c r="B107">
        <v>106</v>
      </c>
      <c r="D107" t="str">
        <f t="shared" si="3"/>
        <v>Urbanización Alborada 1-4 PH - Facturas del mes de_106.pdf</v>
      </c>
    </row>
    <row r="108" spans="1:4" x14ac:dyDescent="0.25">
      <c r="A108" t="str">
        <f t="shared" si="2"/>
        <v>C:\Users\USUARIO\Macros\FACTURAS Y LISTADOS\1130 - Urbanización Alborada 1-4 PH\Urbanización Alborada 1-4 PH - Facturas del mes de_107.pdf</v>
      </c>
      <c r="B108">
        <v>107</v>
      </c>
      <c r="D108" t="str">
        <f t="shared" si="3"/>
        <v>Urbanización Alborada 1-4 PH - Facturas del mes de_107.pdf</v>
      </c>
    </row>
    <row r="109" spans="1:4" x14ac:dyDescent="0.25">
      <c r="A109" t="str">
        <f t="shared" si="2"/>
        <v>C:\Users\USUARIO\Macros\FACTURAS Y LISTADOS\1130 - Urbanización Alborada 1-4 PH\Urbanización Alborada 1-4 PH - Facturas del mes de_108.pdf</v>
      </c>
      <c r="B109">
        <v>108</v>
      </c>
      <c r="D109" t="str">
        <f t="shared" si="3"/>
        <v>Urbanización Alborada 1-4 PH - Facturas del mes de_108.pdf</v>
      </c>
    </row>
    <row r="110" spans="1:4" x14ac:dyDescent="0.25">
      <c r="A110" t="str">
        <f t="shared" si="2"/>
        <v>C:\Users\USUARIO\Macros\FACTURAS Y LISTADOS\1130 - Urbanización Alborada 1-4 PH\Urbanización Alborada 1-4 PH - Facturas del mes de_109.pdf</v>
      </c>
      <c r="B110">
        <v>109</v>
      </c>
      <c r="D110" t="str">
        <f t="shared" si="3"/>
        <v>Urbanización Alborada 1-4 PH - Facturas del mes de_109.pdf</v>
      </c>
    </row>
    <row r="111" spans="1:4" x14ac:dyDescent="0.25">
      <c r="A111" t="str">
        <f t="shared" si="2"/>
        <v>C:\Users\USUARIO\Macros\FACTURAS Y LISTADOS\1130 - Urbanización Alborada 1-4 PH\Urbanización Alborada 1-4 PH - Facturas del mes de_110.pdf</v>
      </c>
      <c r="B111">
        <v>110</v>
      </c>
      <c r="D111" t="str">
        <f t="shared" si="3"/>
        <v>Urbanización Alborada 1-4 PH - Facturas del mes de_110.pdf</v>
      </c>
    </row>
    <row r="112" spans="1:4" x14ac:dyDescent="0.25">
      <c r="A112" t="str">
        <f t="shared" si="2"/>
        <v>C:\Users\USUARIO\Macros\FACTURAS Y LISTADOS\1130 - Urbanización Alborada 1-4 PH\Urbanización Alborada 1-4 PH - Facturas del mes de_111.pdf</v>
      </c>
      <c r="B112">
        <v>111</v>
      </c>
      <c r="D112" t="str">
        <f t="shared" si="3"/>
        <v>Urbanización Alborada 1-4 PH - Facturas del mes de_111.pdf</v>
      </c>
    </row>
    <row r="113" spans="1:4" x14ac:dyDescent="0.25">
      <c r="A113" t="str">
        <f t="shared" si="2"/>
        <v>C:\Users\USUARIO\Macros\FACTURAS Y LISTADOS\1130 - Urbanización Alborada 1-4 PH\Urbanización Alborada 1-4 PH - Facturas del mes de_112.pdf</v>
      </c>
      <c r="B113">
        <v>112</v>
      </c>
      <c r="D113" t="str">
        <f t="shared" si="3"/>
        <v>Urbanización Alborada 1-4 PH - Facturas del mes de_112.pdf</v>
      </c>
    </row>
    <row r="114" spans="1:4" x14ac:dyDescent="0.25">
      <c r="A114" t="str">
        <f t="shared" si="2"/>
        <v>C:\Users\USUARIO\Macros\FACTURAS Y LISTADOS\1130 - Urbanización Alborada 1-4 PH\Urbanización Alborada 1-4 PH - Facturas del mes de_113.pdf</v>
      </c>
      <c r="B114">
        <v>113</v>
      </c>
      <c r="D114" t="str">
        <f t="shared" si="3"/>
        <v>Urbanización Alborada 1-4 PH - Facturas del mes de_113.pdf</v>
      </c>
    </row>
    <row r="115" spans="1:4" x14ac:dyDescent="0.25">
      <c r="A115" t="str">
        <f t="shared" si="2"/>
        <v>C:\Users\USUARIO\Macros\FACTURAS Y LISTADOS\1130 - Urbanización Alborada 1-4 PH\Urbanización Alborada 1-4 PH - Facturas del mes de_114.pdf</v>
      </c>
      <c r="B115">
        <v>114</v>
      </c>
      <c r="D115" t="str">
        <f t="shared" si="3"/>
        <v>Urbanización Alborada 1-4 PH - Facturas del mes de_114.pdf</v>
      </c>
    </row>
    <row r="116" spans="1:4" x14ac:dyDescent="0.25">
      <c r="A116" t="str">
        <f t="shared" si="2"/>
        <v>C:\Users\USUARIO\Macros\FACTURAS Y LISTADOS\1130 - Urbanización Alborada 1-4 PH\Urbanización Alborada 1-4 PH - Facturas del mes de_115.pdf</v>
      </c>
      <c r="B116">
        <v>115</v>
      </c>
      <c r="D116" t="str">
        <f t="shared" si="3"/>
        <v>Urbanización Alborada 1-4 PH - Facturas del mes de_115.pdf</v>
      </c>
    </row>
    <row r="117" spans="1:4" x14ac:dyDescent="0.25">
      <c r="A117" t="str">
        <f t="shared" si="2"/>
        <v>C:\Users\USUARIO\Macros\FACTURAS Y LISTADOS\1130 - Urbanización Alborada 1-4 PH\Urbanización Alborada 1-4 PH - Facturas del mes de_116.pdf</v>
      </c>
      <c r="B117">
        <v>116</v>
      </c>
      <c r="D117" t="str">
        <f t="shared" si="3"/>
        <v>Urbanización Alborada 1-4 PH - Facturas del mes de_116.pdf</v>
      </c>
    </row>
    <row r="118" spans="1:4" x14ac:dyDescent="0.25">
      <c r="A118" t="str">
        <f t="shared" si="2"/>
        <v>C:\Users\USUARIO\Macros\FACTURAS Y LISTADOS\1130 - Urbanización Alborada 1-4 PH\Urbanización Alborada 1-4 PH - Facturas del mes de_117.pdf</v>
      </c>
      <c r="B118">
        <v>117</v>
      </c>
      <c r="D118" t="str">
        <f t="shared" si="3"/>
        <v>Urbanización Alborada 1-4 PH - Facturas del mes de_117.pdf</v>
      </c>
    </row>
    <row r="119" spans="1:4" x14ac:dyDescent="0.25">
      <c r="A119" t="str">
        <f t="shared" si="2"/>
        <v>C:\Users\USUARIO\Macros\FACTURAS Y LISTADOS\1130 - Urbanización Alborada 1-4 PH\Urbanización Alborada 1-4 PH - Facturas del mes de_118.pdf</v>
      </c>
      <c r="B119">
        <v>118</v>
      </c>
      <c r="D119" t="str">
        <f t="shared" si="3"/>
        <v>Urbanización Alborada 1-4 PH - Facturas del mes de_118.pdf</v>
      </c>
    </row>
    <row r="120" spans="1:4" x14ac:dyDescent="0.25">
      <c r="A120" t="str">
        <f t="shared" si="2"/>
        <v>C:\Users\USUARIO\Macros\FACTURAS Y LISTADOS\1130 - Urbanización Alborada 1-4 PH\Urbanización Alborada 1-4 PH - Facturas del mes de_119.pdf</v>
      </c>
      <c r="B120">
        <v>119</v>
      </c>
      <c r="D120" t="str">
        <f t="shared" si="3"/>
        <v>Urbanización Alborada 1-4 PH - Facturas del mes de_119.pdf</v>
      </c>
    </row>
    <row r="121" spans="1:4" x14ac:dyDescent="0.25">
      <c r="A121" t="str">
        <f t="shared" si="2"/>
        <v>C:\Users\USUARIO\Macros\FACTURAS Y LISTADOS\1130 - Urbanización Alborada 1-4 PH\Urbanización Alborada 1-4 PH - Facturas del mes de_120.pdf</v>
      </c>
      <c r="B121">
        <v>120</v>
      </c>
      <c r="D121" t="str">
        <f t="shared" si="3"/>
        <v>Urbanización Alborada 1-4 PH - Facturas del mes de_120.pdf</v>
      </c>
    </row>
    <row r="122" spans="1:4" x14ac:dyDescent="0.25">
      <c r="A122" t="str">
        <f t="shared" si="2"/>
        <v>C:\Users\USUARIO\Macros\FACTURAS Y LISTADOS\1130 - Urbanización Alborada 1-4 PH\Urbanización Alborada 1-4 PH - Facturas del mes de_121.pdf</v>
      </c>
      <c r="B122">
        <v>121</v>
      </c>
      <c r="D122" t="str">
        <f t="shared" si="3"/>
        <v>Urbanización Alborada 1-4 PH - Facturas del mes de_121.pdf</v>
      </c>
    </row>
    <row r="123" spans="1:4" x14ac:dyDescent="0.25">
      <c r="A123" t="str">
        <f t="shared" si="2"/>
        <v>C:\Users\USUARIO\Macros\FACTURAS Y LISTADOS\1130 - Urbanización Alborada 1-4 PH\Urbanización Alborada 1-4 PH - Facturas del mes de_122.pdf</v>
      </c>
      <c r="B123">
        <v>122</v>
      </c>
      <c r="D123" t="str">
        <f t="shared" si="3"/>
        <v>Urbanización Alborada 1-4 PH - Facturas del mes de_122.pdf</v>
      </c>
    </row>
    <row r="124" spans="1:4" x14ac:dyDescent="0.25">
      <c r="A124" t="str">
        <f t="shared" si="2"/>
        <v>C:\Users\USUARIO\Macros\FACTURAS Y LISTADOS\1130 - Urbanización Alborada 1-4 PH\Urbanización Alborada 1-4 PH - Facturas del mes de_123.pdf</v>
      </c>
      <c r="B124">
        <v>123</v>
      </c>
      <c r="D124" t="str">
        <f t="shared" si="3"/>
        <v>Urbanización Alborada 1-4 PH - Facturas del mes de_123.pdf</v>
      </c>
    </row>
    <row r="125" spans="1:4" x14ac:dyDescent="0.25">
      <c r="A125" t="str">
        <f t="shared" si="2"/>
        <v>C:\Users\USUARIO\Macros\FACTURAS Y LISTADOS\1130 - Urbanización Alborada 1-4 PH\Urbanización Alborada 1-4 PH - Facturas del mes de_124.pdf</v>
      </c>
      <c r="B125">
        <v>124</v>
      </c>
      <c r="D125" t="str">
        <f t="shared" si="3"/>
        <v>Urbanización Alborada 1-4 PH - Facturas del mes de_124.pdf</v>
      </c>
    </row>
    <row r="126" spans="1:4" x14ac:dyDescent="0.25">
      <c r="A126" t="str">
        <f t="shared" si="2"/>
        <v>C:\Users\USUARIO\Macros\FACTURAS Y LISTADOS\1130 - Urbanización Alborada 1-4 PH\Urbanización Alborada 1-4 PH - Facturas del mes de_125.pdf</v>
      </c>
      <c r="B126">
        <v>125</v>
      </c>
      <c r="D126" t="str">
        <f t="shared" si="3"/>
        <v>Urbanización Alborada 1-4 PH - Facturas del mes de_125.pdf</v>
      </c>
    </row>
    <row r="127" spans="1:4" x14ac:dyDescent="0.25">
      <c r="A127" t="str">
        <f t="shared" si="2"/>
        <v>C:\Users\USUARIO\Macros\FACTURAS Y LISTADOS\1130 - Urbanización Alborada 1-4 PH\Urbanización Alborada 1-4 PH - Facturas del mes de_126.pdf</v>
      </c>
      <c r="B127">
        <v>126</v>
      </c>
      <c r="D127" t="str">
        <f t="shared" si="3"/>
        <v>Urbanización Alborada 1-4 PH - Facturas del mes de_126.pdf</v>
      </c>
    </row>
    <row r="128" spans="1:4" x14ac:dyDescent="0.25">
      <c r="A128" t="str">
        <f t="shared" si="2"/>
        <v>C:\Users\USUARIO\Macros\FACTURAS Y LISTADOS\1130 - Urbanización Alborada 1-4 PH\Urbanización Alborada 1-4 PH - Facturas del mes de_127.pdf</v>
      </c>
      <c r="B128">
        <v>127</v>
      </c>
      <c r="D128" t="str">
        <f t="shared" si="3"/>
        <v>Urbanización Alborada 1-4 PH - Facturas del mes de_127.pdf</v>
      </c>
    </row>
    <row r="129" spans="1:4" x14ac:dyDescent="0.25">
      <c r="A129" t="str">
        <f t="shared" si="2"/>
        <v>C:\Users\USUARIO\Macros\FACTURAS Y LISTADOS\1130 - Urbanización Alborada 1-4 PH\Urbanización Alborada 1-4 PH - Facturas del mes de_128.pdf</v>
      </c>
      <c r="B129">
        <v>128</v>
      </c>
      <c r="D129" t="str">
        <f t="shared" si="3"/>
        <v>Urbanización Alborada 1-4 PH - Facturas del mes de_128.pdf</v>
      </c>
    </row>
    <row r="130" spans="1:4" x14ac:dyDescent="0.25">
      <c r="A130" t="str">
        <f t="shared" si="2"/>
        <v>C:\Users\USUARIO\Macros\FACTURAS Y LISTADOS\1130 - Urbanización Alborada 1-4 PH\Urbanización Alborada 1-4 PH - Facturas del mes de_129.pdf</v>
      </c>
      <c r="B130">
        <v>129</v>
      </c>
      <c r="D130" t="str">
        <f t="shared" si="3"/>
        <v>Urbanización Alborada 1-4 PH - Facturas del mes de_129.pdf</v>
      </c>
    </row>
    <row r="131" spans="1:4" x14ac:dyDescent="0.25">
      <c r="A131" t="str">
        <f t="shared" ref="A131:A194" si="4">CONCATENATE($A$1,$D$1,$E$1,$E$2,$B$1,B131,$C$1)</f>
        <v>C:\Users\USUARIO\Macros\FACTURAS Y LISTADOS\1130 - Urbanización Alborada 1-4 PH\Urbanización Alborada 1-4 PH - Facturas del mes de_130.pdf</v>
      </c>
      <c r="B131">
        <v>130</v>
      </c>
      <c r="D131" t="str">
        <f t="shared" ref="D131:D194" si="5">CONCATENATE($D$1,$E$1,$E$2,$B$1,B131,$C$1)</f>
        <v>Urbanización Alborada 1-4 PH - Facturas del mes de_130.pdf</v>
      </c>
    </row>
    <row r="132" spans="1:4" x14ac:dyDescent="0.25">
      <c r="A132" t="str">
        <f t="shared" si="4"/>
        <v>C:\Users\USUARIO\Macros\FACTURAS Y LISTADOS\1130 - Urbanización Alborada 1-4 PH\Urbanización Alborada 1-4 PH - Facturas del mes de_131.pdf</v>
      </c>
      <c r="B132">
        <v>131</v>
      </c>
      <c r="D132" t="str">
        <f t="shared" si="5"/>
        <v>Urbanización Alborada 1-4 PH - Facturas del mes de_131.pdf</v>
      </c>
    </row>
    <row r="133" spans="1:4" x14ac:dyDescent="0.25">
      <c r="A133" t="str">
        <f t="shared" si="4"/>
        <v>C:\Users\USUARIO\Macros\FACTURAS Y LISTADOS\1130 - Urbanización Alborada 1-4 PH\Urbanización Alborada 1-4 PH - Facturas del mes de_132.pdf</v>
      </c>
      <c r="B133">
        <v>132</v>
      </c>
      <c r="D133" t="str">
        <f t="shared" si="5"/>
        <v>Urbanización Alborada 1-4 PH - Facturas del mes de_132.pdf</v>
      </c>
    </row>
    <row r="134" spans="1:4" x14ac:dyDescent="0.25">
      <c r="A134" t="str">
        <f t="shared" si="4"/>
        <v>C:\Users\USUARIO\Macros\FACTURAS Y LISTADOS\1130 - Urbanización Alborada 1-4 PH\Urbanización Alborada 1-4 PH - Facturas del mes de_133.pdf</v>
      </c>
      <c r="B134">
        <v>133</v>
      </c>
      <c r="D134" t="str">
        <f t="shared" si="5"/>
        <v>Urbanización Alborada 1-4 PH - Facturas del mes de_133.pdf</v>
      </c>
    </row>
    <row r="135" spans="1:4" x14ac:dyDescent="0.25">
      <c r="A135" t="str">
        <f t="shared" si="4"/>
        <v>C:\Users\USUARIO\Macros\FACTURAS Y LISTADOS\1130 - Urbanización Alborada 1-4 PH\Urbanización Alborada 1-4 PH - Facturas del mes de_134.pdf</v>
      </c>
      <c r="B135">
        <v>134</v>
      </c>
      <c r="D135" t="str">
        <f t="shared" si="5"/>
        <v>Urbanización Alborada 1-4 PH - Facturas del mes de_134.pdf</v>
      </c>
    </row>
    <row r="136" spans="1:4" x14ac:dyDescent="0.25">
      <c r="A136" t="str">
        <f t="shared" si="4"/>
        <v>C:\Users\USUARIO\Macros\FACTURAS Y LISTADOS\1130 - Urbanización Alborada 1-4 PH\Urbanización Alborada 1-4 PH - Facturas del mes de_135.pdf</v>
      </c>
      <c r="B136">
        <v>135</v>
      </c>
      <c r="D136" t="str">
        <f t="shared" si="5"/>
        <v>Urbanización Alborada 1-4 PH - Facturas del mes de_135.pdf</v>
      </c>
    </row>
    <row r="137" spans="1:4" x14ac:dyDescent="0.25">
      <c r="A137" t="str">
        <f t="shared" si="4"/>
        <v>C:\Users\USUARIO\Macros\FACTURAS Y LISTADOS\1130 - Urbanización Alborada 1-4 PH\Urbanización Alborada 1-4 PH - Facturas del mes de_136.pdf</v>
      </c>
      <c r="B137">
        <v>136</v>
      </c>
      <c r="D137" t="str">
        <f t="shared" si="5"/>
        <v>Urbanización Alborada 1-4 PH - Facturas del mes de_136.pdf</v>
      </c>
    </row>
    <row r="138" spans="1:4" x14ac:dyDescent="0.25">
      <c r="A138" t="str">
        <f t="shared" si="4"/>
        <v>C:\Users\USUARIO\Macros\FACTURAS Y LISTADOS\1130 - Urbanización Alborada 1-4 PH\Urbanización Alborada 1-4 PH - Facturas del mes de_137.pdf</v>
      </c>
      <c r="B138">
        <v>137</v>
      </c>
      <c r="D138" t="str">
        <f t="shared" si="5"/>
        <v>Urbanización Alborada 1-4 PH - Facturas del mes de_137.pdf</v>
      </c>
    </row>
    <row r="139" spans="1:4" x14ac:dyDescent="0.25">
      <c r="A139" t="str">
        <f t="shared" si="4"/>
        <v>C:\Users\USUARIO\Macros\FACTURAS Y LISTADOS\1130 - Urbanización Alborada 1-4 PH\Urbanización Alborada 1-4 PH - Facturas del mes de_138.pdf</v>
      </c>
      <c r="B139">
        <v>138</v>
      </c>
      <c r="D139" t="str">
        <f t="shared" si="5"/>
        <v>Urbanización Alborada 1-4 PH - Facturas del mes de_138.pdf</v>
      </c>
    </row>
    <row r="140" spans="1:4" x14ac:dyDescent="0.25">
      <c r="A140" t="str">
        <f t="shared" si="4"/>
        <v>C:\Users\USUARIO\Macros\FACTURAS Y LISTADOS\1130 - Urbanización Alborada 1-4 PH\Urbanización Alborada 1-4 PH - Facturas del mes de_139.pdf</v>
      </c>
      <c r="B140">
        <v>139</v>
      </c>
      <c r="D140" t="str">
        <f t="shared" si="5"/>
        <v>Urbanización Alborada 1-4 PH - Facturas del mes de_139.pdf</v>
      </c>
    </row>
    <row r="141" spans="1:4" x14ac:dyDescent="0.25">
      <c r="A141" t="str">
        <f t="shared" si="4"/>
        <v>C:\Users\USUARIO\Macros\FACTURAS Y LISTADOS\1130 - Urbanización Alborada 1-4 PH\Urbanización Alborada 1-4 PH - Facturas del mes de_140.pdf</v>
      </c>
      <c r="B141">
        <v>140</v>
      </c>
      <c r="D141" t="str">
        <f t="shared" si="5"/>
        <v>Urbanización Alborada 1-4 PH - Facturas del mes de_140.pdf</v>
      </c>
    </row>
    <row r="142" spans="1:4" x14ac:dyDescent="0.25">
      <c r="A142" t="str">
        <f t="shared" si="4"/>
        <v>C:\Users\USUARIO\Macros\FACTURAS Y LISTADOS\1130 - Urbanización Alborada 1-4 PH\Urbanización Alborada 1-4 PH - Facturas del mes de_141.pdf</v>
      </c>
      <c r="B142">
        <v>141</v>
      </c>
      <c r="D142" t="str">
        <f t="shared" si="5"/>
        <v>Urbanización Alborada 1-4 PH - Facturas del mes de_141.pdf</v>
      </c>
    </row>
    <row r="143" spans="1:4" x14ac:dyDescent="0.25">
      <c r="A143" t="str">
        <f t="shared" si="4"/>
        <v>C:\Users\USUARIO\Macros\FACTURAS Y LISTADOS\1130 - Urbanización Alborada 1-4 PH\Urbanización Alborada 1-4 PH - Facturas del mes de_142.pdf</v>
      </c>
      <c r="B143">
        <v>142</v>
      </c>
      <c r="D143" t="str">
        <f t="shared" si="5"/>
        <v>Urbanización Alborada 1-4 PH - Facturas del mes de_142.pdf</v>
      </c>
    </row>
    <row r="144" spans="1:4" x14ac:dyDescent="0.25">
      <c r="A144" t="str">
        <f t="shared" si="4"/>
        <v>C:\Users\USUARIO\Macros\FACTURAS Y LISTADOS\1130 - Urbanización Alborada 1-4 PH\Urbanización Alborada 1-4 PH - Facturas del mes de_143.pdf</v>
      </c>
      <c r="B144">
        <v>143</v>
      </c>
      <c r="D144" t="str">
        <f t="shared" si="5"/>
        <v>Urbanización Alborada 1-4 PH - Facturas del mes de_143.pdf</v>
      </c>
    </row>
    <row r="145" spans="1:4" x14ac:dyDescent="0.25">
      <c r="A145" t="str">
        <f t="shared" si="4"/>
        <v>C:\Users\USUARIO\Macros\FACTURAS Y LISTADOS\1130 - Urbanización Alborada 1-4 PH\Urbanización Alborada 1-4 PH - Facturas del mes de_144.pdf</v>
      </c>
      <c r="B145">
        <v>144</v>
      </c>
      <c r="D145" t="str">
        <f t="shared" si="5"/>
        <v>Urbanización Alborada 1-4 PH - Facturas del mes de_144.pdf</v>
      </c>
    </row>
    <row r="146" spans="1:4" x14ac:dyDescent="0.25">
      <c r="A146" t="str">
        <f t="shared" si="4"/>
        <v>C:\Users\USUARIO\Macros\FACTURAS Y LISTADOS\1130 - Urbanización Alborada 1-4 PH\Urbanización Alborada 1-4 PH - Facturas del mes de_145.pdf</v>
      </c>
      <c r="B146">
        <v>145</v>
      </c>
      <c r="D146" t="str">
        <f t="shared" si="5"/>
        <v>Urbanización Alborada 1-4 PH - Facturas del mes de_145.pdf</v>
      </c>
    </row>
    <row r="147" spans="1:4" x14ac:dyDescent="0.25">
      <c r="A147" t="str">
        <f t="shared" si="4"/>
        <v>C:\Users\USUARIO\Macros\FACTURAS Y LISTADOS\1130 - Urbanización Alborada 1-4 PH\Urbanización Alborada 1-4 PH - Facturas del mes de_146.pdf</v>
      </c>
      <c r="B147">
        <v>146</v>
      </c>
      <c r="D147" t="str">
        <f t="shared" si="5"/>
        <v>Urbanización Alborada 1-4 PH - Facturas del mes de_146.pdf</v>
      </c>
    </row>
    <row r="148" spans="1:4" x14ac:dyDescent="0.25">
      <c r="A148" t="str">
        <f t="shared" si="4"/>
        <v>C:\Users\USUARIO\Macros\FACTURAS Y LISTADOS\1130 - Urbanización Alborada 1-4 PH\Urbanización Alborada 1-4 PH - Facturas del mes de_147.pdf</v>
      </c>
      <c r="B148">
        <v>147</v>
      </c>
      <c r="D148" t="str">
        <f t="shared" si="5"/>
        <v>Urbanización Alborada 1-4 PH - Facturas del mes de_147.pdf</v>
      </c>
    </row>
    <row r="149" spans="1:4" x14ac:dyDescent="0.25">
      <c r="A149" t="str">
        <f t="shared" si="4"/>
        <v>C:\Users\USUARIO\Macros\FACTURAS Y LISTADOS\1130 - Urbanización Alborada 1-4 PH\Urbanización Alborada 1-4 PH - Facturas del mes de_148.pdf</v>
      </c>
      <c r="B149">
        <v>148</v>
      </c>
      <c r="D149" t="str">
        <f t="shared" si="5"/>
        <v>Urbanización Alborada 1-4 PH - Facturas del mes de_148.pdf</v>
      </c>
    </row>
    <row r="150" spans="1:4" x14ac:dyDescent="0.25">
      <c r="A150" t="str">
        <f t="shared" si="4"/>
        <v>C:\Users\USUARIO\Macros\FACTURAS Y LISTADOS\1130 - Urbanización Alborada 1-4 PH\Urbanización Alborada 1-4 PH - Facturas del mes de_149.pdf</v>
      </c>
      <c r="B150">
        <v>149</v>
      </c>
      <c r="D150" t="str">
        <f t="shared" si="5"/>
        <v>Urbanización Alborada 1-4 PH - Facturas del mes de_149.pdf</v>
      </c>
    </row>
    <row r="151" spans="1:4" x14ac:dyDescent="0.25">
      <c r="A151" t="str">
        <f t="shared" si="4"/>
        <v>C:\Users\USUARIO\Macros\FACTURAS Y LISTADOS\1130 - Urbanización Alborada 1-4 PH\Urbanización Alborada 1-4 PH - Facturas del mes de_150.pdf</v>
      </c>
      <c r="B151">
        <v>150</v>
      </c>
      <c r="D151" t="str">
        <f t="shared" si="5"/>
        <v>Urbanización Alborada 1-4 PH - Facturas del mes de_150.pdf</v>
      </c>
    </row>
    <row r="152" spans="1:4" x14ac:dyDescent="0.25">
      <c r="A152" t="str">
        <f t="shared" si="4"/>
        <v>C:\Users\USUARIO\Macros\FACTURAS Y LISTADOS\1130 - Urbanización Alborada 1-4 PH\Urbanización Alborada 1-4 PH - Facturas del mes de_151.pdf</v>
      </c>
      <c r="B152">
        <v>151</v>
      </c>
      <c r="D152" t="str">
        <f t="shared" si="5"/>
        <v>Urbanización Alborada 1-4 PH - Facturas del mes de_151.pdf</v>
      </c>
    </row>
    <row r="153" spans="1:4" x14ac:dyDescent="0.25">
      <c r="A153" t="str">
        <f t="shared" si="4"/>
        <v>C:\Users\USUARIO\Macros\FACTURAS Y LISTADOS\1130 - Urbanización Alborada 1-4 PH\Urbanización Alborada 1-4 PH - Facturas del mes de_152.pdf</v>
      </c>
      <c r="B153">
        <v>152</v>
      </c>
      <c r="D153" t="str">
        <f t="shared" si="5"/>
        <v>Urbanización Alborada 1-4 PH - Facturas del mes de_152.pdf</v>
      </c>
    </row>
    <row r="154" spans="1:4" x14ac:dyDescent="0.25">
      <c r="A154" t="str">
        <f t="shared" si="4"/>
        <v>C:\Users\USUARIO\Macros\FACTURAS Y LISTADOS\1130 - Urbanización Alborada 1-4 PH\Urbanización Alborada 1-4 PH - Facturas del mes de_153.pdf</v>
      </c>
      <c r="B154">
        <v>153</v>
      </c>
      <c r="D154" t="str">
        <f t="shared" si="5"/>
        <v>Urbanización Alborada 1-4 PH - Facturas del mes de_153.pdf</v>
      </c>
    </row>
    <row r="155" spans="1:4" x14ac:dyDescent="0.25">
      <c r="A155" t="str">
        <f t="shared" si="4"/>
        <v>C:\Users\USUARIO\Macros\FACTURAS Y LISTADOS\1130 - Urbanización Alborada 1-4 PH\Urbanización Alborada 1-4 PH - Facturas del mes de_154.pdf</v>
      </c>
      <c r="B155">
        <v>154</v>
      </c>
      <c r="D155" t="str">
        <f t="shared" si="5"/>
        <v>Urbanización Alborada 1-4 PH - Facturas del mes de_154.pdf</v>
      </c>
    </row>
    <row r="156" spans="1:4" x14ac:dyDescent="0.25">
      <c r="A156" t="str">
        <f t="shared" si="4"/>
        <v>C:\Users\USUARIO\Macros\FACTURAS Y LISTADOS\1130 - Urbanización Alborada 1-4 PH\Urbanización Alborada 1-4 PH - Facturas del mes de_155.pdf</v>
      </c>
      <c r="B156">
        <v>155</v>
      </c>
      <c r="D156" t="str">
        <f t="shared" si="5"/>
        <v>Urbanización Alborada 1-4 PH - Facturas del mes de_155.pdf</v>
      </c>
    </row>
    <row r="157" spans="1:4" x14ac:dyDescent="0.25">
      <c r="A157" t="str">
        <f t="shared" si="4"/>
        <v>C:\Users\USUARIO\Macros\FACTURAS Y LISTADOS\1130 - Urbanización Alborada 1-4 PH\Urbanización Alborada 1-4 PH - Facturas del mes de_156.pdf</v>
      </c>
      <c r="B157">
        <v>156</v>
      </c>
      <c r="D157" t="str">
        <f t="shared" si="5"/>
        <v>Urbanización Alborada 1-4 PH - Facturas del mes de_156.pdf</v>
      </c>
    </row>
    <row r="158" spans="1:4" x14ac:dyDescent="0.25">
      <c r="A158" t="str">
        <f t="shared" si="4"/>
        <v>C:\Users\USUARIO\Macros\FACTURAS Y LISTADOS\1130 - Urbanización Alborada 1-4 PH\Urbanización Alborada 1-4 PH - Facturas del mes de_157.pdf</v>
      </c>
      <c r="B158">
        <v>157</v>
      </c>
      <c r="D158" t="str">
        <f t="shared" si="5"/>
        <v>Urbanización Alborada 1-4 PH - Facturas del mes de_157.pdf</v>
      </c>
    </row>
    <row r="159" spans="1:4" x14ac:dyDescent="0.25">
      <c r="A159" t="str">
        <f t="shared" si="4"/>
        <v>C:\Users\USUARIO\Macros\FACTURAS Y LISTADOS\1130 - Urbanización Alborada 1-4 PH\Urbanización Alborada 1-4 PH - Facturas del mes de_158.pdf</v>
      </c>
      <c r="B159">
        <v>158</v>
      </c>
      <c r="D159" t="str">
        <f t="shared" si="5"/>
        <v>Urbanización Alborada 1-4 PH - Facturas del mes de_158.pdf</v>
      </c>
    </row>
    <row r="160" spans="1:4" x14ac:dyDescent="0.25">
      <c r="A160" t="str">
        <f t="shared" si="4"/>
        <v>C:\Users\USUARIO\Macros\FACTURAS Y LISTADOS\1130 - Urbanización Alborada 1-4 PH\Urbanización Alborada 1-4 PH - Facturas del mes de_159.pdf</v>
      </c>
      <c r="B160">
        <v>159</v>
      </c>
      <c r="D160" t="str">
        <f t="shared" si="5"/>
        <v>Urbanización Alborada 1-4 PH - Facturas del mes de_159.pdf</v>
      </c>
    </row>
    <row r="161" spans="1:4" x14ac:dyDescent="0.25">
      <c r="A161" t="str">
        <f t="shared" si="4"/>
        <v>C:\Users\USUARIO\Macros\FACTURAS Y LISTADOS\1130 - Urbanización Alborada 1-4 PH\Urbanización Alborada 1-4 PH - Facturas del mes de_160.pdf</v>
      </c>
      <c r="B161">
        <v>160</v>
      </c>
      <c r="D161" t="str">
        <f t="shared" si="5"/>
        <v>Urbanización Alborada 1-4 PH - Facturas del mes de_160.pdf</v>
      </c>
    </row>
    <row r="162" spans="1:4" x14ac:dyDescent="0.25">
      <c r="A162" t="str">
        <f t="shared" si="4"/>
        <v>C:\Users\USUARIO\Macros\FACTURAS Y LISTADOS\1130 - Urbanización Alborada 1-4 PH\Urbanización Alborada 1-4 PH - Facturas del mes de_161.pdf</v>
      </c>
      <c r="B162">
        <v>161</v>
      </c>
      <c r="D162" t="str">
        <f t="shared" si="5"/>
        <v>Urbanización Alborada 1-4 PH - Facturas del mes de_161.pdf</v>
      </c>
    </row>
    <row r="163" spans="1:4" x14ac:dyDescent="0.25">
      <c r="A163" t="str">
        <f t="shared" si="4"/>
        <v>C:\Users\USUARIO\Macros\FACTURAS Y LISTADOS\1130 - Urbanización Alborada 1-4 PH\Urbanización Alborada 1-4 PH - Facturas del mes de_162.pdf</v>
      </c>
      <c r="B163">
        <v>162</v>
      </c>
      <c r="D163" t="str">
        <f t="shared" si="5"/>
        <v>Urbanización Alborada 1-4 PH - Facturas del mes de_162.pdf</v>
      </c>
    </row>
    <row r="164" spans="1:4" x14ac:dyDescent="0.25">
      <c r="A164" t="str">
        <f t="shared" si="4"/>
        <v>C:\Users\USUARIO\Macros\FACTURAS Y LISTADOS\1130 - Urbanización Alborada 1-4 PH\Urbanización Alborada 1-4 PH - Facturas del mes de_163.pdf</v>
      </c>
      <c r="B164">
        <v>163</v>
      </c>
      <c r="D164" t="str">
        <f t="shared" si="5"/>
        <v>Urbanización Alborada 1-4 PH - Facturas del mes de_163.pdf</v>
      </c>
    </row>
    <row r="165" spans="1:4" x14ac:dyDescent="0.25">
      <c r="A165" t="str">
        <f t="shared" si="4"/>
        <v>C:\Users\USUARIO\Macros\FACTURAS Y LISTADOS\1130 - Urbanización Alborada 1-4 PH\Urbanización Alborada 1-4 PH - Facturas del mes de_164.pdf</v>
      </c>
      <c r="B165">
        <v>164</v>
      </c>
      <c r="D165" t="str">
        <f t="shared" si="5"/>
        <v>Urbanización Alborada 1-4 PH - Facturas del mes de_164.pdf</v>
      </c>
    </row>
    <row r="166" spans="1:4" x14ac:dyDescent="0.25">
      <c r="A166" t="str">
        <f t="shared" si="4"/>
        <v>C:\Users\USUARIO\Macros\FACTURAS Y LISTADOS\1130 - Urbanización Alborada 1-4 PH\Urbanización Alborada 1-4 PH - Facturas del mes de_165.pdf</v>
      </c>
      <c r="B166">
        <v>165</v>
      </c>
      <c r="D166" t="str">
        <f t="shared" si="5"/>
        <v>Urbanización Alborada 1-4 PH - Facturas del mes de_165.pdf</v>
      </c>
    </row>
    <row r="167" spans="1:4" x14ac:dyDescent="0.25">
      <c r="A167" t="str">
        <f t="shared" si="4"/>
        <v>C:\Users\USUARIO\Macros\FACTURAS Y LISTADOS\1130 - Urbanización Alborada 1-4 PH\Urbanización Alborada 1-4 PH - Facturas del mes de_166.pdf</v>
      </c>
      <c r="B167">
        <v>166</v>
      </c>
      <c r="D167" t="str">
        <f t="shared" si="5"/>
        <v>Urbanización Alborada 1-4 PH - Facturas del mes de_166.pdf</v>
      </c>
    </row>
    <row r="168" spans="1:4" x14ac:dyDescent="0.25">
      <c r="A168" t="str">
        <f t="shared" si="4"/>
        <v>C:\Users\USUARIO\Macros\FACTURAS Y LISTADOS\1130 - Urbanización Alborada 1-4 PH\Urbanización Alborada 1-4 PH - Facturas del mes de_167.pdf</v>
      </c>
      <c r="B168">
        <v>167</v>
      </c>
      <c r="D168" t="str">
        <f t="shared" si="5"/>
        <v>Urbanización Alborada 1-4 PH - Facturas del mes de_167.pdf</v>
      </c>
    </row>
    <row r="169" spans="1:4" x14ac:dyDescent="0.25">
      <c r="A169" t="str">
        <f t="shared" si="4"/>
        <v>C:\Users\USUARIO\Macros\FACTURAS Y LISTADOS\1130 - Urbanización Alborada 1-4 PH\Urbanización Alborada 1-4 PH - Facturas del mes de_168.pdf</v>
      </c>
      <c r="B169">
        <v>168</v>
      </c>
      <c r="D169" t="str">
        <f t="shared" si="5"/>
        <v>Urbanización Alborada 1-4 PH - Facturas del mes de_168.pdf</v>
      </c>
    </row>
    <row r="170" spans="1:4" x14ac:dyDescent="0.25">
      <c r="A170" t="str">
        <f t="shared" si="4"/>
        <v>C:\Users\USUARIO\Macros\FACTURAS Y LISTADOS\1130 - Urbanización Alborada 1-4 PH\Urbanización Alborada 1-4 PH - Facturas del mes de_169.pdf</v>
      </c>
      <c r="B170">
        <v>169</v>
      </c>
      <c r="D170" t="str">
        <f t="shared" si="5"/>
        <v>Urbanización Alborada 1-4 PH - Facturas del mes de_169.pdf</v>
      </c>
    </row>
    <row r="171" spans="1:4" x14ac:dyDescent="0.25">
      <c r="A171" t="str">
        <f t="shared" si="4"/>
        <v>C:\Users\USUARIO\Macros\FACTURAS Y LISTADOS\1130 - Urbanización Alborada 1-4 PH\Urbanización Alborada 1-4 PH - Facturas del mes de_170.pdf</v>
      </c>
      <c r="B171">
        <v>170</v>
      </c>
      <c r="D171" t="str">
        <f t="shared" si="5"/>
        <v>Urbanización Alborada 1-4 PH - Facturas del mes de_170.pdf</v>
      </c>
    </row>
    <row r="172" spans="1:4" x14ac:dyDescent="0.25">
      <c r="A172" t="str">
        <f t="shared" si="4"/>
        <v>C:\Users\USUARIO\Macros\FACTURAS Y LISTADOS\1130 - Urbanización Alborada 1-4 PH\Urbanización Alborada 1-4 PH - Facturas del mes de_171.pdf</v>
      </c>
      <c r="B172">
        <v>171</v>
      </c>
      <c r="D172" t="str">
        <f t="shared" si="5"/>
        <v>Urbanización Alborada 1-4 PH - Facturas del mes de_171.pdf</v>
      </c>
    </row>
    <row r="173" spans="1:4" x14ac:dyDescent="0.25">
      <c r="A173" t="str">
        <f t="shared" si="4"/>
        <v>C:\Users\USUARIO\Macros\FACTURAS Y LISTADOS\1130 - Urbanización Alborada 1-4 PH\Urbanización Alborada 1-4 PH - Facturas del mes de_172.pdf</v>
      </c>
      <c r="B173">
        <v>172</v>
      </c>
      <c r="D173" t="str">
        <f t="shared" si="5"/>
        <v>Urbanización Alborada 1-4 PH - Facturas del mes de_172.pdf</v>
      </c>
    </row>
    <row r="174" spans="1:4" x14ac:dyDescent="0.25">
      <c r="A174" t="str">
        <f t="shared" si="4"/>
        <v>C:\Users\USUARIO\Macros\FACTURAS Y LISTADOS\1130 - Urbanización Alborada 1-4 PH\Urbanización Alborada 1-4 PH - Facturas del mes de_173.pdf</v>
      </c>
      <c r="B174">
        <v>173</v>
      </c>
      <c r="D174" t="str">
        <f t="shared" si="5"/>
        <v>Urbanización Alborada 1-4 PH - Facturas del mes de_173.pdf</v>
      </c>
    </row>
    <row r="175" spans="1:4" x14ac:dyDescent="0.25">
      <c r="A175" t="str">
        <f t="shared" si="4"/>
        <v>C:\Users\USUARIO\Macros\FACTURAS Y LISTADOS\1130 - Urbanización Alborada 1-4 PH\Urbanización Alborada 1-4 PH - Facturas del mes de_174.pdf</v>
      </c>
      <c r="B175">
        <v>174</v>
      </c>
      <c r="D175" t="str">
        <f t="shared" si="5"/>
        <v>Urbanización Alborada 1-4 PH - Facturas del mes de_174.pdf</v>
      </c>
    </row>
    <row r="176" spans="1:4" x14ac:dyDescent="0.25">
      <c r="A176" t="str">
        <f t="shared" si="4"/>
        <v>C:\Users\USUARIO\Macros\FACTURAS Y LISTADOS\1130 - Urbanización Alborada 1-4 PH\Urbanización Alborada 1-4 PH - Facturas del mes de_175.pdf</v>
      </c>
      <c r="B176">
        <v>175</v>
      </c>
      <c r="D176" t="str">
        <f t="shared" si="5"/>
        <v>Urbanización Alborada 1-4 PH - Facturas del mes de_175.pdf</v>
      </c>
    </row>
    <row r="177" spans="1:4" x14ac:dyDescent="0.25">
      <c r="A177" t="str">
        <f t="shared" si="4"/>
        <v>C:\Users\USUARIO\Macros\FACTURAS Y LISTADOS\1130 - Urbanización Alborada 1-4 PH\Urbanización Alborada 1-4 PH - Facturas del mes de_176.pdf</v>
      </c>
      <c r="B177">
        <v>176</v>
      </c>
      <c r="D177" t="str">
        <f t="shared" si="5"/>
        <v>Urbanización Alborada 1-4 PH - Facturas del mes de_176.pdf</v>
      </c>
    </row>
    <row r="178" spans="1:4" x14ac:dyDescent="0.25">
      <c r="A178" t="str">
        <f t="shared" si="4"/>
        <v>C:\Users\USUARIO\Macros\FACTURAS Y LISTADOS\1130 - Urbanización Alborada 1-4 PH\Urbanización Alborada 1-4 PH - Facturas del mes de_177.pdf</v>
      </c>
      <c r="B178">
        <v>177</v>
      </c>
      <c r="D178" t="str">
        <f t="shared" si="5"/>
        <v>Urbanización Alborada 1-4 PH - Facturas del mes de_177.pdf</v>
      </c>
    </row>
    <row r="179" spans="1:4" x14ac:dyDescent="0.25">
      <c r="A179" t="str">
        <f t="shared" si="4"/>
        <v>C:\Users\USUARIO\Macros\FACTURAS Y LISTADOS\1130 - Urbanización Alborada 1-4 PH\Urbanización Alborada 1-4 PH - Facturas del mes de_178.pdf</v>
      </c>
      <c r="B179">
        <v>178</v>
      </c>
      <c r="D179" t="str">
        <f t="shared" si="5"/>
        <v>Urbanización Alborada 1-4 PH - Facturas del mes de_178.pdf</v>
      </c>
    </row>
    <row r="180" spans="1:4" x14ac:dyDescent="0.25">
      <c r="A180" t="str">
        <f t="shared" si="4"/>
        <v>C:\Users\USUARIO\Macros\FACTURAS Y LISTADOS\1130 - Urbanización Alborada 1-4 PH\Urbanización Alborada 1-4 PH - Facturas del mes de_179.pdf</v>
      </c>
      <c r="B180">
        <v>179</v>
      </c>
      <c r="D180" t="str">
        <f t="shared" si="5"/>
        <v>Urbanización Alborada 1-4 PH - Facturas del mes de_179.pdf</v>
      </c>
    </row>
    <row r="181" spans="1:4" x14ac:dyDescent="0.25">
      <c r="A181" t="str">
        <f t="shared" si="4"/>
        <v>C:\Users\USUARIO\Macros\FACTURAS Y LISTADOS\1130 - Urbanización Alborada 1-4 PH\Urbanización Alborada 1-4 PH - Facturas del mes de_180.pdf</v>
      </c>
      <c r="B181">
        <v>180</v>
      </c>
      <c r="D181" t="str">
        <f t="shared" si="5"/>
        <v>Urbanización Alborada 1-4 PH - Facturas del mes de_180.pdf</v>
      </c>
    </row>
    <row r="182" spans="1:4" x14ac:dyDescent="0.25">
      <c r="A182" t="str">
        <f t="shared" si="4"/>
        <v>C:\Users\USUARIO\Macros\FACTURAS Y LISTADOS\1130 - Urbanización Alborada 1-4 PH\Urbanización Alborada 1-4 PH - Facturas del mes de_181.pdf</v>
      </c>
      <c r="B182">
        <v>181</v>
      </c>
      <c r="D182" t="str">
        <f t="shared" si="5"/>
        <v>Urbanización Alborada 1-4 PH - Facturas del mes de_181.pdf</v>
      </c>
    </row>
    <row r="183" spans="1:4" x14ac:dyDescent="0.25">
      <c r="A183" t="str">
        <f t="shared" si="4"/>
        <v>C:\Users\USUARIO\Macros\FACTURAS Y LISTADOS\1130 - Urbanización Alborada 1-4 PH\Urbanización Alborada 1-4 PH - Facturas del mes de_182.pdf</v>
      </c>
      <c r="B183">
        <v>182</v>
      </c>
      <c r="D183" t="str">
        <f t="shared" si="5"/>
        <v>Urbanización Alborada 1-4 PH - Facturas del mes de_182.pdf</v>
      </c>
    </row>
    <row r="184" spans="1:4" x14ac:dyDescent="0.25">
      <c r="A184" t="str">
        <f t="shared" si="4"/>
        <v>C:\Users\USUARIO\Macros\FACTURAS Y LISTADOS\1130 - Urbanización Alborada 1-4 PH\Urbanización Alborada 1-4 PH - Facturas del mes de_183.pdf</v>
      </c>
      <c r="B184">
        <v>183</v>
      </c>
      <c r="D184" t="str">
        <f t="shared" si="5"/>
        <v>Urbanización Alborada 1-4 PH - Facturas del mes de_183.pdf</v>
      </c>
    </row>
    <row r="185" spans="1:4" x14ac:dyDescent="0.25">
      <c r="A185" t="str">
        <f t="shared" si="4"/>
        <v>C:\Users\USUARIO\Macros\FACTURAS Y LISTADOS\1130 - Urbanización Alborada 1-4 PH\Urbanización Alborada 1-4 PH - Facturas del mes de_184.pdf</v>
      </c>
      <c r="B185">
        <v>184</v>
      </c>
      <c r="D185" t="str">
        <f t="shared" si="5"/>
        <v>Urbanización Alborada 1-4 PH - Facturas del mes de_184.pdf</v>
      </c>
    </row>
    <row r="186" spans="1:4" x14ac:dyDescent="0.25">
      <c r="A186" t="str">
        <f t="shared" si="4"/>
        <v>C:\Users\USUARIO\Macros\FACTURAS Y LISTADOS\1130 - Urbanización Alborada 1-4 PH\Urbanización Alborada 1-4 PH - Facturas del mes de_185.pdf</v>
      </c>
      <c r="B186">
        <v>185</v>
      </c>
      <c r="D186" t="str">
        <f t="shared" si="5"/>
        <v>Urbanización Alborada 1-4 PH - Facturas del mes de_185.pdf</v>
      </c>
    </row>
    <row r="187" spans="1:4" x14ac:dyDescent="0.25">
      <c r="A187" t="str">
        <f t="shared" si="4"/>
        <v>C:\Users\USUARIO\Macros\FACTURAS Y LISTADOS\1130 - Urbanización Alborada 1-4 PH\Urbanización Alborada 1-4 PH - Facturas del mes de_186.pdf</v>
      </c>
      <c r="B187">
        <v>186</v>
      </c>
      <c r="D187" t="str">
        <f t="shared" si="5"/>
        <v>Urbanización Alborada 1-4 PH - Facturas del mes de_186.pdf</v>
      </c>
    </row>
    <row r="188" spans="1:4" x14ac:dyDescent="0.25">
      <c r="A188" t="str">
        <f t="shared" si="4"/>
        <v>C:\Users\USUARIO\Macros\FACTURAS Y LISTADOS\1130 - Urbanización Alborada 1-4 PH\Urbanización Alborada 1-4 PH - Facturas del mes de_187.pdf</v>
      </c>
      <c r="B188">
        <v>187</v>
      </c>
      <c r="D188" t="str">
        <f t="shared" si="5"/>
        <v>Urbanización Alborada 1-4 PH - Facturas del mes de_187.pdf</v>
      </c>
    </row>
    <row r="189" spans="1:4" x14ac:dyDescent="0.25">
      <c r="A189" t="str">
        <f t="shared" si="4"/>
        <v>C:\Users\USUARIO\Macros\FACTURAS Y LISTADOS\1130 - Urbanización Alborada 1-4 PH\Urbanización Alborada 1-4 PH - Facturas del mes de_188.pdf</v>
      </c>
      <c r="B189">
        <v>188</v>
      </c>
      <c r="D189" t="str">
        <f t="shared" si="5"/>
        <v>Urbanización Alborada 1-4 PH - Facturas del mes de_188.pdf</v>
      </c>
    </row>
    <row r="190" spans="1:4" x14ac:dyDescent="0.25">
      <c r="A190" t="str">
        <f t="shared" si="4"/>
        <v>C:\Users\USUARIO\Macros\FACTURAS Y LISTADOS\1130 - Urbanización Alborada 1-4 PH\Urbanización Alborada 1-4 PH - Facturas del mes de_189.pdf</v>
      </c>
      <c r="B190">
        <v>189</v>
      </c>
      <c r="D190" t="str">
        <f t="shared" si="5"/>
        <v>Urbanización Alborada 1-4 PH - Facturas del mes de_189.pdf</v>
      </c>
    </row>
    <row r="191" spans="1:4" x14ac:dyDescent="0.25">
      <c r="A191" t="str">
        <f t="shared" si="4"/>
        <v>C:\Users\USUARIO\Macros\FACTURAS Y LISTADOS\1130 - Urbanización Alborada 1-4 PH\Urbanización Alborada 1-4 PH - Facturas del mes de_190.pdf</v>
      </c>
      <c r="B191">
        <v>190</v>
      </c>
      <c r="D191" t="str">
        <f t="shared" si="5"/>
        <v>Urbanización Alborada 1-4 PH - Facturas del mes de_190.pdf</v>
      </c>
    </row>
    <row r="192" spans="1:4" x14ac:dyDescent="0.25">
      <c r="A192" t="str">
        <f t="shared" si="4"/>
        <v>C:\Users\USUARIO\Macros\FACTURAS Y LISTADOS\1130 - Urbanización Alborada 1-4 PH\Urbanización Alborada 1-4 PH - Facturas del mes de_191.pdf</v>
      </c>
      <c r="B192">
        <v>191</v>
      </c>
      <c r="D192" t="str">
        <f t="shared" si="5"/>
        <v>Urbanización Alborada 1-4 PH - Facturas del mes de_191.pdf</v>
      </c>
    </row>
    <row r="193" spans="1:4" x14ac:dyDescent="0.25">
      <c r="A193" t="str">
        <f t="shared" si="4"/>
        <v>C:\Users\USUARIO\Macros\FACTURAS Y LISTADOS\1130 - Urbanización Alborada 1-4 PH\Urbanización Alborada 1-4 PH - Facturas del mes de_192.pdf</v>
      </c>
      <c r="B193">
        <v>192</v>
      </c>
      <c r="D193" t="str">
        <f t="shared" si="5"/>
        <v>Urbanización Alborada 1-4 PH - Facturas del mes de_192.pdf</v>
      </c>
    </row>
    <row r="194" spans="1:4" x14ac:dyDescent="0.25">
      <c r="A194" t="str">
        <f t="shared" si="4"/>
        <v>C:\Users\USUARIO\Macros\FACTURAS Y LISTADOS\1130 - Urbanización Alborada 1-4 PH\Urbanización Alborada 1-4 PH - Facturas del mes de_193.pdf</v>
      </c>
      <c r="B194">
        <v>193</v>
      </c>
      <c r="D194" t="str">
        <f t="shared" si="5"/>
        <v>Urbanización Alborada 1-4 PH - Facturas del mes de_193.pdf</v>
      </c>
    </row>
    <row r="195" spans="1:4" x14ac:dyDescent="0.25">
      <c r="A195" t="str">
        <f t="shared" ref="A195:A258" si="6">CONCATENATE($A$1,$D$1,$E$1,$E$2,$B$1,B195,$C$1)</f>
        <v>C:\Users\USUARIO\Macros\FACTURAS Y LISTADOS\1130 - Urbanización Alborada 1-4 PH\Urbanización Alborada 1-4 PH - Facturas del mes de_194.pdf</v>
      </c>
      <c r="B195">
        <v>194</v>
      </c>
      <c r="D195" t="str">
        <f t="shared" ref="D195:D258" si="7">CONCATENATE($D$1,$E$1,$E$2,$B$1,B195,$C$1)</f>
        <v>Urbanización Alborada 1-4 PH - Facturas del mes de_194.pdf</v>
      </c>
    </row>
    <row r="196" spans="1:4" x14ac:dyDescent="0.25">
      <c r="A196" t="str">
        <f t="shared" si="6"/>
        <v>C:\Users\USUARIO\Macros\FACTURAS Y LISTADOS\1130 - Urbanización Alborada 1-4 PH\Urbanización Alborada 1-4 PH - Facturas del mes de_195.pdf</v>
      </c>
      <c r="B196">
        <v>195</v>
      </c>
      <c r="D196" t="str">
        <f t="shared" si="7"/>
        <v>Urbanización Alborada 1-4 PH - Facturas del mes de_195.pdf</v>
      </c>
    </row>
    <row r="197" spans="1:4" x14ac:dyDescent="0.25">
      <c r="A197" t="str">
        <f t="shared" si="6"/>
        <v>C:\Users\USUARIO\Macros\FACTURAS Y LISTADOS\1130 - Urbanización Alborada 1-4 PH\Urbanización Alborada 1-4 PH - Facturas del mes de_196.pdf</v>
      </c>
      <c r="B197">
        <v>196</v>
      </c>
      <c r="D197" t="str">
        <f t="shared" si="7"/>
        <v>Urbanización Alborada 1-4 PH - Facturas del mes de_196.pdf</v>
      </c>
    </row>
    <row r="198" spans="1:4" x14ac:dyDescent="0.25">
      <c r="A198" t="str">
        <f t="shared" si="6"/>
        <v>C:\Users\USUARIO\Macros\FACTURAS Y LISTADOS\1130 - Urbanización Alborada 1-4 PH\Urbanización Alborada 1-4 PH - Facturas del mes de_197.pdf</v>
      </c>
      <c r="B198">
        <v>197</v>
      </c>
      <c r="D198" t="str">
        <f t="shared" si="7"/>
        <v>Urbanización Alborada 1-4 PH - Facturas del mes de_197.pdf</v>
      </c>
    </row>
    <row r="199" spans="1:4" x14ac:dyDescent="0.25">
      <c r="A199" t="str">
        <f t="shared" si="6"/>
        <v>C:\Users\USUARIO\Macros\FACTURAS Y LISTADOS\1130 - Urbanización Alborada 1-4 PH\Urbanización Alborada 1-4 PH - Facturas del mes de_198.pdf</v>
      </c>
      <c r="B199">
        <v>198</v>
      </c>
      <c r="D199" t="str">
        <f t="shared" si="7"/>
        <v>Urbanización Alborada 1-4 PH - Facturas del mes de_198.pdf</v>
      </c>
    </row>
    <row r="200" spans="1:4" x14ac:dyDescent="0.25">
      <c r="A200" t="str">
        <f t="shared" si="6"/>
        <v>C:\Users\USUARIO\Macros\FACTURAS Y LISTADOS\1130 - Urbanización Alborada 1-4 PH\Urbanización Alborada 1-4 PH - Facturas del mes de_199.pdf</v>
      </c>
      <c r="B200">
        <v>199</v>
      </c>
      <c r="D200" t="str">
        <f t="shared" si="7"/>
        <v>Urbanización Alborada 1-4 PH - Facturas del mes de_199.pdf</v>
      </c>
    </row>
    <row r="201" spans="1:4" x14ac:dyDescent="0.25">
      <c r="A201" t="str">
        <f t="shared" si="6"/>
        <v>C:\Users\USUARIO\Macros\FACTURAS Y LISTADOS\1130 - Urbanización Alborada 1-4 PH\Urbanización Alborada 1-4 PH - Facturas del mes de_200.pdf</v>
      </c>
      <c r="B201">
        <v>200</v>
      </c>
      <c r="D201" t="str">
        <f t="shared" si="7"/>
        <v>Urbanización Alborada 1-4 PH - Facturas del mes de_200.pdf</v>
      </c>
    </row>
    <row r="202" spans="1:4" x14ac:dyDescent="0.25">
      <c r="A202" t="str">
        <f t="shared" si="6"/>
        <v>C:\Users\USUARIO\Macros\FACTURAS Y LISTADOS\1130 - Urbanización Alborada 1-4 PH\Urbanización Alborada 1-4 PH - Facturas del mes de_201.pdf</v>
      </c>
      <c r="B202">
        <v>201</v>
      </c>
      <c r="D202" t="str">
        <f t="shared" si="7"/>
        <v>Urbanización Alborada 1-4 PH - Facturas del mes de_201.pdf</v>
      </c>
    </row>
    <row r="203" spans="1:4" x14ac:dyDescent="0.25">
      <c r="A203" t="str">
        <f t="shared" si="6"/>
        <v>C:\Users\USUARIO\Macros\FACTURAS Y LISTADOS\1130 - Urbanización Alborada 1-4 PH\Urbanización Alborada 1-4 PH - Facturas del mes de_202.pdf</v>
      </c>
      <c r="B203">
        <v>202</v>
      </c>
      <c r="D203" t="str">
        <f t="shared" si="7"/>
        <v>Urbanización Alborada 1-4 PH - Facturas del mes de_202.pdf</v>
      </c>
    </row>
    <row r="204" spans="1:4" x14ac:dyDescent="0.25">
      <c r="A204" t="str">
        <f t="shared" si="6"/>
        <v>C:\Users\USUARIO\Macros\FACTURAS Y LISTADOS\1130 - Urbanización Alborada 1-4 PH\Urbanización Alborada 1-4 PH - Facturas del mes de_203.pdf</v>
      </c>
      <c r="B204">
        <v>203</v>
      </c>
      <c r="D204" t="str">
        <f t="shared" si="7"/>
        <v>Urbanización Alborada 1-4 PH - Facturas del mes de_203.pdf</v>
      </c>
    </row>
    <row r="205" spans="1:4" x14ac:dyDescent="0.25">
      <c r="A205" t="str">
        <f t="shared" si="6"/>
        <v>C:\Users\USUARIO\Macros\FACTURAS Y LISTADOS\1130 - Urbanización Alborada 1-4 PH\Urbanización Alborada 1-4 PH - Facturas del mes de_204.pdf</v>
      </c>
      <c r="B205">
        <v>204</v>
      </c>
      <c r="D205" t="str">
        <f t="shared" si="7"/>
        <v>Urbanización Alborada 1-4 PH - Facturas del mes de_204.pdf</v>
      </c>
    </row>
    <row r="206" spans="1:4" x14ac:dyDescent="0.25">
      <c r="A206" t="str">
        <f t="shared" si="6"/>
        <v>C:\Users\USUARIO\Macros\FACTURAS Y LISTADOS\1130 - Urbanización Alborada 1-4 PH\Urbanización Alborada 1-4 PH - Facturas del mes de_205.pdf</v>
      </c>
      <c r="B206">
        <v>205</v>
      </c>
      <c r="D206" t="str">
        <f t="shared" si="7"/>
        <v>Urbanización Alborada 1-4 PH - Facturas del mes de_205.pdf</v>
      </c>
    </row>
    <row r="207" spans="1:4" x14ac:dyDescent="0.25">
      <c r="A207" t="str">
        <f t="shared" si="6"/>
        <v>C:\Users\USUARIO\Macros\FACTURAS Y LISTADOS\1130 - Urbanización Alborada 1-4 PH\Urbanización Alborada 1-4 PH - Facturas del mes de_206.pdf</v>
      </c>
      <c r="B207">
        <v>206</v>
      </c>
      <c r="D207" t="str">
        <f t="shared" si="7"/>
        <v>Urbanización Alborada 1-4 PH - Facturas del mes de_206.pdf</v>
      </c>
    </row>
    <row r="208" spans="1:4" x14ac:dyDescent="0.25">
      <c r="A208" t="str">
        <f t="shared" si="6"/>
        <v>C:\Users\USUARIO\Macros\FACTURAS Y LISTADOS\1130 - Urbanización Alborada 1-4 PH\Urbanización Alborada 1-4 PH - Facturas del mes de_207.pdf</v>
      </c>
      <c r="B208">
        <v>207</v>
      </c>
      <c r="D208" t="str">
        <f t="shared" si="7"/>
        <v>Urbanización Alborada 1-4 PH - Facturas del mes de_207.pdf</v>
      </c>
    </row>
    <row r="209" spans="1:4" x14ac:dyDescent="0.25">
      <c r="A209" t="str">
        <f t="shared" si="6"/>
        <v>C:\Users\USUARIO\Macros\FACTURAS Y LISTADOS\1130 - Urbanización Alborada 1-4 PH\Urbanización Alborada 1-4 PH - Facturas del mes de_208.pdf</v>
      </c>
      <c r="B209">
        <v>208</v>
      </c>
      <c r="D209" t="str">
        <f t="shared" si="7"/>
        <v>Urbanización Alborada 1-4 PH - Facturas del mes de_208.pdf</v>
      </c>
    </row>
    <row r="210" spans="1:4" x14ac:dyDescent="0.25">
      <c r="A210" t="str">
        <f t="shared" si="6"/>
        <v>C:\Users\USUARIO\Macros\FACTURAS Y LISTADOS\1130 - Urbanización Alborada 1-4 PH\Urbanización Alborada 1-4 PH - Facturas del mes de_209.pdf</v>
      </c>
      <c r="B210">
        <v>209</v>
      </c>
      <c r="D210" t="str">
        <f t="shared" si="7"/>
        <v>Urbanización Alborada 1-4 PH - Facturas del mes de_209.pdf</v>
      </c>
    </row>
    <row r="211" spans="1:4" x14ac:dyDescent="0.25">
      <c r="A211" t="str">
        <f t="shared" si="6"/>
        <v>C:\Users\USUARIO\Macros\FACTURAS Y LISTADOS\1130 - Urbanización Alborada 1-4 PH\Urbanización Alborada 1-4 PH - Facturas del mes de_210.pdf</v>
      </c>
      <c r="B211">
        <v>210</v>
      </c>
      <c r="D211" t="str">
        <f t="shared" si="7"/>
        <v>Urbanización Alborada 1-4 PH - Facturas del mes de_210.pdf</v>
      </c>
    </row>
    <row r="212" spans="1:4" x14ac:dyDescent="0.25">
      <c r="A212" t="str">
        <f t="shared" si="6"/>
        <v>C:\Users\USUARIO\Macros\FACTURAS Y LISTADOS\1130 - Urbanización Alborada 1-4 PH\Urbanización Alborada 1-4 PH - Facturas del mes de_211.pdf</v>
      </c>
      <c r="B212">
        <v>211</v>
      </c>
      <c r="D212" t="str">
        <f t="shared" si="7"/>
        <v>Urbanización Alborada 1-4 PH - Facturas del mes de_211.pdf</v>
      </c>
    </row>
    <row r="213" spans="1:4" x14ac:dyDescent="0.25">
      <c r="A213" t="str">
        <f t="shared" si="6"/>
        <v>C:\Users\USUARIO\Macros\FACTURAS Y LISTADOS\1130 - Urbanización Alborada 1-4 PH\Urbanización Alborada 1-4 PH - Facturas del mes de_212.pdf</v>
      </c>
      <c r="B213">
        <v>212</v>
      </c>
      <c r="D213" t="str">
        <f t="shared" si="7"/>
        <v>Urbanización Alborada 1-4 PH - Facturas del mes de_212.pdf</v>
      </c>
    </row>
    <row r="214" spans="1:4" x14ac:dyDescent="0.25">
      <c r="A214" t="str">
        <f t="shared" si="6"/>
        <v>C:\Users\USUARIO\Macros\FACTURAS Y LISTADOS\1130 - Urbanización Alborada 1-4 PH\Urbanización Alborada 1-4 PH - Facturas del mes de_213.pdf</v>
      </c>
      <c r="B214">
        <v>213</v>
      </c>
      <c r="D214" t="str">
        <f t="shared" si="7"/>
        <v>Urbanización Alborada 1-4 PH - Facturas del mes de_213.pdf</v>
      </c>
    </row>
    <row r="215" spans="1:4" x14ac:dyDescent="0.25">
      <c r="A215" t="str">
        <f t="shared" si="6"/>
        <v>C:\Users\USUARIO\Macros\FACTURAS Y LISTADOS\1130 - Urbanización Alborada 1-4 PH\Urbanización Alborada 1-4 PH - Facturas del mes de_214.pdf</v>
      </c>
      <c r="B215">
        <v>214</v>
      </c>
      <c r="D215" t="str">
        <f t="shared" si="7"/>
        <v>Urbanización Alborada 1-4 PH - Facturas del mes de_214.pdf</v>
      </c>
    </row>
    <row r="216" spans="1:4" x14ac:dyDescent="0.25">
      <c r="A216" t="str">
        <f t="shared" si="6"/>
        <v>C:\Users\USUARIO\Macros\FACTURAS Y LISTADOS\1130 - Urbanización Alborada 1-4 PH\Urbanización Alborada 1-4 PH - Facturas del mes de_215.pdf</v>
      </c>
      <c r="B216">
        <v>215</v>
      </c>
      <c r="D216" t="str">
        <f t="shared" si="7"/>
        <v>Urbanización Alborada 1-4 PH - Facturas del mes de_215.pdf</v>
      </c>
    </row>
    <row r="217" spans="1:4" x14ac:dyDescent="0.25">
      <c r="A217" t="str">
        <f t="shared" si="6"/>
        <v>C:\Users\USUARIO\Macros\FACTURAS Y LISTADOS\1130 - Urbanización Alborada 1-4 PH\Urbanización Alborada 1-4 PH - Facturas del mes de_216.pdf</v>
      </c>
      <c r="B217">
        <v>216</v>
      </c>
      <c r="D217" t="str">
        <f t="shared" si="7"/>
        <v>Urbanización Alborada 1-4 PH - Facturas del mes de_216.pdf</v>
      </c>
    </row>
    <row r="218" spans="1:4" x14ac:dyDescent="0.25">
      <c r="A218" t="str">
        <f t="shared" si="6"/>
        <v>C:\Users\USUARIO\Macros\FACTURAS Y LISTADOS\1130 - Urbanización Alborada 1-4 PH\Urbanización Alborada 1-4 PH - Facturas del mes de_217.pdf</v>
      </c>
      <c r="B218">
        <v>217</v>
      </c>
      <c r="D218" t="str">
        <f t="shared" si="7"/>
        <v>Urbanización Alborada 1-4 PH - Facturas del mes de_217.pdf</v>
      </c>
    </row>
    <row r="219" spans="1:4" x14ac:dyDescent="0.25">
      <c r="A219" t="str">
        <f t="shared" si="6"/>
        <v>C:\Users\USUARIO\Macros\FACTURAS Y LISTADOS\1130 - Urbanización Alborada 1-4 PH\Urbanización Alborada 1-4 PH - Facturas del mes de_218.pdf</v>
      </c>
      <c r="B219">
        <v>218</v>
      </c>
      <c r="D219" t="str">
        <f t="shared" si="7"/>
        <v>Urbanización Alborada 1-4 PH - Facturas del mes de_218.pdf</v>
      </c>
    </row>
    <row r="220" spans="1:4" x14ac:dyDescent="0.25">
      <c r="A220" t="str">
        <f t="shared" si="6"/>
        <v>C:\Users\USUARIO\Macros\FACTURAS Y LISTADOS\1130 - Urbanización Alborada 1-4 PH\Urbanización Alborada 1-4 PH - Facturas del mes de_219.pdf</v>
      </c>
      <c r="B220">
        <v>219</v>
      </c>
      <c r="D220" t="str">
        <f t="shared" si="7"/>
        <v>Urbanización Alborada 1-4 PH - Facturas del mes de_219.pdf</v>
      </c>
    </row>
    <row r="221" spans="1:4" x14ac:dyDescent="0.25">
      <c r="A221" t="str">
        <f t="shared" si="6"/>
        <v>C:\Users\USUARIO\Macros\FACTURAS Y LISTADOS\1130 - Urbanización Alborada 1-4 PH\Urbanización Alborada 1-4 PH - Facturas del mes de_220.pdf</v>
      </c>
      <c r="B221">
        <v>220</v>
      </c>
      <c r="D221" t="str">
        <f t="shared" si="7"/>
        <v>Urbanización Alborada 1-4 PH - Facturas del mes de_220.pdf</v>
      </c>
    </row>
    <row r="222" spans="1:4" x14ac:dyDescent="0.25">
      <c r="A222" t="str">
        <f t="shared" si="6"/>
        <v>C:\Users\USUARIO\Macros\FACTURAS Y LISTADOS\1130 - Urbanización Alborada 1-4 PH\Urbanización Alborada 1-4 PH - Facturas del mes de_221.pdf</v>
      </c>
      <c r="B222">
        <v>221</v>
      </c>
      <c r="D222" t="str">
        <f t="shared" si="7"/>
        <v>Urbanización Alborada 1-4 PH - Facturas del mes de_221.pdf</v>
      </c>
    </row>
    <row r="223" spans="1:4" x14ac:dyDescent="0.25">
      <c r="A223" t="str">
        <f t="shared" si="6"/>
        <v>C:\Users\USUARIO\Macros\FACTURAS Y LISTADOS\1130 - Urbanización Alborada 1-4 PH\Urbanización Alborada 1-4 PH - Facturas del mes de_222.pdf</v>
      </c>
      <c r="B223">
        <v>222</v>
      </c>
      <c r="D223" t="str">
        <f t="shared" si="7"/>
        <v>Urbanización Alborada 1-4 PH - Facturas del mes de_222.pdf</v>
      </c>
    </row>
    <row r="224" spans="1:4" x14ac:dyDescent="0.25">
      <c r="A224" t="str">
        <f t="shared" si="6"/>
        <v>C:\Users\USUARIO\Macros\FACTURAS Y LISTADOS\1130 - Urbanización Alborada 1-4 PH\Urbanización Alborada 1-4 PH - Facturas del mes de_223.pdf</v>
      </c>
      <c r="B224">
        <v>223</v>
      </c>
      <c r="D224" t="str">
        <f t="shared" si="7"/>
        <v>Urbanización Alborada 1-4 PH - Facturas del mes de_223.pdf</v>
      </c>
    </row>
    <row r="225" spans="1:4" x14ac:dyDescent="0.25">
      <c r="A225" t="str">
        <f t="shared" si="6"/>
        <v>C:\Users\USUARIO\Macros\FACTURAS Y LISTADOS\1130 - Urbanización Alborada 1-4 PH\Urbanización Alborada 1-4 PH - Facturas del mes de_224.pdf</v>
      </c>
      <c r="B225">
        <v>224</v>
      </c>
      <c r="D225" t="str">
        <f t="shared" si="7"/>
        <v>Urbanización Alborada 1-4 PH - Facturas del mes de_224.pdf</v>
      </c>
    </row>
    <row r="226" spans="1:4" x14ac:dyDescent="0.25">
      <c r="A226" t="str">
        <f t="shared" si="6"/>
        <v>C:\Users\USUARIO\Macros\FACTURAS Y LISTADOS\1130 - Urbanización Alborada 1-4 PH\Urbanización Alborada 1-4 PH - Facturas del mes de_225.pdf</v>
      </c>
      <c r="B226">
        <v>225</v>
      </c>
      <c r="D226" t="str">
        <f t="shared" si="7"/>
        <v>Urbanización Alborada 1-4 PH - Facturas del mes de_225.pdf</v>
      </c>
    </row>
    <row r="227" spans="1:4" x14ac:dyDescent="0.25">
      <c r="A227" t="str">
        <f t="shared" si="6"/>
        <v>C:\Users\USUARIO\Macros\FACTURAS Y LISTADOS\1130 - Urbanización Alborada 1-4 PH\Urbanización Alborada 1-4 PH - Facturas del mes de_226.pdf</v>
      </c>
      <c r="B227">
        <v>226</v>
      </c>
      <c r="D227" t="str">
        <f t="shared" si="7"/>
        <v>Urbanización Alborada 1-4 PH - Facturas del mes de_226.pdf</v>
      </c>
    </row>
    <row r="228" spans="1:4" x14ac:dyDescent="0.25">
      <c r="A228" t="str">
        <f t="shared" si="6"/>
        <v>C:\Users\USUARIO\Macros\FACTURAS Y LISTADOS\1130 - Urbanización Alborada 1-4 PH\Urbanización Alborada 1-4 PH - Facturas del mes de_227.pdf</v>
      </c>
      <c r="B228">
        <v>227</v>
      </c>
      <c r="D228" t="str">
        <f t="shared" si="7"/>
        <v>Urbanización Alborada 1-4 PH - Facturas del mes de_227.pdf</v>
      </c>
    </row>
    <row r="229" spans="1:4" x14ac:dyDescent="0.25">
      <c r="A229" t="str">
        <f t="shared" si="6"/>
        <v>C:\Users\USUARIO\Macros\FACTURAS Y LISTADOS\1130 - Urbanización Alborada 1-4 PH\Urbanización Alborada 1-4 PH - Facturas del mes de_228.pdf</v>
      </c>
      <c r="B229">
        <v>228</v>
      </c>
      <c r="D229" t="str">
        <f t="shared" si="7"/>
        <v>Urbanización Alborada 1-4 PH - Facturas del mes de_228.pdf</v>
      </c>
    </row>
    <row r="230" spans="1:4" x14ac:dyDescent="0.25">
      <c r="A230" t="str">
        <f t="shared" si="6"/>
        <v>C:\Users\USUARIO\Macros\FACTURAS Y LISTADOS\1130 - Urbanización Alborada 1-4 PH\Urbanización Alborada 1-4 PH - Facturas del mes de_229.pdf</v>
      </c>
      <c r="B230">
        <v>229</v>
      </c>
      <c r="D230" t="str">
        <f t="shared" si="7"/>
        <v>Urbanización Alborada 1-4 PH - Facturas del mes de_229.pdf</v>
      </c>
    </row>
    <row r="231" spans="1:4" x14ac:dyDescent="0.25">
      <c r="A231" t="str">
        <f t="shared" si="6"/>
        <v>C:\Users\USUARIO\Macros\FACTURAS Y LISTADOS\1130 - Urbanización Alborada 1-4 PH\Urbanización Alborada 1-4 PH - Facturas del mes de_230.pdf</v>
      </c>
      <c r="B231">
        <v>230</v>
      </c>
      <c r="D231" t="str">
        <f t="shared" si="7"/>
        <v>Urbanización Alborada 1-4 PH - Facturas del mes de_230.pdf</v>
      </c>
    </row>
    <row r="232" spans="1:4" x14ac:dyDescent="0.25">
      <c r="A232" t="str">
        <f t="shared" si="6"/>
        <v>C:\Users\USUARIO\Macros\FACTURAS Y LISTADOS\1130 - Urbanización Alborada 1-4 PH\Urbanización Alborada 1-4 PH - Facturas del mes de_231.pdf</v>
      </c>
      <c r="B232">
        <v>231</v>
      </c>
      <c r="D232" t="str">
        <f t="shared" si="7"/>
        <v>Urbanización Alborada 1-4 PH - Facturas del mes de_231.pdf</v>
      </c>
    </row>
    <row r="233" spans="1:4" x14ac:dyDescent="0.25">
      <c r="A233" t="str">
        <f t="shared" si="6"/>
        <v>C:\Users\USUARIO\Macros\FACTURAS Y LISTADOS\1130 - Urbanización Alborada 1-4 PH\Urbanización Alborada 1-4 PH - Facturas del mes de_232.pdf</v>
      </c>
      <c r="B233">
        <v>232</v>
      </c>
      <c r="D233" t="str">
        <f t="shared" si="7"/>
        <v>Urbanización Alborada 1-4 PH - Facturas del mes de_232.pdf</v>
      </c>
    </row>
    <row r="234" spans="1:4" x14ac:dyDescent="0.25">
      <c r="A234" t="str">
        <f t="shared" si="6"/>
        <v>C:\Users\USUARIO\Macros\FACTURAS Y LISTADOS\1130 - Urbanización Alborada 1-4 PH\Urbanización Alborada 1-4 PH - Facturas del mes de_233.pdf</v>
      </c>
      <c r="B234">
        <v>233</v>
      </c>
      <c r="D234" t="str">
        <f t="shared" si="7"/>
        <v>Urbanización Alborada 1-4 PH - Facturas del mes de_233.pdf</v>
      </c>
    </row>
    <row r="235" spans="1:4" x14ac:dyDescent="0.25">
      <c r="A235" t="str">
        <f t="shared" si="6"/>
        <v>C:\Users\USUARIO\Macros\FACTURAS Y LISTADOS\1130 - Urbanización Alborada 1-4 PH\Urbanización Alborada 1-4 PH - Facturas del mes de_234.pdf</v>
      </c>
      <c r="B235">
        <v>234</v>
      </c>
      <c r="D235" t="str">
        <f t="shared" si="7"/>
        <v>Urbanización Alborada 1-4 PH - Facturas del mes de_234.pdf</v>
      </c>
    </row>
    <row r="236" spans="1:4" x14ac:dyDescent="0.25">
      <c r="A236" t="str">
        <f t="shared" si="6"/>
        <v>C:\Users\USUARIO\Macros\FACTURAS Y LISTADOS\1130 - Urbanización Alborada 1-4 PH\Urbanización Alborada 1-4 PH - Facturas del mes de_235.pdf</v>
      </c>
      <c r="B236">
        <v>235</v>
      </c>
      <c r="D236" t="str">
        <f t="shared" si="7"/>
        <v>Urbanización Alborada 1-4 PH - Facturas del mes de_235.pdf</v>
      </c>
    </row>
    <row r="237" spans="1:4" x14ac:dyDescent="0.25">
      <c r="A237" t="str">
        <f t="shared" si="6"/>
        <v>C:\Users\USUARIO\Macros\FACTURAS Y LISTADOS\1130 - Urbanización Alborada 1-4 PH\Urbanización Alborada 1-4 PH - Facturas del mes de_236.pdf</v>
      </c>
      <c r="B237">
        <v>236</v>
      </c>
      <c r="D237" t="str">
        <f t="shared" si="7"/>
        <v>Urbanización Alborada 1-4 PH - Facturas del mes de_236.pdf</v>
      </c>
    </row>
    <row r="238" spans="1:4" x14ac:dyDescent="0.25">
      <c r="A238" t="str">
        <f t="shared" si="6"/>
        <v>C:\Users\USUARIO\Macros\FACTURAS Y LISTADOS\1130 - Urbanización Alborada 1-4 PH\Urbanización Alborada 1-4 PH - Facturas del mes de_237.pdf</v>
      </c>
      <c r="B238">
        <v>237</v>
      </c>
      <c r="D238" t="str">
        <f t="shared" si="7"/>
        <v>Urbanización Alborada 1-4 PH - Facturas del mes de_237.pdf</v>
      </c>
    </row>
    <row r="239" spans="1:4" x14ac:dyDescent="0.25">
      <c r="A239" t="str">
        <f t="shared" si="6"/>
        <v>C:\Users\USUARIO\Macros\FACTURAS Y LISTADOS\1130 - Urbanización Alborada 1-4 PH\Urbanización Alborada 1-4 PH - Facturas del mes de_238.pdf</v>
      </c>
      <c r="B239">
        <v>238</v>
      </c>
      <c r="D239" t="str">
        <f t="shared" si="7"/>
        <v>Urbanización Alborada 1-4 PH - Facturas del mes de_238.pdf</v>
      </c>
    </row>
    <row r="240" spans="1:4" x14ac:dyDescent="0.25">
      <c r="A240" t="str">
        <f t="shared" si="6"/>
        <v>C:\Users\USUARIO\Macros\FACTURAS Y LISTADOS\1130 - Urbanización Alborada 1-4 PH\Urbanización Alborada 1-4 PH - Facturas del mes de_239.pdf</v>
      </c>
      <c r="B240">
        <v>239</v>
      </c>
      <c r="D240" t="str">
        <f t="shared" si="7"/>
        <v>Urbanización Alborada 1-4 PH - Facturas del mes de_239.pdf</v>
      </c>
    </row>
    <row r="241" spans="1:4" x14ac:dyDescent="0.25">
      <c r="A241" t="str">
        <f t="shared" si="6"/>
        <v>C:\Users\USUARIO\Macros\FACTURAS Y LISTADOS\1130 - Urbanización Alborada 1-4 PH\Urbanización Alborada 1-4 PH - Facturas del mes de_240.pdf</v>
      </c>
      <c r="B241">
        <v>240</v>
      </c>
      <c r="D241" t="str">
        <f t="shared" si="7"/>
        <v>Urbanización Alborada 1-4 PH - Facturas del mes de_240.pdf</v>
      </c>
    </row>
    <row r="242" spans="1:4" x14ac:dyDescent="0.25">
      <c r="A242" t="str">
        <f t="shared" si="6"/>
        <v>C:\Users\USUARIO\Macros\FACTURAS Y LISTADOS\1130 - Urbanización Alborada 1-4 PH\Urbanización Alborada 1-4 PH - Facturas del mes de_241.pdf</v>
      </c>
      <c r="B242">
        <v>241</v>
      </c>
      <c r="D242" t="str">
        <f t="shared" si="7"/>
        <v>Urbanización Alborada 1-4 PH - Facturas del mes de_241.pdf</v>
      </c>
    </row>
    <row r="243" spans="1:4" x14ac:dyDescent="0.25">
      <c r="A243" t="str">
        <f t="shared" si="6"/>
        <v>C:\Users\USUARIO\Macros\FACTURAS Y LISTADOS\1130 - Urbanización Alborada 1-4 PH\Urbanización Alborada 1-4 PH - Facturas del mes de_242.pdf</v>
      </c>
      <c r="B243">
        <v>242</v>
      </c>
      <c r="D243" t="str">
        <f t="shared" si="7"/>
        <v>Urbanización Alborada 1-4 PH - Facturas del mes de_242.pdf</v>
      </c>
    </row>
    <row r="244" spans="1:4" x14ac:dyDescent="0.25">
      <c r="A244" t="str">
        <f t="shared" si="6"/>
        <v>C:\Users\USUARIO\Macros\FACTURAS Y LISTADOS\1130 - Urbanización Alborada 1-4 PH\Urbanización Alborada 1-4 PH - Facturas del mes de_243.pdf</v>
      </c>
      <c r="B244">
        <v>243</v>
      </c>
      <c r="D244" t="str">
        <f t="shared" si="7"/>
        <v>Urbanización Alborada 1-4 PH - Facturas del mes de_243.pdf</v>
      </c>
    </row>
    <row r="245" spans="1:4" x14ac:dyDescent="0.25">
      <c r="A245" t="str">
        <f t="shared" si="6"/>
        <v>C:\Users\USUARIO\Macros\FACTURAS Y LISTADOS\1130 - Urbanización Alborada 1-4 PH\Urbanización Alborada 1-4 PH - Facturas del mes de_244.pdf</v>
      </c>
      <c r="B245">
        <v>244</v>
      </c>
      <c r="D245" t="str">
        <f t="shared" si="7"/>
        <v>Urbanización Alborada 1-4 PH - Facturas del mes de_244.pdf</v>
      </c>
    </row>
    <row r="246" spans="1:4" x14ac:dyDescent="0.25">
      <c r="A246" t="str">
        <f t="shared" si="6"/>
        <v>C:\Users\USUARIO\Macros\FACTURAS Y LISTADOS\1130 - Urbanización Alborada 1-4 PH\Urbanización Alborada 1-4 PH - Facturas del mes de_245.pdf</v>
      </c>
      <c r="B246">
        <v>245</v>
      </c>
      <c r="D246" t="str">
        <f t="shared" si="7"/>
        <v>Urbanización Alborada 1-4 PH - Facturas del mes de_245.pdf</v>
      </c>
    </row>
    <row r="247" spans="1:4" x14ac:dyDescent="0.25">
      <c r="A247" t="str">
        <f t="shared" si="6"/>
        <v>C:\Users\USUARIO\Macros\FACTURAS Y LISTADOS\1130 - Urbanización Alborada 1-4 PH\Urbanización Alborada 1-4 PH - Facturas del mes de_246.pdf</v>
      </c>
      <c r="B247">
        <v>246</v>
      </c>
      <c r="D247" t="str">
        <f t="shared" si="7"/>
        <v>Urbanización Alborada 1-4 PH - Facturas del mes de_246.pdf</v>
      </c>
    </row>
    <row r="248" spans="1:4" x14ac:dyDescent="0.25">
      <c r="A248" t="str">
        <f t="shared" si="6"/>
        <v>C:\Users\USUARIO\Macros\FACTURAS Y LISTADOS\1130 - Urbanización Alborada 1-4 PH\Urbanización Alborada 1-4 PH - Facturas del mes de_247.pdf</v>
      </c>
      <c r="B248">
        <v>247</v>
      </c>
      <c r="D248" t="str">
        <f t="shared" si="7"/>
        <v>Urbanización Alborada 1-4 PH - Facturas del mes de_247.pdf</v>
      </c>
    </row>
    <row r="249" spans="1:4" x14ac:dyDescent="0.25">
      <c r="A249" t="str">
        <f t="shared" si="6"/>
        <v>C:\Users\USUARIO\Macros\FACTURAS Y LISTADOS\1130 - Urbanización Alborada 1-4 PH\Urbanización Alborada 1-4 PH - Facturas del mes de_248.pdf</v>
      </c>
      <c r="B249">
        <v>248</v>
      </c>
      <c r="D249" t="str">
        <f t="shared" si="7"/>
        <v>Urbanización Alborada 1-4 PH - Facturas del mes de_248.pdf</v>
      </c>
    </row>
    <row r="250" spans="1:4" x14ac:dyDescent="0.25">
      <c r="A250" t="str">
        <f t="shared" si="6"/>
        <v>C:\Users\USUARIO\Macros\FACTURAS Y LISTADOS\1130 - Urbanización Alborada 1-4 PH\Urbanización Alborada 1-4 PH - Facturas del mes de_249.pdf</v>
      </c>
      <c r="B250">
        <v>249</v>
      </c>
      <c r="D250" t="str">
        <f t="shared" si="7"/>
        <v>Urbanización Alborada 1-4 PH - Facturas del mes de_249.pdf</v>
      </c>
    </row>
    <row r="251" spans="1:4" x14ac:dyDescent="0.25">
      <c r="A251" t="str">
        <f t="shared" si="6"/>
        <v>C:\Users\USUARIO\Macros\FACTURAS Y LISTADOS\1130 - Urbanización Alborada 1-4 PH\Urbanización Alborada 1-4 PH - Facturas del mes de_250.pdf</v>
      </c>
      <c r="B251">
        <v>250</v>
      </c>
      <c r="D251" t="str">
        <f t="shared" si="7"/>
        <v>Urbanización Alborada 1-4 PH - Facturas del mes de_250.pdf</v>
      </c>
    </row>
    <row r="252" spans="1:4" x14ac:dyDescent="0.25">
      <c r="A252" t="str">
        <f t="shared" si="6"/>
        <v>C:\Users\USUARIO\Macros\FACTURAS Y LISTADOS\1130 - Urbanización Alborada 1-4 PH\Urbanización Alborada 1-4 PH - Facturas del mes de_251.pdf</v>
      </c>
      <c r="B252">
        <v>251</v>
      </c>
      <c r="D252" t="str">
        <f t="shared" si="7"/>
        <v>Urbanización Alborada 1-4 PH - Facturas del mes de_251.pdf</v>
      </c>
    </row>
    <row r="253" spans="1:4" x14ac:dyDescent="0.25">
      <c r="A253" t="str">
        <f t="shared" si="6"/>
        <v>C:\Users\USUARIO\Macros\FACTURAS Y LISTADOS\1130 - Urbanización Alborada 1-4 PH\Urbanización Alborada 1-4 PH - Facturas del mes de_252.pdf</v>
      </c>
      <c r="B253">
        <v>252</v>
      </c>
      <c r="D253" t="str">
        <f t="shared" si="7"/>
        <v>Urbanización Alborada 1-4 PH - Facturas del mes de_252.pdf</v>
      </c>
    </row>
    <row r="254" spans="1:4" x14ac:dyDescent="0.25">
      <c r="A254" t="str">
        <f t="shared" si="6"/>
        <v>C:\Users\USUARIO\Macros\FACTURAS Y LISTADOS\1130 - Urbanización Alborada 1-4 PH\Urbanización Alborada 1-4 PH - Facturas del mes de_253.pdf</v>
      </c>
      <c r="B254">
        <v>253</v>
      </c>
      <c r="D254" t="str">
        <f t="shared" si="7"/>
        <v>Urbanización Alborada 1-4 PH - Facturas del mes de_253.pdf</v>
      </c>
    </row>
    <row r="255" spans="1:4" x14ac:dyDescent="0.25">
      <c r="A255" t="str">
        <f t="shared" si="6"/>
        <v>C:\Users\USUARIO\Macros\FACTURAS Y LISTADOS\1130 - Urbanización Alborada 1-4 PH\Urbanización Alborada 1-4 PH - Facturas del mes de_254.pdf</v>
      </c>
      <c r="B255">
        <v>254</v>
      </c>
      <c r="D255" t="str">
        <f t="shared" si="7"/>
        <v>Urbanización Alborada 1-4 PH - Facturas del mes de_254.pdf</v>
      </c>
    </row>
    <row r="256" spans="1:4" x14ac:dyDescent="0.25">
      <c r="A256" t="str">
        <f t="shared" si="6"/>
        <v>C:\Users\USUARIO\Macros\FACTURAS Y LISTADOS\1130 - Urbanización Alborada 1-4 PH\Urbanización Alborada 1-4 PH - Facturas del mes de_255.pdf</v>
      </c>
      <c r="B256">
        <v>255</v>
      </c>
      <c r="D256" t="str">
        <f t="shared" si="7"/>
        <v>Urbanización Alborada 1-4 PH - Facturas del mes de_255.pdf</v>
      </c>
    </row>
    <row r="257" spans="1:4" x14ac:dyDescent="0.25">
      <c r="A257" t="str">
        <f t="shared" si="6"/>
        <v>C:\Users\USUARIO\Macros\FACTURAS Y LISTADOS\1130 - Urbanización Alborada 1-4 PH\Urbanización Alborada 1-4 PH - Facturas del mes de_256.pdf</v>
      </c>
      <c r="B257">
        <v>256</v>
      </c>
      <c r="D257" t="str">
        <f t="shared" si="7"/>
        <v>Urbanización Alborada 1-4 PH - Facturas del mes de_256.pdf</v>
      </c>
    </row>
    <row r="258" spans="1:4" x14ac:dyDescent="0.25">
      <c r="A258" t="str">
        <f t="shared" si="6"/>
        <v>C:\Users\USUARIO\Macros\FACTURAS Y LISTADOS\1130 - Urbanización Alborada 1-4 PH\Urbanización Alborada 1-4 PH - Facturas del mes de_257.pdf</v>
      </c>
      <c r="B258">
        <v>257</v>
      </c>
      <c r="D258" t="str">
        <f t="shared" si="7"/>
        <v>Urbanización Alborada 1-4 PH - Facturas del mes de_257.pdf</v>
      </c>
    </row>
    <row r="259" spans="1:4" x14ac:dyDescent="0.25">
      <c r="A259" t="str">
        <f t="shared" ref="A259:A300" si="8">CONCATENATE($A$1,$D$1,$E$1,$E$2,$B$1,B259,$C$1)</f>
        <v>C:\Users\USUARIO\Macros\FACTURAS Y LISTADOS\1130 - Urbanización Alborada 1-4 PH\Urbanización Alborada 1-4 PH - Facturas del mes de_258.pdf</v>
      </c>
      <c r="B259">
        <v>258</v>
      </c>
      <c r="D259" t="str">
        <f t="shared" ref="D259:D300" si="9">CONCATENATE($D$1,$E$1,$E$2,$B$1,B259,$C$1)</f>
        <v>Urbanización Alborada 1-4 PH - Facturas del mes de_258.pdf</v>
      </c>
    </row>
    <row r="260" spans="1:4" x14ac:dyDescent="0.25">
      <c r="A260" t="str">
        <f t="shared" si="8"/>
        <v>C:\Users\USUARIO\Macros\FACTURAS Y LISTADOS\1130 - Urbanización Alborada 1-4 PH\Urbanización Alborada 1-4 PH - Facturas del mes de_259.pdf</v>
      </c>
      <c r="B260">
        <v>259</v>
      </c>
      <c r="D260" t="str">
        <f t="shared" si="9"/>
        <v>Urbanización Alborada 1-4 PH - Facturas del mes de_259.pdf</v>
      </c>
    </row>
    <row r="261" spans="1:4" x14ac:dyDescent="0.25">
      <c r="A261" t="str">
        <f t="shared" si="8"/>
        <v>C:\Users\USUARIO\Macros\FACTURAS Y LISTADOS\1130 - Urbanización Alborada 1-4 PH\Urbanización Alborada 1-4 PH - Facturas del mes de_260.pdf</v>
      </c>
      <c r="B261">
        <v>260</v>
      </c>
      <c r="D261" t="str">
        <f t="shared" si="9"/>
        <v>Urbanización Alborada 1-4 PH - Facturas del mes de_260.pdf</v>
      </c>
    </row>
    <row r="262" spans="1:4" x14ac:dyDescent="0.25">
      <c r="A262" t="str">
        <f t="shared" si="8"/>
        <v>C:\Users\USUARIO\Macros\FACTURAS Y LISTADOS\1130 - Urbanización Alborada 1-4 PH\Urbanización Alborada 1-4 PH - Facturas del mes de_261.pdf</v>
      </c>
      <c r="B262">
        <v>261</v>
      </c>
      <c r="D262" t="str">
        <f t="shared" si="9"/>
        <v>Urbanización Alborada 1-4 PH - Facturas del mes de_261.pdf</v>
      </c>
    </row>
    <row r="263" spans="1:4" x14ac:dyDescent="0.25">
      <c r="A263" t="str">
        <f t="shared" si="8"/>
        <v>C:\Users\USUARIO\Macros\FACTURAS Y LISTADOS\1130 - Urbanización Alborada 1-4 PH\Urbanización Alborada 1-4 PH - Facturas del mes de_262.pdf</v>
      </c>
      <c r="B263">
        <v>262</v>
      </c>
      <c r="D263" t="str">
        <f t="shared" si="9"/>
        <v>Urbanización Alborada 1-4 PH - Facturas del mes de_262.pdf</v>
      </c>
    </row>
    <row r="264" spans="1:4" x14ac:dyDescent="0.25">
      <c r="A264" t="str">
        <f t="shared" si="8"/>
        <v>C:\Users\USUARIO\Macros\FACTURAS Y LISTADOS\1130 - Urbanización Alborada 1-4 PH\Urbanización Alborada 1-4 PH - Facturas del mes de_263.pdf</v>
      </c>
      <c r="B264">
        <v>263</v>
      </c>
      <c r="D264" t="str">
        <f t="shared" si="9"/>
        <v>Urbanización Alborada 1-4 PH - Facturas del mes de_263.pdf</v>
      </c>
    </row>
    <row r="265" spans="1:4" x14ac:dyDescent="0.25">
      <c r="A265" t="str">
        <f t="shared" si="8"/>
        <v>C:\Users\USUARIO\Macros\FACTURAS Y LISTADOS\1130 - Urbanización Alborada 1-4 PH\Urbanización Alborada 1-4 PH - Facturas del mes de_264.pdf</v>
      </c>
      <c r="B265">
        <v>264</v>
      </c>
      <c r="D265" t="str">
        <f t="shared" si="9"/>
        <v>Urbanización Alborada 1-4 PH - Facturas del mes de_264.pdf</v>
      </c>
    </row>
    <row r="266" spans="1:4" x14ac:dyDescent="0.25">
      <c r="A266" t="str">
        <f t="shared" si="8"/>
        <v>C:\Users\USUARIO\Macros\FACTURAS Y LISTADOS\1130 - Urbanización Alborada 1-4 PH\Urbanización Alborada 1-4 PH - Facturas del mes de_265.pdf</v>
      </c>
      <c r="B266">
        <v>265</v>
      </c>
      <c r="D266" t="str">
        <f t="shared" si="9"/>
        <v>Urbanización Alborada 1-4 PH - Facturas del mes de_265.pdf</v>
      </c>
    </row>
    <row r="267" spans="1:4" x14ac:dyDescent="0.25">
      <c r="A267" t="str">
        <f t="shared" si="8"/>
        <v>C:\Users\USUARIO\Macros\FACTURAS Y LISTADOS\1130 - Urbanización Alborada 1-4 PH\Urbanización Alborada 1-4 PH - Facturas del mes de_266.pdf</v>
      </c>
      <c r="B267">
        <v>266</v>
      </c>
      <c r="D267" t="str">
        <f t="shared" si="9"/>
        <v>Urbanización Alborada 1-4 PH - Facturas del mes de_266.pdf</v>
      </c>
    </row>
    <row r="268" spans="1:4" x14ac:dyDescent="0.25">
      <c r="A268" t="str">
        <f t="shared" si="8"/>
        <v>C:\Users\USUARIO\Macros\FACTURAS Y LISTADOS\1130 - Urbanización Alborada 1-4 PH\Urbanización Alborada 1-4 PH - Facturas del mes de_267.pdf</v>
      </c>
      <c r="B268">
        <v>267</v>
      </c>
      <c r="D268" t="str">
        <f t="shared" si="9"/>
        <v>Urbanización Alborada 1-4 PH - Facturas del mes de_267.pdf</v>
      </c>
    </row>
    <row r="269" spans="1:4" x14ac:dyDescent="0.25">
      <c r="A269" t="str">
        <f t="shared" si="8"/>
        <v>C:\Users\USUARIO\Macros\FACTURAS Y LISTADOS\1130 - Urbanización Alborada 1-4 PH\Urbanización Alborada 1-4 PH - Facturas del mes de_268.pdf</v>
      </c>
      <c r="B269">
        <v>268</v>
      </c>
      <c r="D269" t="str">
        <f t="shared" si="9"/>
        <v>Urbanización Alborada 1-4 PH - Facturas del mes de_268.pdf</v>
      </c>
    </row>
    <row r="270" spans="1:4" x14ac:dyDescent="0.25">
      <c r="A270" t="str">
        <f t="shared" si="8"/>
        <v>C:\Users\USUARIO\Macros\FACTURAS Y LISTADOS\1130 - Urbanización Alborada 1-4 PH\Urbanización Alborada 1-4 PH - Facturas del mes de_269.pdf</v>
      </c>
      <c r="B270">
        <v>269</v>
      </c>
      <c r="D270" t="str">
        <f t="shared" si="9"/>
        <v>Urbanización Alborada 1-4 PH - Facturas del mes de_269.pdf</v>
      </c>
    </row>
    <row r="271" spans="1:4" x14ac:dyDescent="0.25">
      <c r="A271" t="str">
        <f t="shared" si="8"/>
        <v>C:\Users\USUARIO\Macros\FACTURAS Y LISTADOS\1130 - Urbanización Alborada 1-4 PH\Urbanización Alborada 1-4 PH - Facturas del mes de_270.pdf</v>
      </c>
      <c r="B271">
        <v>270</v>
      </c>
      <c r="D271" t="str">
        <f t="shared" si="9"/>
        <v>Urbanización Alborada 1-4 PH - Facturas del mes de_270.pdf</v>
      </c>
    </row>
    <row r="272" spans="1:4" x14ac:dyDescent="0.25">
      <c r="A272" t="str">
        <f t="shared" si="8"/>
        <v>C:\Users\USUARIO\Macros\FACTURAS Y LISTADOS\1130 - Urbanización Alborada 1-4 PH\Urbanización Alborada 1-4 PH - Facturas del mes de_271.pdf</v>
      </c>
      <c r="B272">
        <v>271</v>
      </c>
      <c r="D272" t="str">
        <f t="shared" si="9"/>
        <v>Urbanización Alborada 1-4 PH - Facturas del mes de_271.pdf</v>
      </c>
    </row>
    <row r="273" spans="1:4" x14ac:dyDescent="0.25">
      <c r="A273" t="str">
        <f t="shared" si="8"/>
        <v>C:\Users\USUARIO\Macros\FACTURAS Y LISTADOS\1130 - Urbanización Alborada 1-4 PH\Urbanización Alborada 1-4 PH - Facturas del mes de_272.pdf</v>
      </c>
      <c r="B273">
        <v>272</v>
      </c>
      <c r="D273" t="str">
        <f t="shared" si="9"/>
        <v>Urbanización Alborada 1-4 PH - Facturas del mes de_272.pdf</v>
      </c>
    </row>
    <row r="274" spans="1:4" x14ac:dyDescent="0.25">
      <c r="A274" t="str">
        <f t="shared" si="8"/>
        <v>C:\Users\USUARIO\Macros\FACTURAS Y LISTADOS\1130 - Urbanización Alborada 1-4 PH\Urbanización Alborada 1-4 PH - Facturas del mes de_273.pdf</v>
      </c>
      <c r="B274">
        <v>273</v>
      </c>
      <c r="D274" t="str">
        <f t="shared" si="9"/>
        <v>Urbanización Alborada 1-4 PH - Facturas del mes de_273.pdf</v>
      </c>
    </row>
    <row r="275" spans="1:4" x14ac:dyDescent="0.25">
      <c r="A275" t="str">
        <f t="shared" si="8"/>
        <v>C:\Users\USUARIO\Macros\FACTURAS Y LISTADOS\1130 - Urbanización Alborada 1-4 PH\Urbanización Alborada 1-4 PH - Facturas del mes de_274.pdf</v>
      </c>
      <c r="B275">
        <v>274</v>
      </c>
      <c r="D275" t="str">
        <f t="shared" si="9"/>
        <v>Urbanización Alborada 1-4 PH - Facturas del mes de_274.pdf</v>
      </c>
    </row>
    <row r="276" spans="1:4" x14ac:dyDescent="0.25">
      <c r="A276" t="str">
        <f t="shared" si="8"/>
        <v>C:\Users\USUARIO\Macros\FACTURAS Y LISTADOS\1130 - Urbanización Alborada 1-4 PH\Urbanización Alborada 1-4 PH - Facturas del mes de_275.pdf</v>
      </c>
      <c r="B276">
        <v>275</v>
      </c>
      <c r="D276" t="str">
        <f t="shared" si="9"/>
        <v>Urbanización Alborada 1-4 PH - Facturas del mes de_275.pdf</v>
      </c>
    </row>
    <row r="277" spans="1:4" x14ac:dyDescent="0.25">
      <c r="A277" t="str">
        <f t="shared" si="8"/>
        <v>C:\Users\USUARIO\Macros\FACTURAS Y LISTADOS\1130 - Urbanización Alborada 1-4 PH\Urbanización Alborada 1-4 PH - Facturas del mes de_276.pdf</v>
      </c>
      <c r="B277">
        <v>276</v>
      </c>
      <c r="D277" t="str">
        <f t="shared" si="9"/>
        <v>Urbanización Alborada 1-4 PH - Facturas del mes de_276.pdf</v>
      </c>
    </row>
    <row r="278" spans="1:4" x14ac:dyDescent="0.25">
      <c r="A278" t="str">
        <f t="shared" si="8"/>
        <v>C:\Users\USUARIO\Macros\FACTURAS Y LISTADOS\1130 - Urbanización Alborada 1-4 PH\Urbanización Alborada 1-4 PH - Facturas del mes de_277.pdf</v>
      </c>
      <c r="B278">
        <v>277</v>
      </c>
      <c r="D278" t="str">
        <f t="shared" si="9"/>
        <v>Urbanización Alborada 1-4 PH - Facturas del mes de_277.pdf</v>
      </c>
    </row>
    <row r="279" spans="1:4" x14ac:dyDescent="0.25">
      <c r="A279" t="str">
        <f t="shared" si="8"/>
        <v>C:\Users\USUARIO\Macros\FACTURAS Y LISTADOS\1130 - Urbanización Alborada 1-4 PH\Urbanización Alborada 1-4 PH - Facturas del mes de_278.pdf</v>
      </c>
      <c r="B279">
        <v>278</v>
      </c>
      <c r="D279" t="str">
        <f t="shared" si="9"/>
        <v>Urbanización Alborada 1-4 PH - Facturas del mes de_278.pdf</v>
      </c>
    </row>
    <row r="280" spans="1:4" x14ac:dyDescent="0.25">
      <c r="A280" t="str">
        <f t="shared" si="8"/>
        <v>C:\Users\USUARIO\Macros\FACTURAS Y LISTADOS\1130 - Urbanización Alborada 1-4 PH\Urbanización Alborada 1-4 PH - Facturas del mes de_279.pdf</v>
      </c>
      <c r="B280">
        <v>279</v>
      </c>
      <c r="D280" t="str">
        <f t="shared" si="9"/>
        <v>Urbanización Alborada 1-4 PH - Facturas del mes de_279.pdf</v>
      </c>
    </row>
    <row r="281" spans="1:4" x14ac:dyDescent="0.25">
      <c r="A281" t="str">
        <f t="shared" si="8"/>
        <v>C:\Users\USUARIO\Macros\FACTURAS Y LISTADOS\1130 - Urbanización Alborada 1-4 PH\Urbanización Alborada 1-4 PH - Facturas del mes de_280.pdf</v>
      </c>
      <c r="B281">
        <v>280</v>
      </c>
      <c r="D281" t="str">
        <f t="shared" si="9"/>
        <v>Urbanización Alborada 1-4 PH - Facturas del mes de_280.pdf</v>
      </c>
    </row>
    <row r="282" spans="1:4" x14ac:dyDescent="0.25">
      <c r="A282" t="str">
        <f t="shared" si="8"/>
        <v>C:\Users\USUARIO\Macros\FACTURAS Y LISTADOS\1130 - Urbanización Alborada 1-4 PH\Urbanización Alborada 1-4 PH - Facturas del mes de_281.pdf</v>
      </c>
      <c r="B282">
        <v>281</v>
      </c>
      <c r="D282" t="str">
        <f t="shared" si="9"/>
        <v>Urbanización Alborada 1-4 PH - Facturas del mes de_281.pdf</v>
      </c>
    </row>
    <row r="283" spans="1:4" x14ac:dyDescent="0.25">
      <c r="A283" t="str">
        <f t="shared" si="8"/>
        <v>C:\Users\USUARIO\Macros\FACTURAS Y LISTADOS\1130 - Urbanización Alborada 1-4 PH\Urbanización Alborada 1-4 PH - Facturas del mes de_282.pdf</v>
      </c>
      <c r="B283">
        <v>282</v>
      </c>
      <c r="D283" t="str">
        <f t="shared" si="9"/>
        <v>Urbanización Alborada 1-4 PH - Facturas del mes de_282.pdf</v>
      </c>
    </row>
    <row r="284" spans="1:4" x14ac:dyDescent="0.25">
      <c r="A284" t="str">
        <f t="shared" si="8"/>
        <v>C:\Users\USUARIO\Macros\FACTURAS Y LISTADOS\1130 - Urbanización Alborada 1-4 PH\Urbanización Alborada 1-4 PH - Facturas del mes de_283.pdf</v>
      </c>
      <c r="B284">
        <v>283</v>
      </c>
      <c r="D284" t="str">
        <f t="shared" si="9"/>
        <v>Urbanización Alborada 1-4 PH - Facturas del mes de_283.pdf</v>
      </c>
    </row>
    <row r="285" spans="1:4" x14ac:dyDescent="0.25">
      <c r="A285" t="str">
        <f t="shared" si="8"/>
        <v>C:\Users\USUARIO\Macros\FACTURAS Y LISTADOS\1130 - Urbanización Alborada 1-4 PH\Urbanización Alborada 1-4 PH - Facturas del mes de_284.pdf</v>
      </c>
      <c r="B285">
        <v>284</v>
      </c>
      <c r="D285" t="str">
        <f t="shared" si="9"/>
        <v>Urbanización Alborada 1-4 PH - Facturas del mes de_284.pdf</v>
      </c>
    </row>
    <row r="286" spans="1:4" x14ac:dyDescent="0.25">
      <c r="A286" t="str">
        <f t="shared" si="8"/>
        <v>C:\Users\USUARIO\Macros\FACTURAS Y LISTADOS\1130 - Urbanización Alborada 1-4 PH\Urbanización Alborada 1-4 PH - Facturas del mes de_285.pdf</v>
      </c>
      <c r="B286">
        <v>285</v>
      </c>
      <c r="D286" t="str">
        <f t="shared" si="9"/>
        <v>Urbanización Alborada 1-4 PH - Facturas del mes de_285.pdf</v>
      </c>
    </row>
    <row r="287" spans="1:4" x14ac:dyDescent="0.25">
      <c r="A287" t="str">
        <f t="shared" si="8"/>
        <v>C:\Users\USUARIO\Macros\FACTURAS Y LISTADOS\1130 - Urbanización Alborada 1-4 PH\Urbanización Alborada 1-4 PH - Facturas del mes de_286.pdf</v>
      </c>
      <c r="B287">
        <v>286</v>
      </c>
      <c r="D287" t="str">
        <f t="shared" si="9"/>
        <v>Urbanización Alborada 1-4 PH - Facturas del mes de_286.pdf</v>
      </c>
    </row>
    <row r="288" spans="1:4" x14ac:dyDescent="0.25">
      <c r="A288" t="str">
        <f t="shared" si="8"/>
        <v>C:\Users\USUARIO\Macros\FACTURAS Y LISTADOS\1130 - Urbanización Alborada 1-4 PH\Urbanización Alborada 1-4 PH - Facturas del mes de_287.pdf</v>
      </c>
      <c r="B288">
        <v>287</v>
      </c>
      <c r="D288" t="str">
        <f t="shared" si="9"/>
        <v>Urbanización Alborada 1-4 PH - Facturas del mes de_287.pdf</v>
      </c>
    </row>
    <row r="289" spans="1:4" x14ac:dyDescent="0.25">
      <c r="A289" t="str">
        <f t="shared" si="8"/>
        <v>C:\Users\USUARIO\Macros\FACTURAS Y LISTADOS\1130 - Urbanización Alborada 1-4 PH\Urbanización Alborada 1-4 PH - Facturas del mes de_288.pdf</v>
      </c>
      <c r="B289">
        <v>288</v>
      </c>
      <c r="D289" t="str">
        <f t="shared" si="9"/>
        <v>Urbanización Alborada 1-4 PH - Facturas del mes de_288.pdf</v>
      </c>
    </row>
    <row r="290" spans="1:4" x14ac:dyDescent="0.25">
      <c r="A290" t="str">
        <f t="shared" si="8"/>
        <v>C:\Users\USUARIO\Macros\FACTURAS Y LISTADOS\1130 - Urbanización Alborada 1-4 PH\Urbanización Alborada 1-4 PH - Facturas del mes de_289.pdf</v>
      </c>
      <c r="B290">
        <v>289</v>
      </c>
      <c r="D290" t="str">
        <f t="shared" si="9"/>
        <v>Urbanización Alborada 1-4 PH - Facturas del mes de_289.pdf</v>
      </c>
    </row>
    <row r="291" spans="1:4" x14ac:dyDescent="0.25">
      <c r="A291" t="str">
        <f t="shared" si="8"/>
        <v>C:\Users\USUARIO\Macros\FACTURAS Y LISTADOS\1130 - Urbanización Alborada 1-4 PH\Urbanización Alborada 1-4 PH - Facturas del mes de_290.pdf</v>
      </c>
      <c r="B291">
        <v>290</v>
      </c>
      <c r="D291" t="str">
        <f t="shared" si="9"/>
        <v>Urbanización Alborada 1-4 PH - Facturas del mes de_290.pdf</v>
      </c>
    </row>
    <row r="292" spans="1:4" x14ac:dyDescent="0.25">
      <c r="A292" t="str">
        <f t="shared" si="8"/>
        <v>C:\Users\USUARIO\Macros\FACTURAS Y LISTADOS\1130 - Urbanización Alborada 1-4 PH\Urbanización Alborada 1-4 PH - Facturas del mes de_291.pdf</v>
      </c>
      <c r="B292">
        <v>291</v>
      </c>
      <c r="D292" t="str">
        <f t="shared" si="9"/>
        <v>Urbanización Alborada 1-4 PH - Facturas del mes de_291.pdf</v>
      </c>
    </row>
    <row r="293" spans="1:4" x14ac:dyDescent="0.25">
      <c r="A293" t="str">
        <f t="shared" si="8"/>
        <v>C:\Users\USUARIO\Macros\FACTURAS Y LISTADOS\1130 - Urbanización Alborada 1-4 PH\Urbanización Alborada 1-4 PH - Facturas del mes de_292.pdf</v>
      </c>
      <c r="B293">
        <v>292</v>
      </c>
      <c r="D293" t="str">
        <f t="shared" si="9"/>
        <v>Urbanización Alborada 1-4 PH - Facturas del mes de_292.pdf</v>
      </c>
    </row>
    <row r="294" spans="1:4" x14ac:dyDescent="0.25">
      <c r="A294" t="str">
        <f t="shared" si="8"/>
        <v>C:\Users\USUARIO\Macros\FACTURAS Y LISTADOS\1130 - Urbanización Alborada 1-4 PH\Urbanización Alborada 1-4 PH - Facturas del mes de_293.pdf</v>
      </c>
      <c r="B294">
        <v>293</v>
      </c>
      <c r="D294" t="str">
        <f t="shared" si="9"/>
        <v>Urbanización Alborada 1-4 PH - Facturas del mes de_293.pdf</v>
      </c>
    </row>
    <row r="295" spans="1:4" x14ac:dyDescent="0.25">
      <c r="A295" t="str">
        <f t="shared" si="8"/>
        <v>C:\Users\USUARIO\Macros\FACTURAS Y LISTADOS\1130 - Urbanización Alborada 1-4 PH\Urbanización Alborada 1-4 PH - Facturas del mes de_294.pdf</v>
      </c>
      <c r="B295">
        <v>294</v>
      </c>
      <c r="D295" t="str">
        <f t="shared" si="9"/>
        <v>Urbanización Alborada 1-4 PH - Facturas del mes de_294.pdf</v>
      </c>
    </row>
    <row r="296" spans="1:4" x14ac:dyDescent="0.25">
      <c r="A296" t="str">
        <f t="shared" si="8"/>
        <v>C:\Users\USUARIO\Macros\FACTURAS Y LISTADOS\1130 - Urbanización Alborada 1-4 PH\Urbanización Alborada 1-4 PH - Facturas del mes de_295.pdf</v>
      </c>
      <c r="B296">
        <v>295</v>
      </c>
      <c r="D296" t="str">
        <f t="shared" si="9"/>
        <v>Urbanización Alborada 1-4 PH - Facturas del mes de_295.pdf</v>
      </c>
    </row>
    <row r="297" spans="1:4" x14ac:dyDescent="0.25">
      <c r="A297" t="str">
        <f t="shared" si="8"/>
        <v>C:\Users\USUARIO\Macros\FACTURAS Y LISTADOS\1130 - Urbanización Alborada 1-4 PH\Urbanización Alborada 1-4 PH - Facturas del mes de_296.pdf</v>
      </c>
      <c r="B297">
        <v>296</v>
      </c>
      <c r="D297" t="str">
        <f t="shared" si="9"/>
        <v>Urbanización Alborada 1-4 PH - Facturas del mes de_296.pdf</v>
      </c>
    </row>
    <row r="298" spans="1:4" x14ac:dyDescent="0.25">
      <c r="A298" t="str">
        <f t="shared" si="8"/>
        <v>C:\Users\USUARIO\Macros\FACTURAS Y LISTADOS\1130 - Urbanización Alborada 1-4 PH\Urbanización Alborada 1-4 PH - Facturas del mes de_297.pdf</v>
      </c>
      <c r="B298">
        <v>297</v>
      </c>
      <c r="D298" t="str">
        <f t="shared" si="9"/>
        <v>Urbanización Alborada 1-4 PH - Facturas del mes de_297.pdf</v>
      </c>
    </row>
    <row r="299" spans="1:4" x14ac:dyDescent="0.25">
      <c r="A299" t="str">
        <f t="shared" si="8"/>
        <v>C:\Users\USUARIO\Macros\FACTURAS Y LISTADOS\1130 - Urbanización Alborada 1-4 PH\Urbanización Alborada 1-4 PH - Facturas del mes de_298.pdf</v>
      </c>
      <c r="B299">
        <v>298</v>
      </c>
      <c r="D299" t="str">
        <f t="shared" si="9"/>
        <v>Urbanización Alborada 1-4 PH - Facturas del mes de_298.pdf</v>
      </c>
    </row>
    <row r="300" spans="1:4" x14ac:dyDescent="0.25">
      <c r="A300" t="str">
        <f t="shared" si="8"/>
        <v>C:\Users\USUARIO\Macros\FACTURAS Y LISTADOS\1130 - Urbanización Alborada 1-4 PH\Urbanización Alborada 1-4 PH - Facturas del mes de_299.pdf</v>
      </c>
      <c r="B300">
        <v>299</v>
      </c>
      <c r="D300" t="str">
        <f t="shared" si="9"/>
        <v>Urbanización Alborada 1-4 PH - Facturas del mes de_299.pdf</v>
      </c>
    </row>
    <row r="301" spans="1:4" x14ac:dyDescent="0.25">
      <c r="A301" t="str">
        <f>CONCATENATE($A$1,D301)</f>
        <v>C:\Users\USUARIO\Macros\FACTURAS Y LISTADOS\1130 - Urbanización Alborada 1-4 PH\Urbanización Alborada 1-4 PH - Facturas del mes de.pdf</v>
      </c>
      <c r="D301" t="str">
        <f>CONCATENATE($D$1,$E$1,$E$2,B302,$C$1)</f>
        <v>Urbanización Alborada 1-4 PH - Facturas del mes de.pdf</v>
      </c>
    </row>
    <row r="302" spans="1:4" x14ac:dyDescent="0.25">
      <c r="A302" t="str">
        <f t="shared" ref="A302:A310" si="10">CONCATENATE($A$1,D302)</f>
        <v>C:\Users\USUARIO\Macros\FACTURAS Y LISTADOS\1130 - Urbanización Alborada 1-4 PH\Urbanización Alborada 1-4 PH - Listado de Pagos del mes de.xlsx</v>
      </c>
      <c r="D302" t="str">
        <f>CONCATENATE($D$1,$E$1,$E$3,$C$2)</f>
        <v>Urbanización Alborada 1-4 PH - Listado de Pagos del mes de.xlsx</v>
      </c>
    </row>
    <row r="303" spans="1:4" x14ac:dyDescent="0.25">
      <c r="A303" t="str">
        <f t="shared" si="10"/>
        <v>C:\Users\USUARIO\Macros\FACTURAS Y LISTADOS\1130 - Urbanización Alborada 1-4 PH\Urbanización Alborada 1-4 PH - Listado de Pendientes del mes de.xlsx</v>
      </c>
      <c r="D303" t="str">
        <f>CONCATENATE($D$1,$E$1,$E$4,$C$2)</f>
        <v>Urbanización Alborada 1-4 PH - Listado de Pendientes del mes de.xlsx</v>
      </c>
    </row>
    <row r="304" spans="1:4" x14ac:dyDescent="0.25">
      <c r="A304" t="str">
        <f t="shared" si="10"/>
        <v>C:\Users\USUARIO\Macros\FACTURAS Y LISTADOS\1130 - Urbanización Alborada 1-4 PH\Urbanización Alborada 1-4 PH - Listado de Facturación del mes de.xlsx</v>
      </c>
      <c r="D304" t="str">
        <f>CONCATENATE($D$1,$E$1,$E$5,$C$2)</f>
        <v>Urbanización Alborada 1-4 PH - Listado de Facturación del mes de.xlsx</v>
      </c>
    </row>
    <row r="305" spans="1:4" x14ac:dyDescent="0.25">
      <c r="A305" t="str">
        <f t="shared" si="10"/>
        <v>C:\Users\USUARIO\Macros\FACTURAS Y LISTADOS\1130 - Urbanización Alborada 1-4 PH\Urbanización Alborada 1-4 PH - Listado de Pagos del mes de.pdf</v>
      </c>
      <c r="D305" t="str">
        <f>CONCATENATE($D$1,$E$1,$E$3,$C$1)</f>
        <v>Urbanización Alborada 1-4 PH - Listado de Pagos del mes de.pdf</v>
      </c>
    </row>
    <row r="306" spans="1:4" x14ac:dyDescent="0.25">
      <c r="A306" t="str">
        <f t="shared" si="10"/>
        <v>C:\Users\USUARIO\Macros\FACTURAS Y LISTADOS\1130 - Urbanización Alborada 1-4 PH\Urbanización Alborada 1-4 PH - Listado de Pendientes del mes de.pdf</v>
      </c>
      <c r="D306" t="str">
        <f>CONCATENATE($D$1,$E$1,$E$4,$C$1)</f>
        <v>Urbanización Alborada 1-4 PH - Listado de Pendientes del mes de.pdf</v>
      </c>
    </row>
    <row r="307" spans="1:4" x14ac:dyDescent="0.25">
      <c r="A307" t="str">
        <f t="shared" si="10"/>
        <v>C:\Users\USUARIO\Macros\FACTURAS Y LISTADOS\1130 - Urbanización Alborada 1-4 PH\Urbanización Alborada 1-4 PH - Listado de Facturación del mes de.pdf</v>
      </c>
      <c r="D307" t="str">
        <f>CONCATENATE($D$1,$E$1,$E$5,$C$1)</f>
        <v>Urbanización Alborada 1-4 PH - Listado de Facturación del mes de.pdf</v>
      </c>
    </row>
    <row r="308" spans="1:4" x14ac:dyDescent="0.25">
      <c r="A308" t="str">
        <f t="shared" si="10"/>
        <v>C:\Users\USUARIO\Macros\FACTURAS Y LISTADOS\1130 - Urbanización Alborada 1-4 PH\Urbanización Alborada 1-4 PH - Listado de Descuentos del mes de.xlsx</v>
      </c>
      <c r="D308" t="str">
        <f>CONCATENATE($D$1,$E$1,$E$6,$C$2)</f>
        <v>Urbanización Alborada 1-4 PH - Listado de Descuentos del mes de.xlsx</v>
      </c>
    </row>
    <row r="309" spans="1:4" x14ac:dyDescent="0.25">
      <c r="A309" t="str">
        <f t="shared" si="10"/>
        <v>C:\Users\USUARIO\Macros\FACTURAS Y LISTADOS\1130 - Urbanización Alborada 1-4 PH\Urbanización Alborada 1-4 PH - Listado de Descuentos del mes de.pdf</v>
      </c>
      <c r="D309" t="str">
        <f>CONCATENATE($D$1,$E$1,$E$6,$C$1)</f>
        <v>Urbanización Alborada 1-4 PH - Listado de Descuentos del mes de.pdf</v>
      </c>
    </row>
    <row r="310" spans="1:4" x14ac:dyDescent="0.25">
      <c r="A310" t="str">
        <f t="shared" si="10"/>
        <v>C:\Users\USUARIO\Macros\FACTURAS Y LISTADOS\1130 - Urbanización Alborada 1-4 PH\1130 - Urbanización Alborada 1-4 PH - Archivo para facturas.xlsx</v>
      </c>
      <c r="D310" t="str">
        <f>CONCATENATE($C$4,E1,$D$1,$E$1,$E$7,$C$2)</f>
        <v>1130 - Urbanización Alborada 1-4 PH - Archivo para facturas.xlsx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RENOMBRAR</vt:lpstr>
      <vt:lpstr>Cálculos</vt:lpstr>
      <vt:lpstr>Maestro</vt:lpstr>
      <vt:lpstr>Base</vt:lpstr>
    </vt:vector>
  </TitlesOfParts>
  <Company>Atel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Atel</dc:creator>
  <cp:lastModifiedBy>F8A</cp:lastModifiedBy>
  <dcterms:created xsi:type="dcterms:W3CDTF">2012-10-02T22:06:59Z</dcterms:created>
  <dcterms:modified xsi:type="dcterms:W3CDTF">2017-08-11T17:07:09Z</dcterms:modified>
</cp:coreProperties>
</file>