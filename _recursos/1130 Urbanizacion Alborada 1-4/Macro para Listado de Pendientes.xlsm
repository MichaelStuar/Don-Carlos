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480" yWindow="420" windowWidth="15600" windowHeight="7200"/>
  </bookViews>
  <sheets>
    <sheet name="Base de Datos Maestro" sheetId="3" r:id="rId1"/>
    <sheet name="Base de Datos Sumaria" sheetId="2" r:id="rId2"/>
    <sheet name="Pendientes" sheetId="1" r:id="rId3"/>
  </sheets>
  <externalReferences>
    <externalReference r:id="rId4"/>
  </externalReferences>
  <definedNames>
    <definedName name="_xlnm.Print_Area" localSheetId="2">Pendientes!$A$1:$N$282</definedName>
    <definedName name="_xlnm.Print_Titles" localSheetId="2">Pendientes!$4:$4</definedName>
  </definedNames>
  <calcPr calcId="145621"/>
</workbook>
</file>

<file path=xl/calcChain.xml><?xml version="1.0" encoding="utf-8"?>
<calcChain xmlns="http://schemas.openxmlformats.org/spreadsheetml/2006/main">
  <c r="A1" i="1" l="1"/>
  <c r="M278" i="1" l="1"/>
  <c r="L278" i="1"/>
  <c r="K278" i="1"/>
  <c r="J278" i="1"/>
  <c r="I278" i="1"/>
  <c r="H278" i="1"/>
  <c r="G278" i="1"/>
  <c r="F278" i="1"/>
  <c r="E278" i="1"/>
  <c r="D278" i="1"/>
  <c r="C278" i="1"/>
  <c r="B278" i="1"/>
  <c r="A278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A277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A276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A275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A274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A273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A272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A271" i="1"/>
  <c r="N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A270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A269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A268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A267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A266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A265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A264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A263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A262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A261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A260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A259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A258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A257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A256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A255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A254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A253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A252" i="1"/>
  <c r="M251" i="1"/>
  <c r="L251" i="1"/>
  <c r="K251" i="1"/>
  <c r="J251" i="1"/>
  <c r="I251" i="1"/>
  <c r="H251" i="1"/>
  <c r="G251" i="1"/>
  <c r="F251" i="1"/>
  <c r="N251" i="1" s="1"/>
  <c r="E251" i="1"/>
  <c r="D251" i="1"/>
  <c r="C251" i="1"/>
  <c r="B251" i="1"/>
  <c r="A251" i="1"/>
  <c r="M250" i="1"/>
  <c r="L250" i="1"/>
  <c r="K250" i="1"/>
  <c r="J250" i="1"/>
  <c r="I250" i="1"/>
  <c r="H250" i="1"/>
  <c r="G250" i="1"/>
  <c r="F250" i="1"/>
  <c r="N250" i="1" s="1"/>
  <c r="E250" i="1"/>
  <c r="D250" i="1"/>
  <c r="C250" i="1"/>
  <c r="B250" i="1"/>
  <c r="A250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A249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A248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A247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A246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A245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A244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A243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A242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A241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A240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A239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A238" i="1"/>
  <c r="M237" i="1"/>
  <c r="L237" i="1"/>
  <c r="K237" i="1"/>
  <c r="J237" i="1"/>
  <c r="I237" i="1"/>
  <c r="H237" i="1"/>
  <c r="G237" i="1"/>
  <c r="F237" i="1"/>
  <c r="E237" i="1"/>
  <c r="D237" i="1"/>
  <c r="C237" i="1"/>
  <c r="B237" i="1"/>
  <c r="A237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A236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A235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A234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A233" i="1"/>
  <c r="M232" i="1"/>
  <c r="L232" i="1"/>
  <c r="K232" i="1"/>
  <c r="J232" i="1"/>
  <c r="I232" i="1"/>
  <c r="H232" i="1"/>
  <c r="G232" i="1"/>
  <c r="F232" i="1"/>
  <c r="E232" i="1"/>
  <c r="D232" i="1"/>
  <c r="C232" i="1"/>
  <c r="B232" i="1"/>
  <c r="A232" i="1"/>
  <c r="M231" i="1"/>
  <c r="L231" i="1"/>
  <c r="K231" i="1"/>
  <c r="J231" i="1"/>
  <c r="I231" i="1"/>
  <c r="H231" i="1"/>
  <c r="G231" i="1"/>
  <c r="F231" i="1"/>
  <c r="E231" i="1"/>
  <c r="D231" i="1"/>
  <c r="C231" i="1"/>
  <c r="B231" i="1"/>
  <c r="A231" i="1"/>
  <c r="M230" i="1"/>
  <c r="L230" i="1"/>
  <c r="K230" i="1"/>
  <c r="J230" i="1"/>
  <c r="I230" i="1"/>
  <c r="H230" i="1"/>
  <c r="G230" i="1"/>
  <c r="F230" i="1"/>
  <c r="E230" i="1"/>
  <c r="D230" i="1"/>
  <c r="C230" i="1"/>
  <c r="B230" i="1"/>
  <c r="A230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A229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A228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A227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A226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A225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A224" i="1"/>
  <c r="N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A223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A222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A221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A220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A219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A218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A217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A216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A215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214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213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212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211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210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209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208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207" i="1"/>
  <c r="N217" i="1" l="1"/>
  <c r="N226" i="1"/>
  <c r="N234" i="1"/>
  <c r="N212" i="1"/>
  <c r="N228" i="1"/>
  <c r="N242" i="1"/>
  <c r="N244" i="1"/>
  <c r="N218" i="1"/>
  <c r="N247" i="1"/>
  <c r="N249" i="1"/>
  <c r="N254" i="1"/>
  <c r="N262" i="1"/>
  <c r="N266" i="1"/>
  <c r="N273" i="1"/>
  <c r="N213" i="1"/>
  <c r="N239" i="1"/>
  <c r="N245" i="1"/>
  <c r="N207" i="1"/>
  <c r="N209" i="1"/>
  <c r="N221" i="1"/>
  <c r="N231" i="1"/>
  <c r="N233" i="1"/>
  <c r="N211" i="1"/>
  <c r="N219" i="1"/>
  <c r="N210" i="1"/>
  <c r="N215" i="1"/>
  <c r="N220" i="1"/>
  <c r="N224" i="1"/>
  <c r="N227" i="1"/>
  <c r="N230" i="1"/>
  <c r="N235" i="1"/>
  <c r="N237" i="1"/>
  <c r="N240" i="1"/>
  <c r="N243" i="1"/>
  <c r="N248" i="1"/>
  <c r="N255" i="1"/>
  <c r="N257" i="1"/>
  <c r="N259" i="1"/>
  <c r="N261" i="1"/>
  <c r="N264" i="1"/>
  <c r="N267" i="1"/>
  <c r="N269" i="1"/>
  <c r="N272" i="1"/>
  <c r="N275" i="1"/>
  <c r="N277" i="1"/>
  <c r="N208" i="1"/>
  <c r="N214" i="1"/>
  <c r="N216" i="1"/>
  <c r="N222" i="1"/>
  <c r="N225" i="1"/>
  <c r="N229" i="1"/>
  <c r="N232" i="1"/>
  <c r="N236" i="1"/>
  <c r="N238" i="1"/>
  <c r="N241" i="1"/>
  <c r="N246" i="1"/>
  <c r="N253" i="1"/>
  <c r="N256" i="1"/>
  <c r="N258" i="1"/>
  <c r="N260" i="1"/>
  <c r="N263" i="1"/>
  <c r="N265" i="1"/>
  <c r="N268" i="1"/>
  <c r="N271" i="1"/>
  <c r="N274" i="1"/>
  <c r="N276" i="1"/>
  <c r="N278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206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205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204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203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202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201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200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199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198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197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196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195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194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193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192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191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190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189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188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187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186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185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184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183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182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181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180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179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178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177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176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175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174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173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172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171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170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169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A168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167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A166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A165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A164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163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162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161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160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159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158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157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156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155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154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153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152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151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150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149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148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147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146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145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144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143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142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141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140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139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138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137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136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135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134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133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132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131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130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129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128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127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126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125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124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123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122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121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120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119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118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117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116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115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114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113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112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111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110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109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108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107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106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105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104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103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102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101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100" i="1"/>
  <c r="M99" i="1"/>
  <c r="L99" i="1"/>
  <c r="K99" i="1"/>
  <c r="J99" i="1"/>
  <c r="I99" i="1"/>
  <c r="H99" i="1"/>
  <c r="G99" i="1"/>
  <c r="F99" i="1"/>
  <c r="E99" i="1"/>
  <c r="D99" i="1"/>
  <c r="C99" i="1"/>
  <c r="B99" i="1"/>
  <c r="A99" i="1"/>
  <c r="M98" i="1"/>
  <c r="L98" i="1"/>
  <c r="K98" i="1"/>
  <c r="J98" i="1"/>
  <c r="I98" i="1"/>
  <c r="H98" i="1"/>
  <c r="G98" i="1"/>
  <c r="F98" i="1"/>
  <c r="E98" i="1"/>
  <c r="D98" i="1"/>
  <c r="C98" i="1"/>
  <c r="B98" i="1"/>
  <c r="A98" i="1"/>
  <c r="M97" i="1"/>
  <c r="L97" i="1"/>
  <c r="K97" i="1"/>
  <c r="J97" i="1"/>
  <c r="I97" i="1"/>
  <c r="H97" i="1"/>
  <c r="G97" i="1"/>
  <c r="F97" i="1"/>
  <c r="E97" i="1"/>
  <c r="D97" i="1"/>
  <c r="C97" i="1"/>
  <c r="B97" i="1"/>
  <c r="A97" i="1"/>
  <c r="M96" i="1"/>
  <c r="L96" i="1"/>
  <c r="K96" i="1"/>
  <c r="J96" i="1"/>
  <c r="I96" i="1"/>
  <c r="H96" i="1"/>
  <c r="G96" i="1"/>
  <c r="F96" i="1"/>
  <c r="E96" i="1"/>
  <c r="D96" i="1"/>
  <c r="C96" i="1"/>
  <c r="B96" i="1"/>
  <c r="A96" i="1"/>
  <c r="M95" i="1"/>
  <c r="L95" i="1"/>
  <c r="K95" i="1"/>
  <c r="J95" i="1"/>
  <c r="I95" i="1"/>
  <c r="H95" i="1"/>
  <c r="G95" i="1"/>
  <c r="F95" i="1"/>
  <c r="E95" i="1"/>
  <c r="D95" i="1"/>
  <c r="C95" i="1"/>
  <c r="B95" i="1"/>
  <c r="A95" i="1"/>
  <c r="M94" i="1"/>
  <c r="L94" i="1"/>
  <c r="K94" i="1"/>
  <c r="J94" i="1"/>
  <c r="I94" i="1"/>
  <c r="H94" i="1"/>
  <c r="G94" i="1"/>
  <c r="F94" i="1"/>
  <c r="E94" i="1"/>
  <c r="D94" i="1"/>
  <c r="C94" i="1"/>
  <c r="B94" i="1"/>
  <c r="A94" i="1"/>
  <c r="M93" i="1"/>
  <c r="L93" i="1"/>
  <c r="K93" i="1"/>
  <c r="J93" i="1"/>
  <c r="I93" i="1"/>
  <c r="H93" i="1"/>
  <c r="G93" i="1"/>
  <c r="F93" i="1"/>
  <c r="E93" i="1"/>
  <c r="D93" i="1"/>
  <c r="C93" i="1"/>
  <c r="B93" i="1"/>
  <c r="A93" i="1"/>
  <c r="M92" i="1"/>
  <c r="L92" i="1"/>
  <c r="K92" i="1"/>
  <c r="J92" i="1"/>
  <c r="I92" i="1"/>
  <c r="H92" i="1"/>
  <c r="G92" i="1"/>
  <c r="F92" i="1"/>
  <c r="E92" i="1"/>
  <c r="D92" i="1"/>
  <c r="C92" i="1"/>
  <c r="B92" i="1"/>
  <c r="A92" i="1"/>
  <c r="M91" i="1"/>
  <c r="L91" i="1"/>
  <c r="K91" i="1"/>
  <c r="J91" i="1"/>
  <c r="I91" i="1"/>
  <c r="H91" i="1"/>
  <c r="G91" i="1"/>
  <c r="F91" i="1"/>
  <c r="E91" i="1"/>
  <c r="D91" i="1"/>
  <c r="C91" i="1"/>
  <c r="B91" i="1"/>
  <c r="A91" i="1"/>
  <c r="M90" i="1"/>
  <c r="L90" i="1"/>
  <c r="K90" i="1"/>
  <c r="J90" i="1"/>
  <c r="I90" i="1"/>
  <c r="H90" i="1"/>
  <c r="G90" i="1"/>
  <c r="F90" i="1"/>
  <c r="E90" i="1"/>
  <c r="D90" i="1"/>
  <c r="C90" i="1"/>
  <c r="B90" i="1"/>
  <c r="A90" i="1"/>
  <c r="M89" i="1"/>
  <c r="L89" i="1"/>
  <c r="K89" i="1"/>
  <c r="J89" i="1"/>
  <c r="I89" i="1"/>
  <c r="H89" i="1"/>
  <c r="G89" i="1"/>
  <c r="F89" i="1"/>
  <c r="E89" i="1"/>
  <c r="D89" i="1"/>
  <c r="C89" i="1"/>
  <c r="B89" i="1"/>
  <c r="A89" i="1"/>
  <c r="M88" i="1"/>
  <c r="L88" i="1"/>
  <c r="K88" i="1"/>
  <c r="J88" i="1"/>
  <c r="I88" i="1"/>
  <c r="H88" i="1"/>
  <c r="G88" i="1"/>
  <c r="F88" i="1"/>
  <c r="E88" i="1"/>
  <c r="D88" i="1"/>
  <c r="C88" i="1"/>
  <c r="B88" i="1"/>
  <c r="A88" i="1"/>
  <c r="M87" i="1"/>
  <c r="L87" i="1"/>
  <c r="K87" i="1"/>
  <c r="J87" i="1"/>
  <c r="I87" i="1"/>
  <c r="H87" i="1"/>
  <c r="G87" i="1"/>
  <c r="F87" i="1"/>
  <c r="E87" i="1"/>
  <c r="D87" i="1"/>
  <c r="C87" i="1"/>
  <c r="B87" i="1"/>
  <c r="A87" i="1"/>
  <c r="M86" i="1"/>
  <c r="L86" i="1"/>
  <c r="K86" i="1"/>
  <c r="J86" i="1"/>
  <c r="I86" i="1"/>
  <c r="H86" i="1"/>
  <c r="G86" i="1"/>
  <c r="F86" i="1"/>
  <c r="E86" i="1"/>
  <c r="D86" i="1"/>
  <c r="C86" i="1"/>
  <c r="B86" i="1"/>
  <c r="A86" i="1"/>
  <c r="M85" i="1"/>
  <c r="L85" i="1"/>
  <c r="K85" i="1"/>
  <c r="J85" i="1"/>
  <c r="I85" i="1"/>
  <c r="H85" i="1"/>
  <c r="G85" i="1"/>
  <c r="F85" i="1"/>
  <c r="E85" i="1"/>
  <c r="D85" i="1"/>
  <c r="C85" i="1"/>
  <c r="B85" i="1"/>
  <c r="A85" i="1"/>
  <c r="M84" i="1"/>
  <c r="L84" i="1"/>
  <c r="K84" i="1"/>
  <c r="J84" i="1"/>
  <c r="I84" i="1"/>
  <c r="H84" i="1"/>
  <c r="G84" i="1"/>
  <c r="F84" i="1"/>
  <c r="E84" i="1"/>
  <c r="D84" i="1"/>
  <c r="C84" i="1"/>
  <c r="B84" i="1"/>
  <c r="A84" i="1"/>
  <c r="M83" i="1"/>
  <c r="L83" i="1"/>
  <c r="K83" i="1"/>
  <c r="J83" i="1"/>
  <c r="I83" i="1"/>
  <c r="H83" i="1"/>
  <c r="G83" i="1"/>
  <c r="F83" i="1"/>
  <c r="E83" i="1"/>
  <c r="D83" i="1"/>
  <c r="C83" i="1"/>
  <c r="B83" i="1"/>
  <c r="A83" i="1"/>
  <c r="M82" i="1"/>
  <c r="L82" i="1"/>
  <c r="K82" i="1"/>
  <c r="J82" i="1"/>
  <c r="I82" i="1"/>
  <c r="H82" i="1"/>
  <c r="G82" i="1"/>
  <c r="F82" i="1"/>
  <c r="E82" i="1"/>
  <c r="D82" i="1"/>
  <c r="C82" i="1"/>
  <c r="B82" i="1"/>
  <c r="A82" i="1"/>
  <c r="M81" i="1"/>
  <c r="L81" i="1"/>
  <c r="K81" i="1"/>
  <c r="J81" i="1"/>
  <c r="I81" i="1"/>
  <c r="H81" i="1"/>
  <c r="G81" i="1"/>
  <c r="F81" i="1"/>
  <c r="E81" i="1"/>
  <c r="D81" i="1"/>
  <c r="C81" i="1"/>
  <c r="B81" i="1"/>
  <c r="A81" i="1"/>
  <c r="M80" i="1"/>
  <c r="L80" i="1"/>
  <c r="K80" i="1"/>
  <c r="J80" i="1"/>
  <c r="I80" i="1"/>
  <c r="H80" i="1"/>
  <c r="G80" i="1"/>
  <c r="F80" i="1"/>
  <c r="E80" i="1"/>
  <c r="D80" i="1"/>
  <c r="C80" i="1"/>
  <c r="B80" i="1"/>
  <c r="A80" i="1"/>
  <c r="M79" i="1"/>
  <c r="L79" i="1"/>
  <c r="K79" i="1"/>
  <c r="J79" i="1"/>
  <c r="I79" i="1"/>
  <c r="H79" i="1"/>
  <c r="G79" i="1"/>
  <c r="F79" i="1"/>
  <c r="E79" i="1"/>
  <c r="D79" i="1"/>
  <c r="C79" i="1"/>
  <c r="B79" i="1"/>
  <c r="A79" i="1"/>
  <c r="M78" i="1"/>
  <c r="L78" i="1"/>
  <c r="K78" i="1"/>
  <c r="J78" i="1"/>
  <c r="I78" i="1"/>
  <c r="H78" i="1"/>
  <c r="G78" i="1"/>
  <c r="F78" i="1"/>
  <c r="E78" i="1"/>
  <c r="D78" i="1"/>
  <c r="C78" i="1"/>
  <c r="B78" i="1"/>
  <c r="A78" i="1"/>
  <c r="M77" i="1"/>
  <c r="L77" i="1"/>
  <c r="K77" i="1"/>
  <c r="J77" i="1"/>
  <c r="I77" i="1"/>
  <c r="H77" i="1"/>
  <c r="G77" i="1"/>
  <c r="F77" i="1"/>
  <c r="E77" i="1"/>
  <c r="D77" i="1"/>
  <c r="C77" i="1"/>
  <c r="B77" i="1"/>
  <c r="A77" i="1"/>
  <c r="M76" i="1"/>
  <c r="L76" i="1"/>
  <c r="K76" i="1"/>
  <c r="J76" i="1"/>
  <c r="I76" i="1"/>
  <c r="H76" i="1"/>
  <c r="G76" i="1"/>
  <c r="F76" i="1"/>
  <c r="E76" i="1"/>
  <c r="D76" i="1"/>
  <c r="C76" i="1"/>
  <c r="B76" i="1"/>
  <c r="A76" i="1"/>
  <c r="M75" i="1"/>
  <c r="L75" i="1"/>
  <c r="K75" i="1"/>
  <c r="J75" i="1"/>
  <c r="I75" i="1"/>
  <c r="H75" i="1"/>
  <c r="G75" i="1"/>
  <c r="F75" i="1"/>
  <c r="E75" i="1"/>
  <c r="D75" i="1"/>
  <c r="C75" i="1"/>
  <c r="B75" i="1"/>
  <c r="A75" i="1"/>
  <c r="M74" i="1"/>
  <c r="L74" i="1"/>
  <c r="K74" i="1"/>
  <c r="J74" i="1"/>
  <c r="I74" i="1"/>
  <c r="H74" i="1"/>
  <c r="G74" i="1"/>
  <c r="F74" i="1"/>
  <c r="E74" i="1"/>
  <c r="D74" i="1"/>
  <c r="C74" i="1"/>
  <c r="B74" i="1"/>
  <c r="A74" i="1"/>
  <c r="M73" i="1"/>
  <c r="L73" i="1"/>
  <c r="K73" i="1"/>
  <c r="J73" i="1"/>
  <c r="I73" i="1"/>
  <c r="H73" i="1"/>
  <c r="G73" i="1"/>
  <c r="F73" i="1"/>
  <c r="E73" i="1"/>
  <c r="D73" i="1"/>
  <c r="C73" i="1"/>
  <c r="B73" i="1"/>
  <c r="A73" i="1"/>
  <c r="M72" i="1"/>
  <c r="L72" i="1"/>
  <c r="K72" i="1"/>
  <c r="J72" i="1"/>
  <c r="I72" i="1"/>
  <c r="H72" i="1"/>
  <c r="G72" i="1"/>
  <c r="F72" i="1"/>
  <c r="E72" i="1"/>
  <c r="D72" i="1"/>
  <c r="C72" i="1"/>
  <c r="B72" i="1"/>
  <c r="A72" i="1"/>
  <c r="M71" i="1"/>
  <c r="L71" i="1"/>
  <c r="K71" i="1"/>
  <c r="J71" i="1"/>
  <c r="I71" i="1"/>
  <c r="H71" i="1"/>
  <c r="G71" i="1"/>
  <c r="F71" i="1"/>
  <c r="E71" i="1"/>
  <c r="D71" i="1"/>
  <c r="C71" i="1"/>
  <c r="B71" i="1"/>
  <c r="A71" i="1"/>
  <c r="M70" i="1"/>
  <c r="L70" i="1"/>
  <c r="K70" i="1"/>
  <c r="J70" i="1"/>
  <c r="I70" i="1"/>
  <c r="H70" i="1"/>
  <c r="G70" i="1"/>
  <c r="F70" i="1"/>
  <c r="E70" i="1"/>
  <c r="D70" i="1"/>
  <c r="C70" i="1"/>
  <c r="B70" i="1"/>
  <c r="A70" i="1"/>
  <c r="M69" i="1"/>
  <c r="L69" i="1"/>
  <c r="K69" i="1"/>
  <c r="J69" i="1"/>
  <c r="I69" i="1"/>
  <c r="H69" i="1"/>
  <c r="G69" i="1"/>
  <c r="F69" i="1"/>
  <c r="E69" i="1"/>
  <c r="D69" i="1"/>
  <c r="C69" i="1"/>
  <c r="B69" i="1"/>
  <c r="A69" i="1"/>
  <c r="M68" i="1"/>
  <c r="L68" i="1"/>
  <c r="K68" i="1"/>
  <c r="J68" i="1"/>
  <c r="I68" i="1"/>
  <c r="H68" i="1"/>
  <c r="G68" i="1"/>
  <c r="F68" i="1"/>
  <c r="E68" i="1"/>
  <c r="D68" i="1"/>
  <c r="C68" i="1"/>
  <c r="B68" i="1"/>
  <c r="A68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M66" i="1"/>
  <c r="L66" i="1"/>
  <c r="K66" i="1"/>
  <c r="J66" i="1"/>
  <c r="I66" i="1"/>
  <c r="H66" i="1"/>
  <c r="G66" i="1"/>
  <c r="F66" i="1"/>
  <c r="E66" i="1"/>
  <c r="D66" i="1"/>
  <c r="C66" i="1"/>
  <c r="B66" i="1"/>
  <c r="A66" i="1"/>
  <c r="M65" i="1"/>
  <c r="L65" i="1"/>
  <c r="K65" i="1"/>
  <c r="J65" i="1"/>
  <c r="I65" i="1"/>
  <c r="H65" i="1"/>
  <c r="G65" i="1"/>
  <c r="F65" i="1"/>
  <c r="E65" i="1"/>
  <c r="D65" i="1"/>
  <c r="C65" i="1"/>
  <c r="B65" i="1"/>
  <c r="A65" i="1"/>
  <c r="M64" i="1"/>
  <c r="L64" i="1"/>
  <c r="K64" i="1"/>
  <c r="J64" i="1"/>
  <c r="I64" i="1"/>
  <c r="H64" i="1"/>
  <c r="G64" i="1"/>
  <c r="F64" i="1"/>
  <c r="E64" i="1"/>
  <c r="D64" i="1"/>
  <c r="C64" i="1"/>
  <c r="B64" i="1"/>
  <c r="A64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M62" i="1"/>
  <c r="L62" i="1"/>
  <c r="K62" i="1"/>
  <c r="J62" i="1"/>
  <c r="I62" i="1"/>
  <c r="H62" i="1"/>
  <c r="G62" i="1"/>
  <c r="F62" i="1"/>
  <c r="E62" i="1"/>
  <c r="D62" i="1"/>
  <c r="C62" i="1"/>
  <c r="B62" i="1"/>
  <c r="A62" i="1"/>
  <c r="M61" i="1"/>
  <c r="L61" i="1"/>
  <c r="K61" i="1"/>
  <c r="J61" i="1"/>
  <c r="I61" i="1"/>
  <c r="H61" i="1"/>
  <c r="G61" i="1"/>
  <c r="F61" i="1"/>
  <c r="E61" i="1"/>
  <c r="D61" i="1"/>
  <c r="C61" i="1"/>
  <c r="B61" i="1"/>
  <c r="A61" i="1"/>
  <c r="M60" i="1"/>
  <c r="L60" i="1"/>
  <c r="K60" i="1"/>
  <c r="J60" i="1"/>
  <c r="I60" i="1"/>
  <c r="H60" i="1"/>
  <c r="G60" i="1"/>
  <c r="F60" i="1"/>
  <c r="E60" i="1"/>
  <c r="D60" i="1"/>
  <c r="C60" i="1"/>
  <c r="B60" i="1"/>
  <c r="A60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M58" i="1"/>
  <c r="L58" i="1"/>
  <c r="K58" i="1"/>
  <c r="J58" i="1"/>
  <c r="I58" i="1"/>
  <c r="H58" i="1"/>
  <c r="G58" i="1"/>
  <c r="F58" i="1"/>
  <c r="E58" i="1"/>
  <c r="D58" i="1"/>
  <c r="C58" i="1"/>
  <c r="B58" i="1"/>
  <c r="A58" i="1"/>
  <c r="M57" i="1"/>
  <c r="L57" i="1"/>
  <c r="K57" i="1"/>
  <c r="J57" i="1"/>
  <c r="I57" i="1"/>
  <c r="H57" i="1"/>
  <c r="G57" i="1"/>
  <c r="F57" i="1"/>
  <c r="E57" i="1"/>
  <c r="D57" i="1"/>
  <c r="C57" i="1"/>
  <c r="B57" i="1"/>
  <c r="A57" i="1"/>
  <c r="M56" i="1"/>
  <c r="L56" i="1"/>
  <c r="K56" i="1"/>
  <c r="J56" i="1"/>
  <c r="I56" i="1"/>
  <c r="H56" i="1"/>
  <c r="G56" i="1"/>
  <c r="F56" i="1"/>
  <c r="E56" i="1"/>
  <c r="D56" i="1"/>
  <c r="C56" i="1"/>
  <c r="B56" i="1"/>
  <c r="A56" i="1"/>
  <c r="M55" i="1"/>
  <c r="L55" i="1"/>
  <c r="K55" i="1"/>
  <c r="J55" i="1"/>
  <c r="I55" i="1"/>
  <c r="H55" i="1"/>
  <c r="G55" i="1"/>
  <c r="F55" i="1"/>
  <c r="E55" i="1"/>
  <c r="D55" i="1"/>
  <c r="C55" i="1"/>
  <c r="B55" i="1"/>
  <c r="A55" i="1"/>
  <c r="M54" i="1"/>
  <c r="L54" i="1"/>
  <c r="K54" i="1"/>
  <c r="J54" i="1"/>
  <c r="I54" i="1"/>
  <c r="H54" i="1"/>
  <c r="G54" i="1"/>
  <c r="F54" i="1"/>
  <c r="E54" i="1"/>
  <c r="D54" i="1"/>
  <c r="C54" i="1"/>
  <c r="B54" i="1"/>
  <c r="A54" i="1"/>
  <c r="M53" i="1"/>
  <c r="L53" i="1"/>
  <c r="K53" i="1"/>
  <c r="J53" i="1"/>
  <c r="I53" i="1"/>
  <c r="H53" i="1"/>
  <c r="G53" i="1"/>
  <c r="F53" i="1"/>
  <c r="E53" i="1"/>
  <c r="D53" i="1"/>
  <c r="C53" i="1"/>
  <c r="B53" i="1"/>
  <c r="A53" i="1"/>
  <c r="M52" i="1"/>
  <c r="L52" i="1"/>
  <c r="K52" i="1"/>
  <c r="J52" i="1"/>
  <c r="I52" i="1"/>
  <c r="H52" i="1"/>
  <c r="G52" i="1"/>
  <c r="F52" i="1"/>
  <c r="E52" i="1"/>
  <c r="D52" i="1"/>
  <c r="C52" i="1"/>
  <c r="B52" i="1"/>
  <c r="A52" i="1"/>
  <c r="M51" i="1"/>
  <c r="L51" i="1"/>
  <c r="K51" i="1"/>
  <c r="J51" i="1"/>
  <c r="I51" i="1"/>
  <c r="H51" i="1"/>
  <c r="G51" i="1"/>
  <c r="F51" i="1"/>
  <c r="E51" i="1"/>
  <c r="D51" i="1"/>
  <c r="C51" i="1"/>
  <c r="B51" i="1"/>
  <c r="A51" i="1"/>
  <c r="M50" i="1"/>
  <c r="L50" i="1"/>
  <c r="K50" i="1"/>
  <c r="J50" i="1"/>
  <c r="I50" i="1"/>
  <c r="H50" i="1"/>
  <c r="G50" i="1"/>
  <c r="F50" i="1"/>
  <c r="E50" i="1"/>
  <c r="D50" i="1"/>
  <c r="C50" i="1"/>
  <c r="B50" i="1"/>
  <c r="A50" i="1"/>
  <c r="M49" i="1"/>
  <c r="L49" i="1"/>
  <c r="K49" i="1"/>
  <c r="J49" i="1"/>
  <c r="I49" i="1"/>
  <c r="H49" i="1"/>
  <c r="G49" i="1"/>
  <c r="F49" i="1"/>
  <c r="E49" i="1"/>
  <c r="D49" i="1"/>
  <c r="C49" i="1"/>
  <c r="B49" i="1"/>
  <c r="A49" i="1"/>
  <c r="M48" i="1"/>
  <c r="L48" i="1"/>
  <c r="K48" i="1"/>
  <c r="J48" i="1"/>
  <c r="I48" i="1"/>
  <c r="H48" i="1"/>
  <c r="G48" i="1"/>
  <c r="F48" i="1"/>
  <c r="E48" i="1"/>
  <c r="D48" i="1"/>
  <c r="C48" i="1"/>
  <c r="B48" i="1"/>
  <c r="A48" i="1"/>
  <c r="M47" i="1"/>
  <c r="L47" i="1"/>
  <c r="K47" i="1"/>
  <c r="J47" i="1"/>
  <c r="I47" i="1"/>
  <c r="H47" i="1"/>
  <c r="G47" i="1"/>
  <c r="F47" i="1"/>
  <c r="E47" i="1"/>
  <c r="D47" i="1"/>
  <c r="C47" i="1"/>
  <c r="B47" i="1"/>
  <c r="A47" i="1"/>
  <c r="M46" i="1"/>
  <c r="L46" i="1"/>
  <c r="K46" i="1"/>
  <c r="J46" i="1"/>
  <c r="I46" i="1"/>
  <c r="H46" i="1"/>
  <c r="G46" i="1"/>
  <c r="F46" i="1"/>
  <c r="E46" i="1"/>
  <c r="D46" i="1"/>
  <c r="C46" i="1"/>
  <c r="B46" i="1"/>
  <c r="A46" i="1"/>
  <c r="M45" i="1"/>
  <c r="L45" i="1"/>
  <c r="K45" i="1"/>
  <c r="J45" i="1"/>
  <c r="I45" i="1"/>
  <c r="H45" i="1"/>
  <c r="G45" i="1"/>
  <c r="F45" i="1"/>
  <c r="E45" i="1"/>
  <c r="D45" i="1"/>
  <c r="C45" i="1"/>
  <c r="B45" i="1"/>
  <c r="A45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M43" i="1"/>
  <c r="L43" i="1"/>
  <c r="K43" i="1"/>
  <c r="J43" i="1"/>
  <c r="I43" i="1"/>
  <c r="H43" i="1"/>
  <c r="G43" i="1"/>
  <c r="F43" i="1"/>
  <c r="E43" i="1"/>
  <c r="D43" i="1"/>
  <c r="C43" i="1"/>
  <c r="B43" i="1"/>
  <c r="A43" i="1"/>
  <c r="M42" i="1"/>
  <c r="L42" i="1"/>
  <c r="K42" i="1"/>
  <c r="J42" i="1"/>
  <c r="I42" i="1"/>
  <c r="H42" i="1"/>
  <c r="G42" i="1"/>
  <c r="F42" i="1"/>
  <c r="E42" i="1"/>
  <c r="D42" i="1"/>
  <c r="C42" i="1"/>
  <c r="B42" i="1"/>
  <c r="A42" i="1"/>
  <c r="M41" i="1"/>
  <c r="L41" i="1"/>
  <c r="K41" i="1"/>
  <c r="J41" i="1"/>
  <c r="I41" i="1"/>
  <c r="H41" i="1"/>
  <c r="G41" i="1"/>
  <c r="F41" i="1"/>
  <c r="E41" i="1"/>
  <c r="D41" i="1"/>
  <c r="C41" i="1"/>
  <c r="B41" i="1"/>
  <c r="A41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M39" i="1"/>
  <c r="L39" i="1"/>
  <c r="K39" i="1"/>
  <c r="J39" i="1"/>
  <c r="I39" i="1"/>
  <c r="H39" i="1"/>
  <c r="G39" i="1"/>
  <c r="F39" i="1"/>
  <c r="E39" i="1"/>
  <c r="D39" i="1"/>
  <c r="C39" i="1"/>
  <c r="B39" i="1"/>
  <c r="A39" i="1"/>
  <c r="M38" i="1"/>
  <c r="L38" i="1"/>
  <c r="K38" i="1"/>
  <c r="J38" i="1"/>
  <c r="I38" i="1"/>
  <c r="H38" i="1"/>
  <c r="G38" i="1"/>
  <c r="F38" i="1"/>
  <c r="E38" i="1"/>
  <c r="D38" i="1"/>
  <c r="C38" i="1"/>
  <c r="B38" i="1"/>
  <c r="A38" i="1"/>
  <c r="M37" i="1"/>
  <c r="L37" i="1"/>
  <c r="K37" i="1"/>
  <c r="J37" i="1"/>
  <c r="I37" i="1"/>
  <c r="H37" i="1"/>
  <c r="G37" i="1"/>
  <c r="F37" i="1"/>
  <c r="E37" i="1"/>
  <c r="D37" i="1"/>
  <c r="C37" i="1"/>
  <c r="B37" i="1"/>
  <c r="A37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M35" i="1"/>
  <c r="L35" i="1"/>
  <c r="K35" i="1"/>
  <c r="J35" i="1"/>
  <c r="I35" i="1"/>
  <c r="H35" i="1"/>
  <c r="G35" i="1"/>
  <c r="F35" i="1"/>
  <c r="E35" i="1"/>
  <c r="D35" i="1"/>
  <c r="C35" i="1"/>
  <c r="B35" i="1"/>
  <c r="A35" i="1"/>
  <c r="M34" i="1"/>
  <c r="L34" i="1"/>
  <c r="K34" i="1"/>
  <c r="J34" i="1"/>
  <c r="I34" i="1"/>
  <c r="H34" i="1"/>
  <c r="G34" i="1"/>
  <c r="F34" i="1"/>
  <c r="E34" i="1"/>
  <c r="D34" i="1"/>
  <c r="C34" i="1"/>
  <c r="B34" i="1"/>
  <c r="A34" i="1"/>
  <c r="M33" i="1"/>
  <c r="L33" i="1"/>
  <c r="K33" i="1"/>
  <c r="J33" i="1"/>
  <c r="I33" i="1"/>
  <c r="H33" i="1"/>
  <c r="G33" i="1"/>
  <c r="F33" i="1"/>
  <c r="E33" i="1"/>
  <c r="D33" i="1"/>
  <c r="C33" i="1"/>
  <c r="B33" i="1"/>
  <c r="A33" i="1"/>
  <c r="M32" i="1"/>
  <c r="L32" i="1"/>
  <c r="K32" i="1"/>
  <c r="J32" i="1"/>
  <c r="I32" i="1"/>
  <c r="H32" i="1"/>
  <c r="G32" i="1"/>
  <c r="F32" i="1"/>
  <c r="E32" i="1"/>
  <c r="D32" i="1"/>
  <c r="C32" i="1"/>
  <c r="B32" i="1"/>
  <c r="A32" i="1"/>
  <c r="M31" i="1"/>
  <c r="L31" i="1"/>
  <c r="K31" i="1"/>
  <c r="J31" i="1"/>
  <c r="I31" i="1"/>
  <c r="H31" i="1"/>
  <c r="G31" i="1"/>
  <c r="F31" i="1"/>
  <c r="E31" i="1"/>
  <c r="D31" i="1"/>
  <c r="C31" i="1"/>
  <c r="B31" i="1"/>
  <c r="A31" i="1"/>
  <c r="M30" i="1"/>
  <c r="L30" i="1"/>
  <c r="K30" i="1"/>
  <c r="J30" i="1"/>
  <c r="I30" i="1"/>
  <c r="H30" i="1"/>
  <c r="G30" i="1"/>
  <c r="F30" i="1"/>
  <c r="E30" i="1"/>
  <c r="D30" i="1"/>
  <c r="C30" i="1"/>
  <c r="B30" i="1"/>
  <c r="A30" i="1"/>
  <c r="M29" i="1"/>
  <c r="L29" i="1"/>
  <c r="K29" i="1"/>
  <c r="J29" i="1"/>
  <c r="I29" i="1"/>
  <c r="H29" i="1"/>
  <c r="G29" i="1"/>
  <c r="F29" i="1"/>
  <c r="E29" i="1"/>
  <c r="D29" i="1"/>
  <c r="C29" i="1"/>
  <c r="B29" i="1"/>
  <c r="A29" i="1"/>
  <c r="M28" i="1"/>
  <c r="L28" i="1"/>
  <c r="K28" i="1"/>
  <c r="J28" i="1"/>
  <c r="I28" i="1"/>
  <c r="H28" i="1"/>
  <c r="G28" i="1"/>
  <c r="F28" i="1"/>
  <c r="E28" i="1"/>
  <c r="D28" i="1"/>
  <c r="C28" i="1"/>
  <c r="B28" i="1"/>
  <c r="A28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M26" i="1"/>
  <c r="L26" i="1"/>
  <c r="K26" i="1"/>
  <c r="J26" i="1"/>
  <c r="I26" i="1"/>
  <c r="H26" i="1"/>
  <c r="G26" i="1"/>
  <c r="F26" i="1"/>
  <c r="E26" i="1"/>
  <c r="D26" i="1"/>
  <c r="C26" i="1"/>
  <c r="B26" i="1"/>
  <c r="A26" i="1"/>
  <c r="M25" i="1"/>
  <c r="L25" i="1"/>
  <c r="K25" i="1"/>
  <c r="J25" i="1"/>
  <c r="I25" i="1"/>
  <c r="H25" i="1"/>
  <c r="G25" i="1"/>
  <c r="F25" i="1"/>
  <c r="E25" i="1"/>
  <c r="D25" i="1"/>
  <c r="C25" i="1"/>
  <c r="B25" i="1"/>
  <c r="A25" i="1"/>
  <c r="M24" i="1"/>
  <c r="L24" i="1"/>
  <c r="K24" i="1"/>
  <c r="J24" i="1"/>
  <c r="I24" i="1"/>
  <c r="H24" i="1"/>
  <c r="G24" i="1"/>
  <c r="F24" i="1"/>
  <c r="E24" i="1"/>
  <c r="D24" i="1"/>
  <c r="C24" i="1"/>
  <c r="B24" i="1"/>
  <c r="A24" i="1"/>
  <c r="M23" i="1"/>
  <c r="L23" i="1"/>
  <c r="K23" i="1"/>
  <c r="J23" i="1"/>
  <c r="I23" i="1"/>
  <c r="H23" i="1"/>
  <c r="G23" i="1"/>
  <c r="F23" i="1"/>
  <c r="E23" i="1"/>
  <c r="D23" i="1"/>
  <c r="C23" i="1"/>
  <c r="B23" i="1"/>
  <c r="A23" i="1"/>
  <c r="M22" i="1"/>
  <c r="L22" i="1"/>
  <c r="K22" i="1"/>
  <c r="J22" i="1"/>
  <c r="I22" i="1"/>
  <c r="H22" i="1"/>
  <c r="G22" i="1"/>
  <c r="F22" i="1"/>
  <c r="E22" i="1"/>
  <c r="D22" i="1"/>
  <c r="C22" i="1"/>
  <c r="B22" i="1"/>
  <c r="A22" i="1"/>
  <c r="M21" i="1"/>
  <c r="L21" i="1"/>
  <c r="K21" i="1"/>
  <c r="J21" i="1"/>
  <c r="I21" i="1"/>
  <c r="H21" i="1"/>
  <c r="G21" i="1"/>
  <c r="F21" i="1"/>
  <c r="E21" i="1"/>
  <c r="D21" i="1"/>
  <c r="C21" i="1"/>
  <c r="B21" i="1"/>
  <c r="A21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M17" i="1"/>
  <c r="L17" i="1"/>
  <c r="K17" i="1"/>
  <c r="J17" i="1"/>
  <c r="I17" i="1"/>
  <c r="H17" i="1"/>
  <c r="G17" i="1"/>
  <c r="F17" i="1"/>
  <c r="E17" i="1"/>
  <c r="D17" i="1"/>
  <c r="C17" i="1"/>
  <c r="B17" i="1"/>
  <c r="A17" i="1"/>
  <c r="M16" i="1"/>
  <c r="L16" i="1"/>
  <c r="K16" i="1"/>
  <c r="J16" i="1"/>
  <c r="I16" i="1"/>
  <c r="H16" i="1"/>
  <c r="G16" i="1"/>
  <c r="F16" i="1"/>
  <c r="E16" i="1"/>
  <c r="D16" i="1"/>
  <c r="C16" i="1"/>
  <c r="B16" i="1"/>
  <c r="A16" i="1"/>
  <c r="M15" i="1"/>
  <c r="L15" i="1"/>
  <c r="K15" i="1"/>
  <c r="J15" i="1"/>
  <c r="I15" i="1"/>
  <c r="H15" i="1"/>
  <c r="G15" i="1"/>
  <c r="F15" i="1"/>
  <c r="E15" i="1"/>
  <c r="D15" i="1"/>
  <c r="C15" i="1"/>
  <c r="B15" i="1"/>
  <c r="A15" i="1"/>
  <c r="M14" i="1"/>
  <c r="L14" i="1"/>
  <c r="K14" i="1"/>
  <c r="J14" i="1"/>
  <c r="I14" i="1"/>
  <c r="H14" i="1"/>
  <c r="G14" i="1"/>
  <c r="F14" i="1"/>
  <c r="E14" i="1"/>
  <c r="D14" i="1"/>
  <c r="C14" i="1"/>
  <c r="B14" i="1"/>
  <c r="A14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M9" i="1"/>
  <c r="L9" i="1"/>
  <c r="K9" i="1"/>
  <c r="J9" i="1"/>
  <c r="I9" i="1"/>
  <c r="H9" i="1"/>
  <c r="G9" i="1"/>
  <c r="F9" i="1"/>
  <c r="E9" i="1"/>
  <c r="D9" i="1"/>
  <c r="C9" i="1"/>
  <c r="B9" i="1"/>
  <c r="A9" i="1"/>
  <c r="M8" i="1"/>
  <c r="L8" i="1"/>
  <c r="K8" i="1"/>
  <c r="J8" i="1"/>
  <c r="I8" i="1"/>
  <c r="H8" i="1"/>
  <c r="G8" i="1"/>
  <c r="F8" i="1"/>
  <c r="E8" i="1"/>
  <c r="D8" i="1"/>
  <c r="C8" i="1"/>
  <c r="B8" i="1"/>
  <c r="A8" i="1"/>
  <c r="M7" i="1"/>
  <c r="L7" i="1"/>
  <c r="K7" i="1"/>
  <c r="J7" i="1"/>
  <c r="I7" i="1"/>
  <c r="H7" i="1"/>
  <c r="G7" i="1"/>
  <c r="F7" i="1"/>
  <c r="E7" i="1"/>
  <c r="D7" i="1"/>
  <c r="C7" i="1"/>
  <c r="B7" i="1"/>
  <c r="A7" i="1"/>
  <c r="M6" i="1"/>
  <c r="L6" i="1"/>
  <c r="K6" i="1"/>
  <c r="J6" i="1"/>
  <c r="I6" i="1"/>
  <c r="H6" i="1"/>
  <c r="G6" i="1"/>
  <c r="F6" i="1"/>
  <c r="E6" i="1"/>
  <c r="D6" i="1"/>
  <c r="C6" i="1"/>
  <c r="B6" i="1"/>
  <c r="A6" i="1"/>
  <c r="M5" i="1"/>
  <c r="L5" i="1"/>
  <c r="K5" i="1"/>
  <c r="J5" i="1"/>
  <c r="I5" i="1"/>
  <c r="H5" i="1"/>
  <c r="G5" i="1"/>
  <c r="F5" i="1"/>
  <c r="E5" i="1"/>
  <c r="D5" i="1"/>
  <c r="C5" i="1"/>
  <c r="B5" i="1"/>
  <c r="A5" i="1"/>
  <c r="A2" i="1"/>
  <c r="N200" i="1" l="1"/>
  <c r="N178" i="1"/>
  <c r="N182" i="1"/>
  <c r="N196" i="1"/>
  <c r="N197" i="1"/>
  <c r="N193" i="1"/>
  <c r="N205" i="1"/>
  <c r="N177" i="1"/>
  <c r="N181" i="1"/>
  <c r="N167" i="1"/>
  <c r="N194" i="1"/>
  <c r="N116" i="1"/>
  <c r="N132" i="1"/>
  <c r="N158" i="1"/>
  <c r="N159" i="1"/>
  <c r="N165" i="1"/>
  <c r="N149" i="1"/>
  <c r="N122" i="1"/>
  <c r="N88" i="1"/>
  <c r="N134" i="1"/>
  <c r="N148" i="1"/>
  <c r="N163" i="1"/>
  <c r="N183" i="1"/>
  <c r="N189" i="1"/>
  <c r="N191" i="1"/>
  <c r="N203" i="1"/>
  <c r="N166" i="1"/>
  <c r="N176" i="1"/>
  <c r="N179" i="1"/>
  <c r="N184" i="1"/>
  <c r="N186" i="1"/>
  <c r="N188" i="1"/>
  <c r="N190" i="1"/>
  <c r="N192" i="1"/>
  <c r="N199" i="1"/>
  <c r="N202" i="1"/>
  <c r="N91" i="1"/>
  <c r="N90" i="1"/>
  <c r="N120" i="1"/>
  <c r="N136" i="1"/>
  <c r="N138" i="1"/>
  <c r="N130" i="1"/>
  <c r="N142" i="1"/>
  <c r="N151" i="1"/>
  <c r="N157" i="1"/>
  <c r="N180" i="1"/>
  <c r="N185" i="1"/>
  <c r="N187" i="1"/>
  <c r="N195" i="1"/>
  <c r="N198" i="1"/>
  <c r="N201" i="1"/>
  <c r="N204" i="1"/>
  <c r="N206" i="1"/>
  <c r="N169" i="1"/>
  <c r="N171" i="1"/>
  <c r="N173" i="1"/>
  <c r="N175" i="1"/>
  <c r="N103" i="1"/>
  <c r="N107" i="1"/>
  <c r="N129" i="1"/>
  <c r="N131" i="1"/>
  <c r="N143" i="1"/>
  <c r="N147" i="1"/>
  <c r="N150" i="1"/>
  <c r="N152" i="1"/>
  <c r="N156" i="1"/>
  <c r="N162" i="1"/>
  <c r="N172" i="1"/>
  <c r="N145" i="1"/>
  <c r="N154" i="1"/>
  <c r="N160" i="1"/>
  <c r="N100" i="1"/>
  <c r="N102" i="1"/>
  <c r="N78" i="1"/>
  <c r="N133" i="1"/>
  <c r="N137" i="1"/>
  <c r="N139" i="1"/>
  <c r="N141" i="1"/>
  <c r="N161" i="1"/>
  <c r="N164" i="1"/>
  <c r="N168" i="1"/>
  <c r="N170" i="1"/>
  <c r="N174" i="1"/>
  <c r="N71" i="1"/>
  <c r="N73" i="1"/>
  <c r="N75" i="1"/>
  <c r="N83" i="1"/>
  <c r="N85" i="1"/>
  <c r="N89" i="1"/>
  <c r="N93" i="1"/>
  <c r="N97" i="1"/>
  <c r="N104" i="1"/>
  <c r="N109" i="1"/>
  <c r="N117" i="1"/>
  <c r="N119" i="1"/>
  <c r="N121" i="1"/>
  <c r="N125" i="1"/>
  <c r="N127" i="1"/>
  <c r="N58" i="1"/>
  <c r="N86" i="1"/>
  <c r="N114" i="1"/>
  <c r="N135" i="1"/>
  <c r="N140" i="1"/>
  <c r="N144" i="1"/>
  <c r="N146" i="1"/>
  <c r="N153" i="1"/>
  <c r="N155" i="1"/>
  <c r="N10" i="1"/>
  <c r="N22" i="1"/>
  <c r="N68" i="1"/>
  <c r="N84" i="1"/>
  <c r="N92" i="1"/>
  <c r="N98" i="1"/>
  <c r="N108" i="1"/>
  <c r="N112" i="1"/>
  <c r="N118" i="1"/>
  <c r="N124" i="1"/>
  <c r="N61" i="1"/>
  <c r="N101" i="1"/>
  <c r="N63" i="1"/>
  <c r="N81" i="1"/>
  <c r="N105" i="1"/>
  <c r="N110" i="1"/>
  <c r="N115" i="1"/>
  <c r="N126" i="1"/>
  <c r="N128" i="1"/>
  <c r="N29" i="1"/>
  <c r="N64" i="1"/>
  <c r="N7" i="1"/>
  <c r="N9" i="1"/>
  <c r="N11" i="1"/>
  <c r="N38" i="1"/>
  <c r="N62" i="1"/>
  <c r="N70" i="1"/>
  <c r="N94" i="1"/>
  <c r="N96" i="1"/>
  <c r="N99" i="1"/>
  <c r="N106" i="1"/>
  <c r="N111" i="1"/>
  <c r="N76" i="1"/>
  <c r="N80" i="1"/>
  <c r="N17" i="1"/>
  <c r="N34" i="1"/>
  <c r="N14" i="1"/>
  <c r="N21" i="1"/>
  <c r="N28" i="1"/>
  <c r="N40" i="1"/>
  <c r="N54" i="1"/>
  <c r="N56" i="1"/>
  <c r="N72" i="1"/>
  <c r="N82" i="1"/>
  <c r="N87" i="1"/>
  <c r="N95" i="1"/>
  <c r="N113" i="1"/>
  <c r="N123" i="1"/>
  <c r="N6" i="1"/>
  <c r="N16" i="1"/>
  <c r="N23" i="1"/>
  <c r="N53" i="1"/>
  <c r="N59" i="1"/>
  <c r="N66" i="1"/>
  <c r="N5" i="1"/>
  <c r="N49" i="1"/>
  <c r="N65" i="1"/>
  <c r="N67" i="1"/>
  <c r="N77" i="1"/>
  <c r="N19" i="1"/>
  <c r="N27" i="1"/>
  <c r="N30" i="1"/>
  <c r="N36" i="1"/>
  <c r="N47" i="1"/>
  <c r="N55" i="1"/>
  <c r="N60" i="1"/>
  <c r="N69" i="1"/>
  <c r="N74" i="1"/>
  <c r="N79" i="1"/>
  <c r="N13" i="1"/>
  <c r="N18" i="1"/>
  <c r="N20" i="1"/>
  <c r="N31" i="1"/>
  <c r="N35" i="1"/>
  <c r="N37" i="1"/>
  <c r="N42" i="1"/>
  <c r="N44" i="1"/>
  <c r="N46" i="1"/>
  <c r="N48" i="1"/>
  <c r="N50" i="1"/>
  <c r="N52" i="1"/>
  <c r="F281" i="1"/>
  <c r="H281" i="1"/>
  <c r="J281" i="1"/>
  <c r="L281" i="1"/>
  <c r="G281" i="1"/>
  <c r="I281" i="1"/>
  <c r="K281" i="1"/>
  <c r="M281" i="1"/>
  <c r="N12" i="1"/>
  <c r="N41" i="1"/>
  <c r="N15" i="1"/>
  <c r="N24" i="1"/>
  <c r="N51" i="1"/>
  <c r="N57" i="1"/>
  <c r="N8" i="1"/>
  <c r="N25" i="1"/>
  <c r="N32" i="1"/>
  <c r="N39" i="1"/>
  <c r="N43" i="1"/>
  <c r="N45" i="1"/>
  <c r="N33" i="1"/>
  <c r="N26" i="1"/>
  <c r="N281" i="1" l="1"/>
</calcChain>
</file>

<file path=xl/sharedStrings.xml><?xml version="1.0" encoding="utf-8"?>
<sst xmlns="http://schemas.openxmlformats.org/spreadsheetml/2006/main" count="1388" uniqueCount="475">
  <si>
    <t>Bloq.</t>
  </si>
  <si>
    <t>Apto.</t>
  </si>
  <si>
    <t>Factura</t>
  </si>
  <si>
    <t>Ctas Vdas.</t>
  </si>
  <si>
    <t>Admón</t>
  </si>
  <si>
    <t>Interés</t>
  </si>
  <si>
    <t>Otros</t>
  </si>
  <si>
    <t>Multa</t>
  </si>
  <si>
    <t>Notas D/C</t>
  </si>
  <si>
    <t>Valor</t>
  </si>
  <si>
    <t>CODIGO</t>
  </si>
  <si>
    <t>COD</t>
  </si>
  <si>
    <t>BLOQ</t>
  </si>
  <si>
    <t>APTO</t>
  </si>
  <si>
    <t>CLAVE</t>
  </si>
  <si>
    <t>CODIGO1</t>
  </si>
  <si>
    <t>CODPROP</t>
  </si>
  <si>
    <t>FAC</t>
  </si>
  <si>
    <t>C_V</t>
  </si>
  <si>
    <t>PEND</t>
  </si>
  <si>
    <t>INTP</t>
  </si>
  <si>
    <t>OTROSP</t>
  </si>
  <si>
    <t>EXTRAP</t>
  </si>
  <si>
    <t>MULTAP</t>
  </si>
  <si>
    <t>SERPUP</t>
  </si>
  <si>
    <t>SERVIP</t>
  </si>
  <si>
    <t>NDNCP</t>
  </si>
  <si>
    <t>ACTUAL</t>
  </si>
  <si>
    <t>INTA</t>
  </si>
  <si>
    <t>OTROSA</t>
  </si>
  <si>
    <t>EXTRAA</t>
  </si>
  <si>
    <t>MULTAA</t>
  </si>
  <si>
    <t>SERPUA</t>
  </si>
  <si>
    <t>SERVIA</t>
  </si>
  <si>
    <t>NDNCA</t>
  </si>
  <si>
    <t>TADMI</t>
  </si>
  <si>
    <t>TINTE</t>
  </si>
  <si>
    <t>TOTRO</t>
  </si>
  <si>
    <t>TEXTR</t>
  </si>
  <si>
    <t>TMULT</t>
  </si>
  <si>
    <t>TSERP</t>
  </si>
  <si>
    <t>TSERVI</t>
  </si>
  <si>
    <t>TNDNC</t>
  </si>
  <si>
    <t>COEF_URB</t>
  </si>
  <si>
    <t>COEF_APA</t>
  </si>
  <si>
    <t>COEF_GAR</t>
  </si>
  <si>
    <t>COEF_GAR1</t>
  </si>
  <si>
    <t>COEF_UTIL</t>
  </si>
  <si>
    <t>COEF_MOD_A</t>
  </si>
  <si>
    <t>COEF_MOD_B</t>
  </si>
  <si>
    <t>LECTANT</t>
  </si>
  <si>
    <t>LECTACT</t>
  </si>
  <si>
    <t>CONSUMO</t>
  </si>
  <si>
    <t>COSTO</t>
  </si>
  <si>
    <t>TOTAL</t>
  </si>
  <si>
    <t>VALDESC</t>
  </si>
  <si>
    <t>VALPAG</t>
  </si>
  <si>
    <t>VALOR</t>
  </si>
  <si>
    <t>EXTR</t>
  </si>
  <si>
    <t>MULT</t>
  </si>
  <si>
    <t>SPP</t>
  </si>
  <si>
    <t>OTR</t>
  </si>
  <si>
    <t>SER</t>
  </si>
  <si>
    <t>NDNC</t>
  </si>
  <si>
    <t>INT</t>
  </si>
  <si>
    <t>IDENT</t>
  </si>
  <si>
    <t>UBICA</t>
  </si>
  <si>
    <t>NOMURB</t>
  </si>
  <si>
    <t>BEP_CEL</t>
  </si>
  <si>
    <t>TEL</t>
  </si>
  <si>
    <t>NOM</t>
  </si>
  <si>
    <t>NOMINQ</t>
  </si>
  <si>
    <t>DIREC</t>
  </si>
  <si>
    <t>MORA</t>
  </si>
  <si>
    <t>ADM_APTO</t>
  </si>
  <si>
    <t>ADM_PQ_UT</t>
  </si>
  <si>
    <t>COEF_LIBRE</t>
  </si>
  <si>
    <t>ARAPA</t>
  </si>
  <si>
    <t>ARTERR</t>
  </si>
  <si>
    <t>ARGAR</t>
  </si>
  <si>
    <t>ARUTIL</t>
  </si>
  <si>
    <t>ARLIBRE</t>
  </si>
  <si>
    <t>ARTOTAL</t>
  </si>
  <si>
    <t>OTROSVAL</t>
  </si>
  <si>
    <t>CC_NIT</t>
  </si>
  <si>
    <t>TEL_OFIC</t>
  </si>
  <si>
    <t>TOTALES</t>
  </si>
  <si>
    <t>COEF_PQUT</t>
  </si>
  <si>
    <t>.</t>
  </si>
  <si>
    <t>,</t>
  </si>
  <si>
    <t>EMAIL</t>
  </si>
  <si>
    <t>EMAIL1</t>
  </si>
  <si>
    <t>EMAIL2</t>
  </si>
  <si>
    <t>EMAIL3</t>
  </si>
  <si>
    <t>Garaje</t>
  </si>
  <si>
    <t>Parqueadero</t>
  </si>
  <si>
    <t>Bicicletas</t>
  </si>
  <si>
    <t>1130</t>
  </si>
  <si>
    <t>30</t>
  </si>
  <si>
    <t>URBANIZACION ALBORADA 1-4 PH</t>
  </si>
  <si>
    <t>GUSTAVO ALONSO RIOS JIMENEZ</t>
  </si>
  <si>
    <t>OLIB AMPARO BARRIENTOS</t>
  </si>
  <si>
    <t>JAIRO ELIAS ORTIZ VALLEJO</t>
  </si>
  <si>
    <t>MARIA NORA CORREA</t>
  </si>
  <si>
    <t>HERNAN DARIO AGUDELO MUÑOZ</t>
  </si>
  <si>
    <t>JORGE HUMBERTO SANTANA RUEDA</t>
  </si>
  <si>
    <t>GLORIA INES SERNA M</t>
  </si>
  <si>
    <t>MARTHA QUINTERO GIRALDO</t>
  </si>
  <si>
    <t>DANIEL LONDOÑO Q.</t>
  </si>
  <si>
    <t>VICTORIA EUGENIA PEREZ PEREZ</t>
  </si>
  <si>
    <t>CARLOS MARIO AGUDELO B.</t>
  </si>
  <si>
    <t>MARGARITA ROSA VELEZ GOMEZ</t>
  </si>
  <si>
    <t>MARTA NELLY CADAVID RESTREPO</t>
  </si>
  <si>
    <t>ELKIN RAMIREZ</t>
  </si>
  <si>
    <t>GLORIA ELENA HERRERA TAMAYO</t>
  </si>
  <si>
    <t>MARTHA LIGIA MESA GOMEZ</t>
  </si>
  <si>
    <t>JAIRO DE JESUS MESA GOMEZ</t>
  </si>
  <si>
    <t>CARLOS ANDRES LOPEZ VASQUEZ</t>
  </si>
  <si>
    <t>LUZ MARINA BETANCUR ARANGO</t>
  </si>
  <si>
    <t>JAIRO ARMANDO ARANGO H.</t>
  </si>
  <si>
    <t>GLORIA NANCY VERGARA</t>
  </si>
  <si>
    <t>HECTOR HERRERA</t>
  </si>
  <si>
    <t>JORGE GOMEZ/LUISA PELAEZ</t>
  </si>
  <si>
    <t>REINA MARGARITA PEREZ PALACIO</t>
  </si>
  <si>
    <t>LUZ MARINA BELEÑO CORDERO</t>
  </si>
  <si>
    <t>DANIEL MUNERA</t>
  </si>
  <si>
    <t>OSCAR DARIO GALLEGO BETANCUR</t>
  </si>
  <si>
    <t>MARGARITA MARIA LONDOÑO RAMIRE</t>
  </si>
  <si>
    <t>ALICIA MARIA OTALVARO CASTRILL</t>
  </si>
  <si>
    <t>FRANCISCO TOBON</t>
  </si>
  <si>
    <t>JAEL CARO DE PATIÑO</t>
  </si>
  <si>
    <t>AMPARO PEREZ ALVAREZ</t>
  </si>
  <si>
    <t>HERNAN IGNACIO CALDERON M.</t>
  </si>
  <si>
    <t>WILLIAM FRANCO GONZALEZ</t>
  </si>
  <si>
    <t>MARTHA LUCIA ARENAS S.</t>
  </si>
  <si>
    <t>GUILLERMO PEREZ RESTREPO</t>
  </si>
  <si>
    <t>DENNIS ELENA VASQUEZ A.</t>
  </si>
  <si>
    <t>PABLO ALEJANDRO LONDOÑO L.</t>
  </si>
  <si>
    <t>MARIA MERCEDES CIANCI L.</t>
  </si>
  <si>
    <t>BEATRIZ ELENA CARDONA</t>
  </si>
  <si>
    <t>ROCIO MUÑOZ BETANCUR</t>
  </si>
  <si>
    <t>RODOLFO VELEZ</t>
  </si>
  <si>
    <t>CLARA INES ZULUAGA GARCIA</t>
  </si>
  <si>
    <t>DIANA CECILIA ZULUAGA GARCIA</t>
  </si>
  <si>
    <t>LUCIA DEL SOCORRO RUIZ SALAS</t>
  </si>
  <si>
    <t>LEON DARIO BEDOYA VILLEGAS</t>
  </si>
  <si>
    <t>LUZ DARY GIRALDO L.</t>
  </si>
  <si>
    <t>ANGELA MARIA OCAMPO SARMIENTO</t>
  </si>
  <si>
    <t>ADRIANA MARIA OCAMPO SARMIENTO</t>
  </si>
  <si>
    <t>LUZ ESTELLA OSPINA ECHAVARRIA</t>
  </si>
  <si>
    <t>BERNARDO GOMEZ HENAO</t>
  </si>
  <si>
    <t>ALBA JANNETH GONZALEZ</t>
  </si>
  <si>
    <t>MARIA MELBA SERNA</t>
  </si>
  <si>
    <t>MARIA DORALBA AGUIRRE</t>
  </si>
  <si>
    <t>JAIME SEPULVEDA</t>
  </si>
  <si>
    <t>DIANA PATRICIA ORREGO ZAPATA</t>
  </si>
  <si>
    <t>CARLOS RAFAEL ALVAREZ A.</t>
  </si>
  <si>
    <t>FERNANDO ALBERTO MARIN MOLINA</t>
  </si>
  <si>
    <t>ALVARO MARIN MOLINA</t>
  </si>
  <si>
    <t>ALVARO PORRAS</t>
  </si>
  <si>
    <t>CARMEN CORREA SANCHEZ</t>
  </si>
  <si>
    <t>HECTOR IVAN HERRERA MUNERA</t>
  </si>
  <si>
    <t>ARTURO MARTINEZ GUTIERREZ</t>
  </si>
  <si>
    <t>MARIA DEL SOCORRO M.</t>
  </si>
  <si>
    <t>FERNANDO PRADA</t>
  </si>
  <si>
    <t>ILMA ROJAS DE PRADA</t>
  </si>
  <si>
    <t>RODRIGO HERRERA</t>
  </si>
  <si>
    <t>SANDRA EUGENIA OLAYA</t>
  </si>
  <si>
    <t>MARIA JULIA GARZON TABARES</t>
  </si>
  <si>
    <t>HUMBERTO ECHEVERRY</t>
  </si>
  <si>
    <t>GUSTAVO ADOLFO ECHEVERRI VELAS</t>
  </si>
  <si>
    <t>GABRIEL ANGEL MONTOYA</t>
  </si>
  <si>
    <t>DORA NANCY CLAVIJO R.</t>
  </si>
  <si>
    <t>MARTHA ELENA AGUDELO L.</t>
  </si>
  <si>
    <t>JUAN PABLO ECHEVERRI VELASQUEZ</t>
  </si>
  <si>
    <t>HUGO DE JESUS OCHOA PULGARIN</t>
  </si>
  <si>
    <t>TERESITA CARDONA C.</t>
  </si>
  <si>
    <t>JUAN RICARDO ARANGO GOMEZ</t>
  </si>
  <si>
    <t>LUIS FERNANDO ARANGO GOMEZ</t>
  </si>
  <si>
    <t>JAIME ECHEVERRY VELASQUEZ</t>
  </si>
  <si>
    <t>MARIA HELENA SIERRA P.</t>
  </si>
  <si>
    <t>LUIS JAVIER VALLEJO ZULUAGA</t>
  </si>
  <si>
    <t>DIANA MARIA CORREA</t>
  </si>
  <si>
    <t>MARIA BELARMINA SILVA LONDOÑO</t>
  </si>
  <si>
    <t>CARLOS EFREN MONTOYA RAMIREZ</t>
  </si>
  <si>
    <t>OLGA MARIA BEDOYA G.</t>
  </si>
  <si>
    <t>AUGUSTO BEDOYA ANGEL</t>
  </si>
  <si>
    <t>LUZ AMPARO GALEANO</t>
  </si>
  <si>
    <t>JOHN JAIRO GALLON R.</t>
  </si>
  <si>
    <t>LUZ ELENA MEJIA OSORIO</t>
  </si>
  <si>
    <t>MARIA GILMA MONSALVE DE VELEZ</t>
  </si>
  <si>
    <t>LUIS HUMBERTO MOSCOSO</t>
  </si>
  <si>
    <t>MARTA ELENA CASTAÑO</t>
  </si>
  <si>
    <t>CARLOS MARIO ARANGO PUERTA</t>
  </si>
  <si>
    <t>MARTHA ELENA BOTERO B.</t>
  </si>
  <si>
    <t>ANA ABIGAIL LOPEZ ORTIZ</t>
  </si>
  <si>
    <t>SILVIO ANGEL</t>
  </si>
  <si>
    <t>MARIA STELLA RICO DE ANGEL</t>
  </si>
  <si>
    <t>ANDRES ALBERTO RODRIGUEZ E</t>
  </si>
  <si>
    <t>ROSA STELLA HOYOS O</t>
  </si>
  <si>
    <t>MARTHA LUCIA MOLINA GIRALDO</t>
  </si>
  <si>
    <t>DEISY ALEXANDRA ARROYAVE</t>
  </si>
  <si>
    <t>MARIA TERESA CANO</t>
  </si>
  <si>
    <t>MARIA HERRERA</t>
  </si>
  <si>
    <t>VICTORIA EUGENIA BOHORQUEZ HEN</t>
  </si>
  <si>
    <t>JOHN WILLIAM OCHOA</t>
  </si>
  <si>
    <t>CLAUDIA GONZALEZ</t>
  </si>
  <si>
    <t>LEON HUMBERTO ALVAREZ MESA</t>
  </si>
  <si>
    <t>ANDREA SANCHEZ</t>
  </si>
  <si>
    <t>JORGE ALBERTO ARCILA Q</t>
  </si>
  <si>
    <t>MARIA ESTELA HERNANDEZ Z</t>
  </si>
  <si>
    <t>MARTA MARINA MONTOYA ESTACIO</t>
  </si>
  <si>
    <t>JOSE DARIO ALVAREZ VARGAS</t>
  </si>
  <si>
    <t>MAURICIO RIOS RENDON</t>
  </si>
  <si>
    <t>ELIANA GARCIA PEREZ</t>
  </si>
  <si>
    <t>JUAN PABLO RESTREPO OSORIO</t>
  </si>
  <si>
    <t>MARTHA ELENA GUTIERREZ PALACIO</t>
  </si>
  <si>
    <t>CARLOS ARTURO LONDOÑO GIRALDO</t>
  </si>
  <si>
    <t>GUILLERMO LONDOÑO GIRALDO</t>
  </si>
  <si>
    <t>MARIBEL MORALES VARGAS</t>
  </si>
  <si>
    <t>JOHN FREDY RIOS GOMEZ</t>
  </si>
  <si>
    <t>LUIS HERNANDO LOPEZ POSSO</t>
  </si>
  <si>
    <t>LUZ AMPARO YEPES TILANO</t>
  </si>
  <si>
    <t>P4</t>
  </si>
  <si>
    <t>WILLIAM VILLAMIL</t>
  </si>
  <si>
    <t>B1</t>
  </si>
  <si>
    <t>JOSE MARIA OCHOA/ADRIANA LOPEZ</t>
  </si>
  <si>
    <t>B4</t>
  </si>
  <si>
    <t>1</t>
  </si>
  <si>
    <t>CAETANO</t>
  </si>
  <si>
    <t>2</t>
  </si>
  <si>
    <t>3</t>
  </si>
  <si>
    <t>4</t>
  </si>
  <si>
    <t>CELMIRA DEL SOCORRO TOBON VELA</t>
  </si>
  <si>
    <t>101</t>
  </si>
  <si>
    <t>30 1101</t>
  </si>
  <si>
    <t>REFERENCIA No.  1101</t>
  </si>
  <si>
    <t>102</t>
  </si>
  <si>
    <t>30 1102</t>
  </si>
  <si>
    <t>REFERENCIA No.  1102</t>
  </si>
  <si>
    <t>103</t>
  </si>
  <si>
    <t>30 1103</t>
  </si>
  <si>
    <t>REFERENCIA No.  1103</t>
  </si>
  <si>
    <t>104</t>
  </si>
  <si>
    <t>30 1104</t>
  </si>
  <si>
    <t>REFERENCIA No.  1104</t>
  </si>
  <si>
    <t>201</t>
  </si>
  <si>
    <t>30 1201</t>
  </si>
  <si>
    <t>REFERENCIA No.  1201</t>
  </si>
  <si>
    <t>202</t>
  </si>
  <si>
    <t>30 1202</t>
  </si>
  <si>
    <t>REFERENCIA No.  1202</t>
  </si>
  <si>
    <t>203</t>
  </si>
  <si>
    <t>30 1203</t>
  </si>
  <si>
    <t>REFERENCIA No.  1203</t>
  </si>
  <si>
    <t>204</t>
  </si>
  <si>
    <t>30 1204</t>
  </si>
  <si>
    <t>REFERENCIA No.  1204</t>
  </si>
  <si>
    <t>301</t>
  </si>
  <si>
    <t>30 1301</t>
  </si>
  <si>
    <t>REFERENCIA No.  1301</t>
  </si>
  <si>
    <t>302</t>
  </si>
  <si>
    <t>30 1302</t>
  </si>
  <si>
    <t>REFERENCIA No.  1302</t>
  </si>
  <si>
    <t>REFERENCIA No.  1A303</t>
  </si>
  <si>
    <t>304</t>
  </si>
  <si>
    <t>30 1304</t>
  </si>
  <si>
    <t>REFERENCIA No.  1304</t>
  </si>
  <si>
    <t>401</t>
  </si>
  <si>
    <t>30 1401</t>
  </si>
  <si>
    <t>REFERENCIA No.  1401</t>
  </si>
  <si>
    <t>402</t>
  </si>
  <si>
    <t>30 1402</t>
  </si>
  <si>
    <t>REFERENCIA No.  1402</t>
  </si>
  <si>
    <t>403</t>
  </si>
  <si>
    <t>30 1403</t>
  </si>
  <si>
    <t>REFERENCIA No.  1403</t>
  </si>
  <si>
    <t>404</t>
  </si>
  <si>
    <t>30 1404</t>
  </si>
  <si>
    <t>REFERENCIA No.  1404</t>
  </si>
  <si>
    <t>501</t>
  </si>
  <si>
    <t>30 1501</t>
  </si>
  <si>
    <t>REFERENCIA No.  1501</t>
  </si>
  <si>
    <t>502</t>
  </si>
  <si>
    <t>30 1502</t>
  </si>
  <si>
    <t>REFERENCIA No.  1502</t>
  </si>
  <si>
    <t>503</t>
  </si>
  <si>
    <t>30 1503</t>
  </si>
  <si>
    <t>REFERENCIA No.  1503</t>
  </si>
  <si>
    <t>504</t>
  </si>
  <si>
    <t>30 1504</t>
  </si>
  <si>
    <t>REFERENCIA No.  1504</t>
  </si>
  <si>
    <t>30 2101</t>
  </si>
  <si>
    <t>REFERENCIA No.  2101</t>
  </si>
  <si>
    <t>30 2102</t>
  </si>
  <si>
    <t>REFERENCIA No.  2102</t>
  </si>
  <si>
    <t>30 2201</t>
  </si>
  <si>
    <t>REFERENCIA No.  2201</t>
  </si>
  <si>
    <t>30 2202</t>
  </si>
  <si>
    <t>REFERENCIA No.  2202</t>
  </si>
  <si>
    <t>30 2301</t>
  </si>
  <si>
    <t>REFERENCIA No.  2301</t>
  </si>
  <si>
    <t>30 2302</t>
  </si>
  <si>
    <t>REFERENCIA No.  2302</t>
  </si>
  <si>
    <t>30 2401</t>
  </si>
  <si>
    <t>REFERENCIA No.  2401</t>
  </si>
  <si>
    <t>30 2402</t>
  </si>
  <si>
    <t>REFERENCIA No.  2402</t>
  </si>
  <si>
    <t>30 2501</t>
  </si>
  <si>
    <t>REFERENCIA No.  2501</t>
  </si>
  <si>
    <t>30 2502</t>
  </si>
  <si>
    <t>REFERENCIA No.  2502</t>
  </si>
  <si>
    <t>30 3101</t>
  </si>
  <si>
    <t>REFERENCIA No.  3101</t>
  </si>
  <si>
    <t>30 3102</t>
  </si>
  <si>
    <t>REFERENCIA No.  3102</t>
  </si>
  <si>
    <t>30 3103</t>
  </si>
  <si>
    <t>REFERENCIA No.  3103</t>
  </si>
  <si>
    <t>30 3104</t>
  </si>
  <si>
    <t>REFERENCIA No.  3104</t>
  </si>
  <si>
    <t>30 3201</t>
  </si>
  <si>
    <t>REFERENCIA No.  3201</t>
  </si>
  <si>
    <t>30 3202</t>
  </si>
  <si>
    <t>REFERENCIA No.  3202</t>
  </si>
  <si>
    <t>30 3203</t>
  </si>
  <si>
    <t>REFERENCIA No.  3203</t>
  </si>
  <si>
    <t>30 3204</t>
  </si>
  <si>
    <t>REFERENCIA No.  3204</t>
  </si>
  <si>
    <t>30 3301</t>
  </si>
  <si>
    <t>REFERENCIA No.  3301</t>
  </si>
  <si>
    <t>30 3302</t>
  </si>
  <si>
    <t>REFERENCIA No.  3302</t>
  </si>
  <si>
    <t>303</t>
  </si>
  <si>
    <t>30 3303</t>
  </si>
  <si>
    <t>REFERENCIA No.  3303</t>
  </si>
  <si>
    <t>30 3304</t>
  </si>
  <si>
    <t>REFERENCIA No.  3304</t>
  </si>
  <si>
    <t>30 3401</t>
  </si>
  <si>
    <t>REFERENCIA No.  3401</t>
  </si>
  <si>
    <t>30 3402</t>
  </si>
  <si>
    <t>REFERENCIA No.  3402</t>
  </si>
  <si>
    <t>30 3403</t>
  </si>
  <si>
    <t>30 3404</t>
  </si>
  <si>
    <t>REFERENCIA No.  3404</t>
  </si>
  <si>
    <t>30 3501</t>
  </si>
  <si>
    <t>REFERENCIA No.  3501</t>
  </si>
  <si>
    <t>30 3502</t>
  </si>
  <si>
    <t>REFERENCIA No.  3502</t>
  </si>
  <si>
    <t>30 3503</t>
  </si>
  <si>
    <t>REFERENCIA No.  3503</t>
  </si>
  <si>
    <t>30 3504</t>
  </si>
  <si>
    <t>REFERENCIA No.  3504</t>
  </si>
  <si>
    <t>30 4101</t>
  </si>
  <si>
    <t>REFERENCIA No.  4101</t>
  </si>
  <si>
    <t>30 4102</t>
  </si>
  <si>
    <t>REFERENCIA No.  4102</t>
  </si>
  <si>
    <t>30 4103</t>
  </si>
  <si>
    <t>REFERENCIA No.  4103</t>
  </si>
  <si>
    <t>30 4104</t>
  </si>
  <si>
    <t>REFERENCIA No.  4104</t>
  </si>
  <si>
    <t>105</t>
  </si>
  <si>
    <t>30 4105</t>
  </si>
  <si>
    <t>REFERENCIA No.  4105</t>
  </si>
  <si>
    <t>106</t>
  </si>
  <si>
    <t>30 4106</t>
  </si>
  <si>
    <t>REFERENCIA No.  4106</t>
  </si>
  <si>
    <t>107</t>
  </si>
  <si>
    <t>30 4107</t>
  </si>
  <si>
    <t>REFERENCIA No.  4107</t>
  </si>
  <si>
    <t>108</t>
  </si>
  <si>
    <t>30 4108</t>
  </si>
  <si>
    <t>REFERENCIA No.  4108</t>
  </si>
  <si>
    <t>30 4201</t>
  </si>
  <si>
    <t>REFERENCIA No.  4201</t>
  </si>
  <si>
    <t>30 4202</t>
  </si>
  <si>
    <t>REFERENCIA No.  4202</t>
  </si>
  <si>
    <t>30 4203</t>
  </si>
  <si>
    <t>REFERENCIA No.  4203</t>
  </si>
  <si>
    <t>30 4204</t>
  </si>
  <si>
    <t>REFERENCIA No.  4204</t>
  </si>
  <si>
    <t>205</t>
  </si>
  <si>
    <t>30 4205</t>
  </si>
  <si>
    <t>REFERENCIA No.  4205</t>
  </si>
  <si>
    <t>206</t>
  </si>
  <si>
    <t>30 4206</t>
  </si>
  <si>
    <t>REFERENCIA No.  4206</t>
  </si>
  <si>
    <t>207</t>
  </si>
  <si>
    <t>30 4207</t>
  </si>
  <si>
    <t>REFERENCIA No.  4207</t>
  </si>
  <si>
    <t>208</t>
  </si>
  <si>
    <t>30 4208</t>
  </si>
  <si>
    <t>REFERENCIA No.  4208</t>
  </si>
  <si>
    <t>30 4301</t>
  </si>
  <si>
    <t>REFERENCIA No.  4301</t>
  </si>
  <si>
    <t>30 4302</t>
  </si>
  <si>
    <t>REFERENCIA No.  4302</t>
  </si>
  <si>
    <t>30 4303</t>
  </si>
  <si>
    <t>REFERENCIA No.  4303</t>
  </si>
  <si>
    <t>30 4304</t>
  </si>
  <si>
    <t>REFERENCIA No.  4304</t>
  </si>
  <si>
    <t>305</t>
  </si>
  <si>
    <t>30 4305</t>
  </si>
  <si>
    <t>REFERENCIA No.  4305</t>
  </si>
  <si>
    <t>306</t>
  </si>
  <si>
    <t>30 4306</t>
  </si>
  <si>
    <t>REFERENCIA No.  4306</t>
  </si>
  <si>
    <t>307</t>
  </si>
  <si>
    <t>30 4307</t>
  </si>
  <si>
    <t>REFERENCIA No.  4307</t>
  </si>
  <si>
    <t>308</t>
  </si>
  <si>
    <t>30 4308</t>
  </si>
  <si>
    <t>REFERENCIA No.  4308</t>
  </si>
  <si>
    <t>30 4401</t>
  </si>
  <si>
    <t>REFERENCIA No.  4401</t>
  </si>
  <si>
    <t>30 4402</t>
  </si>
  <si>
    <t>REFERENCIA No.  4402</t>
  </si>
  <si>
    <t>30 4403</t>
  </si>
  <si>
    <t>REFERENCIA No.  4403</t>
  </si>
  <si>
    <t>30 4404</t>
  </si>
  <si>
    <t>REFERENCIA No.  4404</t>
  </si>
  <si>
    <t>405</t>
  </si>
  <si>
    <t>30 4405</t>
  </si>
  <si>
    <t>406</t>
  </si>
  <si>
    <t>30 4406</t>
  </si>
  <si>
    <t>REFERENCIA No.  4406</t>
  </si>
  <si>
    <t>407</t>
  </si>
  <si>
    <t>30 4407</t>
  </si>
  <si>
    <t>REFERENCIA No.  4407</t>
  </si>
  <si>
    <t>408</t>
  </si>
  <si>
    <t>30 4408</t>
  </si>
  <si>
    <t>REFERENCIA No.  4408</t>
  </si>
  <si>
    <t>30 4501</t>
  </si>
  <si>
    <t>REFERENCIA No.  4501</t>
  </si>
  <si>
    <t>30 4502</t>
  </si>
  <si>
    <t>REFERENCIA No.  4502</t>
  </si>
  <si>
    <t>30 4503</t>
  </si>
  <si>
    <t>REFERENCIA No.  4503</t>
  </si>
  <si>
    <t>30 4504</t>
  </si>
  <si>
    <t>REFERENCIA No.  4504</t>
  </si>
  <si>
    <t>505</t>
  </si>
  <si>
    <t>30 4505</t>
  </si>
  <si>
    <t>REFERENCIA No.  4505</t>
  </si>
  <si>
    <t>506</t>
  </si>
  <si>
    <t>30 4506</t>
  </si>
  <si>
    <t>REFERENCIA No.  4506</t>
  </si>
  <si>
    <t>507</t>
  </si>
  <si>
    <t>30 4507</t>
  </si>
  <si>
    <t>REFERENCIA No.  4507</t>
  </si>
  <si>
    <t>508</t>
  </si>
  <si>
    <t>30 4508</t>
  </si>
  <si>
    <t>REFERENCIA No.  4508</t>
  </si>
  <si>
    <t>30P4502</t>
  </si>
  <si>
    <t>REFERENCIA No. P4502</t>
  </si>
  <si>
    <t>30B1301</t>
  </si>
  <si>
    <t>INQUILINO REFERENCIA No.B1301</t>
  </si>
  <si>
    <t>MARIA ELENA HOYOS TOBON</t>
  </si>
  <si>
    <t>30 1303</t>
  </si>
  <si>
    <t>Marta Elena Gomez Hernandez</t>
  </si>
  <si>
    <t>43.911.493</t>
  </si>
  <si>
    <t>Marcela Pelaez Mejia</t>
  </si>
  <si>
    <t>Tarcisio de Jesus Ruiz Brand</t>
  </si>
  <si>
    <t>Javier Restrepo Uribe</t>
  </si>
  <si>
    <t>71.692.999</t>
  </si>
  <si>
    <t>BICICLETA 1 C/U 4300 REF 3-403</t>
  </si>
  <si>
    <t>BICICLETA 1 C/U 4300 REF 4-405</t>
  </si>
  <si>
    <t>Nelson Escudero</t>
  </si>
  <si>
    <t>71.720.138</t>
  </si>
  <si>
    <t>BICICLETA 1  $4.300</t>
  </si>
  <si>
    <t>BICICLETA 4 C/U $4.250</t>
  </si>
  <si>
    <t>30B4302</t>
  </si>
  <si>
    <t>NATALIA CORDOBA</t>
  </si>
  <si>
    <t>INQUILINO REFERENCIA No.B4302</t>
  </si>
  <si>
    <t>BICICLETA 2  $8.500</t>
  </si>
  <si>
    <t>Clara Ines Jaramillo Alvarez</t>
  </si>
  <si>
    <t>Javier Eduardo Reyes German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</si>
</sst>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00"/>
    <numFmt numFmtId="166" formatCode="0.0000"/>
  </numFmts>
  <fonts count="6" x14ac:knownFonts="1"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3" fillId="0" borderId="0" xfId="0" applyFont="1"/>
    <xf numFmtId="0" fontId="1" fillId="0" borderId="0" xfId="0" applyFont="1"/>
    <xf numFmtId="1" fontId="4" fillId="0" borderId="0" xfId="0" applyNumberFormat="1" applyFont="1" applyAlignment="1">
      <alignment horizont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3" fontId="1" fillId="0" borderId="0" xfId="0" applyNumberFormat="1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0" fillId="0" borderId="0" xfId="0" applyBorder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left"/>
    </xf>
    <xf numFmtId="3" fontId="5" fillId="0" borderId="0" xfId="0" applyNumberFormat="1" applyFont="1" applyAlignment="1">
      <alignment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1" fontId="5" fillId="0" borderId="0" xfId="1" applyNumberFormat="1" applyFont="1" applyAlignment="1">
      <alignment horizontal="center"/>
    </xf>
    <xf numFmtId="0" fontId="5" fillId="2" borderId="0" xfId="1" quotePrefix="1" applyFont="1" applyFill="1" applyAlignment="1">
      <alignment vertical="center"/>
    </xf>
    <xf numFmtId="3" fontId="4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1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Macros/FACTURAS%20Y%20LISTADOS/Macro%20para%20Creaci&#243;n%20de%20Factur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ectos"/>
      <sheetName val="Genérico"/>
    </sheetNames>
    <sheetDataSet>
      <sheetData sheetId="0">
        <row r="2">
          <cell r="E2" t="str">
            <v>Agosto</v>
          </cell>
        </row>
        <row r="4">
          <cell r="H4">
            <v>2017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R275"/>
  <sheetViews>
    <sheetView tabSelected="1" zoomScaleNormal="100" workbookViewId="0">
      <selection sqref="A1:XFD1048576"/>
    </sheetView>
  </sheetViews>
  <sheetFormatPr baseColWidth="10" defaultRowHeight="12.75" x14ac:dyDescent="0.2"/>
  <cols>
    <col min="1" max="1" width="4.7109375" style="20" customWidth="1"/>
    <col min="2" max="3" width="2.7109375" style="20" customWidth="1"/>
    <col min="4" max="4" width="4.7109375" style="20" customWidth="1"/>
    <col min="5" max="5" width="8.7109375" style="20" customWidth="1"/>
    <col min="6" max="6" width="4.7109375" style="20" customWidth="1"/>
    <col min="7" max="7" width="50.7109375" style="20" customWidth="1"/>
    <col min="8" max="8" width="45.7109375" style="20" customWidth="1"/>
    <col min="9" max="9" width="17.7109375" style="20" customWidth="1"/>
    <col min="10" max="10" width="12.7109375" style="20" customWidth="1"/>
    <col min="11" max="11" width="4.7109375" style="20" customWidth="1"/>
    <col min="12" max="14" width="30.7109375" style="20" customWidth="1"/>
    <col min="15" max="15" width="9.7109375" style="20" customWidth="1"/>
    <col min="16" max="16" width="8.7109375" style="23" customWidth="1"/>
    <col min="17" max="18" width="8.7109375" style="20" customWidth="1"/>
    <col min="19" max="27" width="9.7109375" style="21" customWidth="1"/>
    <col min="28" max="33" width="6.7109375" style="24" customWidth="1"/>
    <col min="34" max="35" width="9.7109375" style="20" customWidth="1"/>
    <col min="36" max="36" width="12.7109375" style="20" customWidth="1"/>
    <col min="37" max="37" width="9.7109375" style="20" customWidth="1"/>
    <col min="38" max="38" width="6.7109375" style="20" customWidth="1"/>
    <col min="39" max="39" width="9.7109375" style="20" customWidth="1"/>
    <col min="40" max="40" width="1.7109375" style="20" customWidth="1"/>
    <col min="41" max="44" width="60.7109375" style="20" customWidth="1"/>
  </cols>
  <sheetData>
    <row r="1" spans="1:44" x14ac:dyDescent="0.2">
      <c r="A1" s="20" t="s">
        <v>10</v>
      </c>
      <c r="B1" s="20" t="s">
        <v>11</v>
      </c>
      <c r="C1" s="20" t="s">
        <v>12</v>
      </c>
      <c r="D1" s="20" t="s">
        <v>13</v>
      </c>
      <c r="E1" s="20" t="s">
        <v>14</v>
      </c>
      <c r="F1" s="20" t="s">
        <v>15</v>
      </c>
      <c r="G1" s="20" t="s">
        <v>66</v>
      </c>
      <c r="H1" s="20" t="s">
        <v>67</v>
      </c>
      <c r="I1" s="20" t="s">
        <v>68</v>
      </c>
      <c r="J1" s="20" t="s">
        <v>69</v>
      </c>
      <c r="K1" s="20" t="s">
        <v>16</v>
      </c>
      <c r="L1" s="20" t="s">
        <v>70</v>
      </c>
      <c r="M1" s="20" t="s">
        <v>71</v>
      </c>
      <c r="N1" s="20" t="s">
        <v>72</v>
      </c>
      <c r="O1" s="20" t="s">
        <v>27</v>
      </c>
      <c r="P1" s="23" t="s">
        <v>73</v>
      </c>
      <c r="Q1" s="20" t="s">
        <v>74</v>
      </c>
      <c r="R1" s="20" t="s">
        <v>75</v>
      </c>
      <c r="S1" s="21" t="s">
        <v>43</v>
      </c>
      <c r="T1" s="21" t="s">
        <v>48</v>
      </c>
      <c r="U1" s="21" t="s">
        <v>49</v>
      </c>
      <c r="V1" s="21" t="s">
        <v>44</v>
      </c>
      <c r="W1" s="21" t="s">
        <v>76</v>
      </c>
      <c r="X1" s="21" t="s">
        <v>45</v>
      </c>
      <c r="Y1" s="21" t="s">
        <v>46</v>
      </c>
      <c r="Z1" s="21" t="s">
        <v>47</v>
      </c>
      <c r="AA1" s="21" t="s">
        <v>87</v>
      </c>
      <c r="AB1" s="24" t="s">
        <v>77</v>
      </c>
      <c r="AC1" s="24" t="s">
        <v>78</v>
      </c>
      <c r="AD1" s="24" t="s">
        <v>79</v>
      </c>
      <c r="AE1" s="24" t="s">
        <v>80</v>
      </c>
      <c r="AF1" s="24" t="s">
        <v>81</v>
      </c>
      <c r="AG1" s="24" t="s">
        <v>82</v>
      </c>
      <c r="AH1" s="20" t="s">
        <v>29</v>
      </c>
      <c r="AI1" s="20" t="s">
        <v>83</v>
      </c>
      <c r="AJ1" s="20" t="s">
        <v>84</v>
      </c>
      <c r="AK1" s="20" t="s">
        <v>85</v>
      </c>
      <c r="AL1" s="20" t="s">
        <v>17</v>
      </c>
      <c r="AM1" s="20" t="s">
        <v>57</v>
      </c>
      <c r="AN1" s="20" t="s">
        <v>65</v>
      </c>
      <c r="AO1" s="20" t="s">
        <v>90</v>
      </c>
      <c r="AP1" s="20" t="s">
        <v>91</v>
      </c>
      <c r="AQ1" s="20" t="s">
        <v>92</v>
      </c>
      <c r="AR1" s="20" t="s">
        <v>93</v>
      </c>
    </row>
    <row r="2" spans="1:44" x14ac:dyDescent="0.2">
      <c r="A2" s="20" t="s">
        <v>97</v>
      </c>
      <c r="B2" s="20" t="s">
        <v>98</v>
      </c>
      <c r="C2" s="20" t="s">
        <v>228</v>
      </c>
      <c r="D2" s="20" t="s">
        <v>234</v>
      </c>
      <c r="E2" s="20" t="s">
        <v>235</v>
      </c>
      <c r="H2" s="20" t="s">
        <v>99</v>
      </c>
      <c r="J2" s="20">
        <v>0</v>
      </c>
      <c r="L2" s="20" t="s">
        <v>100</v>
      </c>
      <c r="M2" s="20" t="s">
        <v>101</v>
      </c>
      <c r="N2" s="20" t="s">
        <v>236</v>
      </c>
      <c r="O2" s="20">
        <v>176600</v>
      </c>
      <c r="P2" s="23">
        <v>2.4</v>
      </c>
      <c r="Q2" s="20">
        <v>0</v>
      </c>
      <c r="R2" s="20">
        <v>0</v>
      </c>
      <c r="S2" s="21">
        <v>1.083</v>
      </c>
      <c r="T2" s="21">
        <v>0</v>
      </c>
      <c r="U2" s="21">
        <v>0</v>
      </c>
      <c r="V2" s="21">
        <v>0</v>
      </c>
      <c r="W2" s="21">
        <v>0</v>
      </c>
      <c r="X2" s="21">
        <v>0</v>
      </c>
      <c r="Y2" s="21">
        <v>0</v>
      </c>
      <c r="Z2" s="21">
        <v>0</v>
      </c>
      <c r="AA2" s="21">
        <v>0</v>
      </c>
      <c r="AB2" s="24">
        <v>0</v>
      </c>
      <c r="AC2" s="24">
        <v>0</v>
      </c>
      <c r="AD2" s="24">
        <v>0</v>
      </c>
      <c r="AE2" s="24">
        <v>0</v>
      </c>
      <c r="AF2" s="24">
        <v>0</v>
      </c>
      <c r="AG2" s="24">
        <v>0</v>
      </c>
      <c r="AH2" s="20">
        <v>0</v>
      </c>
      <c r="AI2" s="20">
        <v>165000</v>
      </c>
      <c r="AK2" s="20">
        <v>0</v>
      </c>
      <c r="AL2" s="20">
        <v>0</v>
      </c>
      <c r="AM2" s="20">
        <v>1</v>
      </c>
    </row>
    <row r="3" spans="1:44" x14ac:dyDescent="0.2">
      <c r="A3" s="20" t="s">
        <v>97</v>
      </c>
      <c r="B3" s="20" t="s">
        <v>98</v>
      </c>
      <c r="C3" s="20" t="s">
        <v>228</v>
      </c>
      <c r="D3" s="20" t="s">
        <v>237</v>
      </c>
      <c r="E3" s="20" t="s">
        <v>238</v>
      </c>
      <c r="H3" s="20" t="s">
        <v>99</v>
      </c>
      <c r="J3" s="20">
        <v>0</v>
      </c>
      <c r="L3" s="20" t="s">
        <v>102</v>
      </c>
      <c r="M3" s="20" t="s">
        <v>103</v>
      </c>
      <c r="N3" s="20" t="s">
        <v>239</v>
      </c>
      <c r="O3" s="20">
        <v>191900</v>
      </c>
      <c r="P3" s="23">
        <v>2.4</v>
      </c>
      <c r="Q3" s="20">
        <v>0</v>
      </c>
      <c r="R3" s="20">
        <v>0</v>
      </c>
      <c r="S3" s="21">
        <v>1.1759999999999999</v>
      </c>
      <c r="T3" s="21">
        <v>0</v>
      </c>
      <c r="U3" s="21">
        <v>0</v>
      </c>
      <c r="V3" s="21">
        <v>0</v>
      </c>
      <c r="W3" s="21">
        <v>0</v>
      </c>
      <c r="X3" s="21">
        <v>0</v>
      </c>
      <c r="Y3" s="21">
        <v>0</v>
      </c>
      <c r="Z3" s="21">
        <v>0</v>
      </c>
      <c r="AA3" s="21">
        <v>0</v>
      </c>
      <c r="AB3" s="24">
        <v>0</v>
      </c>
      <c r="AC3" s="24">
        <v>0</v>
      </c>
      <c r="AD3" s="24">
        <v>0</v>
      </c>
      <c r="AE3" s="24">
        <v>0</v>
      </c>
      <c r="AF3" s="24">
        <v>0</v>
      </c>
      <c r="AG3" s="24">
        <v>0</v>
      </c>
      <c r="AH3" s="20">
        <v>0</v>
      </c>
      <c r="AI3" s="20">
        <v>179300</v>
      </c>
      <c r="AK3" s="20">
        <v>0</v>
      </c>
      <c r="AL3" s="20">
        <v>0</v>
      </c>
      <c r="AM3" s="20">
        <v>1</v>
      </c>
    </row>
    <row r="4" spans="1:44" x14ac:dyDescent="0.2">
      <c r="A4" s="20" t="s">
        <v>97</v>
      </c>
      <c r="B4" s="20" t="s">
        <v>98</v>
      </c>
      <c r="C4" s="20" t="s">
        <v>228</v>
      </c>
      <c r="D4" s="20" t="s">
        <v>240</v>
      </c>
      <c r="E4" s="20" t="s">
        <v>241</v>
      </c>
      <c r="H4" s="20" t="s">
        <v>99</v>
      </c>
      <c r="J4" s="20">
        <v>0</v>
      </c>
      <c r="L4" s="20" t="s">
        <v>104</v>
      </c>
      <c r="N4" s="20" t="s">
        <v>242</v>
      </c>
      <c r="O4" s="20">
        <v>140100</v>
      </c>
      <c r="P4" s="23">
        <v>2.4</v>
      </c>
      <c r="Q4" s="20">
        <v>0</v>
      </c>
      <c r="R4" s="20">
        <v>0</v>
      </c>
      <c r="S4" s="21">
        <v>0.85899999999999999</v>
      </c>
      <c r="T4" s="21">
        <v>0</v>
      </c>
      <c r="U4" s="21">
        <v>0</v>
      </c>
      <c r="V4" s="21">
        <v>0</v>
      </c>
      <c r="W4" s="21">
        <v>0</v>
      </c>
      <c r="X4" s="21">
        <v>0</v>
      </c>
      <c r="Y4" s="21">
        <v>0</v>
      </c>
      <c r="Z4" s="21">
        <v>0</v>
      </c>
      <c r="AA4" s="21">
        <v>0</v>
      </c>
      <c r="AB4" s="24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0">
        <v>0</v>
      </c>
      <c r="AI4" s="20">
        <v>130900</v>
      </c>
      <c r="AK4" s="20">
        <v>0</v>
      </c>
      <c r="AL4" s="20">
        <v>0</v>
      </c>
      <c r="AM4" s="20">
        <v>1</v>
      </c>
    </row>
    <row r="5" spans="1:44" x14ac:dyDescent="0.2">
      <c r="A5" s="20" t="s">
        <v>97</v>
      </c>
      <c r="B5" s="20" t="s">
        <v>98</v>
      </c>
      <c r="C5" s="20" t="s">
        <v>228</v>
      </c>
      <c r="D5" s="20" t="s">
        <v>243</v>
      </c>
      <c r="E5" s="20" t="s">
        <v>244</v>
      </c>
      <c r="H5" s="20" t="s">
        <v>99</v>
      </c>
      <c r="J5" s="20">
        <v>0</v>
      </c>
      <c r="L5" s="20" t="s">
        <v>105</v>
      </c>
      <c r="M5" s="20" t="s">
        <v>106</v>
      </c>
      <c r="N5" s="20" t="s">
        <v>245</v>
      </c>
      <c r="O5" s="20">
        <v>166500</v>
      </c>
      <c r="P5" s="23">
        <v>2.4</v>
      </c>
      <c r="Q5" s="20">
        <v>0</v>
      </c>
      <c r="R5" s="20">
        <v>0</v>
      </c>
      <c r="S5" s="21">
        <v>1.0209999999999999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  <c r="Z5" s="21">
        <v>0</v>
      </c>
      <c r="AA5" s="21">
        <v>0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0">
        <v>0</v>
      </c>
      <c r="AI5" s="20">
        <v>155600</v>
      </c>
      <c r="AK5" s="20">
        <v>0</v>
      </c>
      <c r="AL5" s="20">
        <v>0</v>
      </c>
      <c r="AM5" s="20">
        <v>1</v>
      </c>
    </row>
    <row r="6" spans="1:44" x14ac:dyDescent="0.2">
      <c r="A6" s="20" t="s">
        <v>97</v>
      </c>
      <c r="B6" s="20" t="s">
        <v>98</v>
      </c>
      <c r="C6" s="20" t="s">
        <v>228</v>
      </c>
      <c r="D6" s="20" t="s">
        <v>246</v>
      </c>
      <c r="E6" s="20" t="s">
        <v>247</v>
      </c>
      <c r="H6" s="20" t="s">
        <v>99</v>
      </c>
      <c r="J6" s="20">
        <v>0</v>
      </c>
      <c r="L6" s="20" t="s">
        <v>107</v>
      </c>
      <c r="M6" s="20" t="s">
        <v>108</v>
      </c>
      <c r="N6" s="20" t="s">
        <v>248</v>
      </c>
      <c r="O6" s="20">
        <v>176600</v>
      </c>
      <c r="P6" s="23">
        <v>2.4</v>
      </c>
      <c r="Q6" s="20">
        <v>0</v>
      </c>
      <c r="R6" s="20">
        <v>0</v>
      </c>
      <c r="S6" s="21">
        <v>1.083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4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0">
        <v>0</v>
      </c>
      <c r="AI6" s="20">
        <v>165000</v>
      </c>
      <c r="AK6" s="20">
        <v>0</v>
      </c>
      <c r="AL6" s="20">
        <v>0</v>
      </c>
      <c r="AM6" s="20">
        <v>1</v>
      </c>
    </row>
    <row r="7" spans="1:44" x14ac:dyDescent="0.2">
      <c r="A7" s="20" t="s">
        <v>97</v>
      </c>
      <c r="B7" s="20" t="s">
        <v>98</v>
      </c>
      <c r="C7" s="20" t="s">
        <v>228</v>
      </c>
      <c r="D7" s="20" t="s">
        <v>249</v>
      </c>
      <c r="E7" s="20" t="s">
        <v>250</v>
      </c>
      <c r="H7" s="20" t="s">
        <v>99</v>
      </c>
      <c r="J7" s="20">
        <v>0</v>
      </c>
      <c r="L7" s="20" t="s">
        <v>109</v>
      </c>
      <c r="M7" s="20" t="s">
        <v>110</v>
      </c>
      <c r="N7" s="20" t="s">
        <v>251</v>
      </c>
      <c r="O7" s="20">
        <v>191900</v>
      </c>
      <c r="P7" s="23">
        <v>2.4</v>
      </c>
      <c r="Q7" s="20">
        <v>0</v>
      </c>
      <c r="R7" s="20">
        <v>0</v>
      </c>
      <c r="S7" s="21">
        <v>1.383</v>
      </c>
      <c r="T7" s="21">
        <v>0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0">
        <v>29500</v>
      </c>
      <c r="AI7" s="20">
        <v>179300</v>
      </c>
      <c r="AK7" s="20">
        <v>0</v>
      </c>
      <c r="AL7" s="20">
        <v>0</v>
      </c>
      <c r="AM7" s="20">
        <v>1</v>
      </c>
    </row>
    <row r="8" spans="1:44" x14ac:dyDescent="0.2">
      <c r="A8" s="20" t="s">
        <v>97</v>
      </c>
      <c r="B8" s="20" t="s">
        <v>98</v>
      </c>
      <c r="C8" s="20" t="s">
        <v>228</v>
      </c>
      <c r="D8" s="20" t="s">
        <v>252</v>
      </c>
      <c r="E8" s="20" t="s">
        <v>253</v>
      </c>
      <c r="H8" s="20" t="s">
        <v>99</v>
      </c>
      <c r="J8" s="20">
        <v>0</v>
      </c>
      <c r="L8" s="20" t="s">
        <v>111</v>
      </c>
      <c r="N8" s="20" t="s">
        <v>254</v>
      </c>
      <c r="O8" s="20">
        <v>140100</v>
      </c>
      <c r="P8" s="23">
        <v>2.4</v>
      </c>
      <c r="Q8" s="20">
        <v>0</v>
      </c>
      <c r="R8" s="20">
        <v>0</v>
      </c>
      <c r="S8" s="21">
        <v>1.0660000000000001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0</v>
      </c>
      <c r="Z8" s="21">
        <v>0</v>
      </c>
      <c r="AA8" s="21">
        <v>0</v>
      </c>
      <c r="AB8" s="24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0">
        <v>29500</v>
      </c>
      <c r="AI8" s="20">
        <v>130900</v>
      </c>
      <c r="AK8" s="20">
        <v>0</v>
      </c>
      <c r="AL8" s="20">
        <v>0</v>
      </c>
      <c r="AM8" s="20">
        <v>1</v>
      </c>
    </row>
    <row r="9" spans="1:44" x14ac:dyDescent="0.2">
      <c r="A9" s="20" t="s">
        <v>97</v>
      </c>
      <c r="B9" s="20" t="s">
        <v>98</v>
      </c>
      <c r="C9" s="20" t="s">
        <v>228</v>
      </c>
      <c r="D9" s="20" t="s">
        <v>255</v>
      </c>
      <c r="E9" s="20" t="s">
        <v>256</v>
      </c>
      <c r="H9" s="20" t="s">
        <v>99</v>
      </c>
      <c r="J9" s="20">
        <v>0</v>
      </c>
      <c r="L9" s="20" t="s">
        <v>455</v>
      </c>
      <c r="M9" s="20" t="s">
        <v>229</v>
      </c>
      <c r="N9" s="20" t="s">
        <v>257</v>
      </c>
      <c r="O9" s="20">
        <v>166500</v>
      </c>
      <c r="P9" s="23">
        <v>2.4</v>
      </c>
      <c r="Q9" s="20">
        <v>0</v>
      </c>
      <c r="R9" s="20">
        <v>0</v>
      </c>
      <c r="S9" s="21">
        <v>1.0209999999999999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4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0">
        <v>0</v>
      </c>
      <c r="AI9" s="20">
        <v>155600</v>
      </c>
      <c r="AK9" s="20">
        <v>0</v>
      </c>
      <c r="AL9" s="20">
        <v>0</v>
      </c>
      <c r="AM9" s="20">
        <v>1</v>
      </c>
    </row>
    <row r="10" spans="1:44" x14ac:dyDescent="0.2">
      <c r="A10" s="20" t="s">
        <v>97</v>
      </c>
      <c r="B10" s="20" t="s">
        <v>98</v>
      </c>
      <c r="C10" s="20" t="s">
        <v>228</v>
      </c>
      <c r="D10" s="20" t="s">
        <v>258</v>
      </c>
      <c r="E10" s="20" t="s">
        <v>259</v>
      </c>
      <c r="H10" s="20" t="s">
        <v>99</v>
      </c>
      <c r="J10" s="20">
        <v>0</v>
      </c>
      <c r="L10" s="20" t="s">
        <v>112</v>
      </c>
      <c r="N10" s="20" t="s">
        <v>260</v>
      </c>
      <c r="O10" s="20">
        <v>176600</v>
      </c>
      <c r="P10" s="23">
        <v>2.4</v>
      </c>
      <c r="Q10" s="20">
        <v>0</v>
      </c>
      <c r="R10" s="20">
        <v>0</v>
      </c>
      <c r="S10" s="21">
        <v>1.083</v>
      </c>
      <c r="T10" s="21">
        <v>0</v>
      </c>
      <c r="U10" s="21">
        <v>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4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0">
        <v>0</v>
      </c>
      <c r="AI10" s="20">
        <v>165000</v>
      </c>
      <c r="AK10" s="20">
        <v>0</v>
      </c>
      <c r="AL10" s="20">
        <v>0</v>
      </c>
      <c r="AM10" s="20">
        <v>1</v>
      </c>
    </row>
    <row r="11" spans="1:44" x14ac:dyDescent="0.2">
      <c r="A11" s="20" t="s">
        <v>97</v>
      </c>
      <c r="B11" s="20" t="s">
        <v>98</v>
      </c>
      <c r="C11" s="20" t="s">
        <v>228</v>
      </c>
      <c r="D11" s="20" t="s">
        <v>261</v>
      </c>
      <c r="E11" s="20" t="s">
        <v>262</v>
      </c>
      <c r="H11" s="20" t="s">
        <v>99</v>
      </c>
      <c r="J11" s="20">
        <v>0</v>
      </c>
      <c r="L11" s="20" t="s">
        <v>113</v>
      </c>
      <c r="M11" s="20" t="s">
        <v>114</v>
      </c>
      <c r="N11" s="20" t="s">
        <v>263</v>
      </c>
      <c r="O11" s="20">
        <v>191900</v>
      </c>
      <c r="P11" s="23">
        <v>2.4</v>
      </c>
      <c r="Q11" s="20">
        <v>0</v>
      </c>
      <c r="R11" s="20">
        <v>0</v>
      </c>
      <c r="S11" s="21">
        <v>1.383</v>
      </c>
      <c r="T11" s="21">
        <v>0</v>
      </c>
      <c r="U11" s="21">
        <v>0</v>
      </c>
      <c r="V11" s="21">
        <v>0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4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0</v>
      </c>
      <c r="AH11" s="20">
        <v>29500</v>
      </c>
      <c r="AI11" s="20">
        <v>179300</v>
      </c>
      <c r="AK11" s="20">
        <v>0</v>
      </c>
      <c r="AL11" s="20">
        <v>0</v>
      </c>
      <c r="AM11" s="20">
        <v>1</v>
      </c>
    </row>
    <row r="12" spans="1:44" x14ac:dyDescent="0.2">
      <c r="A12" s="20" t="s">
        <v>97</v>
      </c>
      <c r="B12" s="20" t="s">
        <v>98</v>
      </c>
      <c r="C12" s="20" t="s">
        <v>228</v>
      </c>
      <c r="D12" s="20" t="s">
        <v>332</v>
      </c>
      <c r="E12" s="20" t="s">
        <v>456</v>
      </c>
      <c r="H12" s="20" t="s">
        <v>99</v>
      </c>
      <c r="J12" s="20">
        <v>0</v>
      </c>
      <c r="L12" s="20" t="s">
        <v>457</v>
      </c>
      <c r="N12" s="20" t="s">
        <v>264</v>
      </c>
      <c r="O12" s="20">
        <v>140100</v>
      </c>
      <c r="P12" s="23">
        <v>2.4</v>
      </c>
      <c r="Q12" s="20">
        <v>0</v>
      </c>
      <c r="R12" s="20">
        <v>0</v>
      </c>
      <c r="S12" s="21">
        <v>0.85899999999999999</v>
      </c>
      <c r="T12" s="21">
        <v>0</v>
      </c>
      <c r="U12" s="21">
        <v>0</v>
      </c>
      <c r="V12" s="21">
        <v>0</v>
      </c>
      <c r="W12" s="21">
        <v>0</v>
      </c>
      <c r="X12" s="21">
        <v>0</v>
      </c>
      <c r="Y12" s="21">
        <v>0</v>
      </c>
      <c r="Z12" s="21">
        <v>0</v>
      </c>
      <c r="AA12" s="21">
        <v>0</v>
      </c>
      <c r="AB12" s="24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0">
        <v>0</v>
      </c>
      <c r="AI12" s="20">
        <v>130900</v>
      </c>
      <c r="AJ12" s="20" t="s">
        <v>458</v>
      </c>
      <c r="AK12" s="20">
        <v>0</v>
      </c>
      <c r="AL12" s="20">
        <v>0</v>
      </c>
      <c r="AM12" s="20">
        <v>1</v>
      </c>
    </row>
    <row r="13" spans="1:44" x14ac:dyDescent="0.2">
      <c r="A13" s="20" t="s">
        <v>97</v>
      </c>
      <c r="B13" s="20" t="s">
        <v>98</v>
      </c>
      <c r="C13" s="20" t="s">
        <v>228</v>
      </c>
      <c r="D13" s="20" t="s">
        <v>265</v>
      </c>
      <c r="E13" s="20" t="s">
        <v>266</v>
      </c>
      <c r="H13" s="20" t="s">
        <v>99</v>
      </c>
      <c r="J13" s="20">
        <v>0</v>
      </c>
      <c r="L13" s="20" t="s">
        <v>115</v>
      </c>
      <c r="M13" s="20" t="s">
        <v>116</v>
      </c>
      <c r="N13" s="20" t="s">
        <v>267</v>
      </c>
      <c r="O13" s="20">
        <v>166500</v>
      </c>
      <c r="P13" s="23">
        <v>2.4</v>
      </c>
      <c r="Q13" s="20">
        <v>0</v>
      </c>
      <c r="R13" s="20">
        <v>0</v>
      </c>
      <c r="S13" s="21">
        <v>1.0209999999999999</v>
      </c>
      <c r="T13" s="21">
        <v>0</v>
      </c>
      <c r="U13" s="21">
        <v>0</v>
      </c>
      <c r="V13" s="21">
        <v>0</v>
      </c>
      <c r="W13" s="21">
        <v>0</v>
      </c>
      <c r="X13" s="21">
        <v>0</v>
      </c>
      <c r="Y13" s="21">
        <v>0</v>
      </c>
      <c r="Z13" s="21">
        <v>0</v>
      </c>
      <c r="AA13" s="21">
        <v>0</v>
      </c>
      <c r="AB13" s="24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0">
        <v>0</v>
      </c>
      <c r="AI13" s="20">
        <v>155600</v>
      </c>
      <c r="AK13" s="20">
        <v>0</v>
      </c>
      <c r="AL13" s="20">
        <v>0</v>
      </c>
      <c r="AM13" s="20">
        <v>1</v>
      </c>
    </row>
    <row r="14" spans="1:44" x14ac:dyDescent="0.2">
      <c r="A14" s="20" t="s">
        <v>97</v>
      </c>
      <c r="B14" s="20" t="s">
        <v>98</v>
      </c>
      <c r="C14" s="20" t="s">
        <v>228</v>
      </c>
      <c r="D14" s="20" t="s">
        <v>268</v>
      </c>
      <c r="E14" s="20" t="s">
        <v>269</v>
      </c>
      <c r="H14" s="20" t="s">
        <v>99</v>
      </c>
      <c r="J14" s="20">
        <v>0</v>
      </c>
      <c r="L14" s="20" t="s">
        <v>117</v>
      </c>
      <c r="N14" s="20" t="s">
        <v>270</v>
      </c>
      <c r="O14" s="20">
        <v>176600</v>
      </c>
      <c r="P14" s="23">
        <v>2.4</v>
      </c>
      <c r="Q14" s="20">
        <v>0</v>
      </c>
      <c r="R14" s="20">
        <v>0</v>
      </c>
      <c r="S14" s="21">
        <v>1.083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21">
        <v>0</v>
      </c>
      <c r="AA14" s="21">
        <v>0</v>
      </c>
      <c r="AB14" s="24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0">
        <v>0</v>
      </c>
      <c r="AI14" s="20">
        <v>165000</v>
      </c>
      <c r="AK14" s="20">
        <v>0</v>
      </c>
      <c r="AL14" s="20">
        <v>0</v>
      </c>
      <c r="AM14" s="20">
        <v>1</v>
      </c>
    </row>
    <row r="15" spans="1:44" x14ac:dyDescent="0.2">
      <c r="A15" s="20" t="s">
        <v>97</v>
      </c>
      <c r="B15" s="20" t="s">
        <v>98</v>
      </c>
      <c r="C15" s="20" t="s">
        <v>228</v>
      </c>
      <c r="D15" s="20" t="s">
        <v>271</v>
      </c>
      <c r="E15" s="20" t="s">
        <v>272</v>
      </c>
      <c r="H15" s="20" t="s">
        <v>99</v>
      </c>
      <c r="J15" s="20">
        <v>0</v>
      </c>
      <c r="L15" s="20" t="s">
        <v>118</v>
      </c>
      <c r="M15" s="20" t="s">
        <v>119</v>
      </c>
      <c r="N15" s="20" t="s">
        <v>273</v>
      </c>
      <c r="O15" s="20">
        <v>191900</v>
      </c>
      <c r="P15" s="23">
        <v>2.4</v>
      </c>
      <c r="Q15" s="20">
        <v>0</v>
      </c>
      <c r="R15" s="20">
        <v>0</v>
      </c>
      <c r="S15" s="21">
        <v>1.1759999999999999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21">
        <v>0</v>
      </c>
      <c r="AA15" s="21">
        <v>0</v>
      </c>
      <c r="AB15" s="24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0">
        <v>0</v>
      </c>
      <c r="AI15" s="20">
        <v>179300</v>
      </c>
      <c r="AK15" s="20">
        <v>0</v>
      </c>
      <c r="AL15" s="20">
        <v>0</v>
      </c>
      <c r="AM15" s="20">
        <v>1</v>
      </c>
    </row>
    <row r="16" spans="1:44" x14ac:dyDescent="0.2">
      <c r="A16" s="20" t="s">
        <v>97</v>
      </c>
      <c r="B16" s="20" t="s">
        <v>98</v>
      </c>
      <c r="C16" s="20" t="s">
        <v>228</v>
      </c>
      <c r="D16" s="20" t="s">
        <v>274</v>
      </c>
      <c r="E16" s="20" t="s">
        <v>275</v>
      </c>
      <c r="H16" s="20" t="s">
        <v>99</v>
      </c>
      <c r="J16" s="20">
        <v>0</v>
      </c>
      <c r="L16" s="20" t="s">
        <v>120</v>
      </c>
      <c r="M16" s="20" t="s">
        <v>121</v>
      </c>
      <c r="N16" s="20" t="s">
        <v>276</v>
      </c>
      <c r="O16" s="20">
        <v>140100</v>
      </c>
      <c r="P16" s="23">
        <v>2.4</v>
      </c>
      <c r="Q16" s="20">
        <v>0</v>
      </c>
      <c r="R16" s="20">
        <v>0</v>
      </c>
      <c r="S16" s="21">
        <v>0.85899999999999999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21">
        <v>0</v>
      </c>
      <c r="AA16" s="21">
        <v>0</v>
      </c>
      <c r="AB16" s="24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0">
        <v>0</v>
      </c>
      <c r="AI16" s="20">
        <v>130900</v>
      </c>
      <c r="AK16" s="20">
        <v>0</v>
      </c>
      <c r="AL16" s="20">
        <v>0</v>
      </c>
      <c r="AM16" s="20">
        <v>1</v>
      </c>
    </row>
    <row r="17" spans="1:39" x14ac:dyDescent="0.2">
      <c r="A17" s="20" t="s">
        <v>97</v>
      </c>
      <c r="B17" s="20" t="s">
        <v>98</v>
      </c>
      <c r="C17" s="20" t="s">
        <v>228</v>
      </c>
      <c r="D17" s="20" t="s">
        <v>277</v>
      </c>
      <c r="E17" s="20" t="s">
        <v>278</v>
      </c>
      <c r="H17" s="20" t="s">
        <v>99</v>
      </c>
      <c r="J17" s="20">
        <v>0</v>
      </c>
      <c r="L17" s="20" t="s">
        <v>122</v>
      </c>
      <c r="N17" s="20" t="s">
        <v>279</v>
      </c>
      <c r="O17" s="20">
        <v>166500</v>
      </c>
      <c r="P17" s="23">
        <v>2.4</v>
      </c>
      <c r="Q17" s="20">
        <v>0</v>
      </c>
      <c r="R17" s="20">
        <v>0</v>
      </c>
      <c r="S17" s="21">
        <v>1.0209999999999999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21">
        <v>0</v>
      </c>
      <c r="AA17" s="21">
        <v>0</v>
      </c>
      <c r="AB17" s="24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0">
        <v>0</v>
      </c>
      <c r="AI17" s="20">
        <v>155600</v>
      </c>
      <c r="AK17" s="20">
        <v>0</v>
      </c>
      <c r="AL17" s="20">
        <v>0</v>
      </c>
      <c r="AM17" s="20">
        <v>1</v>
      </c>
    </row>
    <row r="18" spans="1:39" x14ac:dyDescent="0.2">
      <c r="A18" s="20" t="s">
        <v>97</v>
      </c>
      <c r="B18" s="20" t="s">
        <v>98</v>
      </c>
      <c r="C18" s="20" t="s">
        <v>228</v>
      </c>
      <c r="D18" s="20" t="s">
        <v>280</v>
      </c>
      <c r="E18" s="20" t="s">
        <v>281</v>
      </c>
      <c r="H18" s="20" t="s">
        <v>99</v>
      </c>
      <c r="J18" s="20">
        <v>0</v>
      </c>
      <c r="L18" s="20" t="s">
        <v>123</v>
      </c>
      <c r="N18" s="20" t="s">
        <v>282</v>
      </c>
      <c r="O18" s="20">
        <v>176600</v>
      </c>
      <c r="P18" s="23">
        <v>2.4</v>
      </c>
      <c r="Q18" s="20">
        <v>0</v>
      </c>
      <c r="R18" s="20">
        <v>0</v>
      </c>
      <c r="S18" s="21">
        <v>1.083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4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0">
        <v>0</v>
      </c>
      <c r="AI18" s="20">
        <v>165000</v>
      </c>
      <c r="AK18" s="20">
        <v>0</v>
      </c>
      <c r="AL18" s="20">
        <v>0</v>
      </c>
      <c r="AM18" s="20">
        <v>1</v>
      </c>
    </row>
    <row r="19" spans="1:39" x14ac:dyDescent="0.2">
      <c r="A19" s="20" t="s">
        <v>97</v>
      </c>
      <c r="B19" s="20" t="s">
        <v>98</v>
      </c>
      <c r="C19" s="20" t="s">
        <v>228</v>
      </c>
      <c r="D19" s="20" t="s">
        <v>283</v>
      </c>
      <c r="E19" s="20" t="s">
        <v>284</v>
      </c>
      <c r="H19" s="20" t="s">
        <v>99</v>
      </c>
      <c r="J19" s="20">
        <v>0</v>
      </c>
      <c r="L19" s="20" t="s">
        <v>124</v>
      </c>
      <c r="N19" s="20" t="s">
        <v>285</v>
      </c>
      <c r="O19" s="20">
        <v>191900</v>
      </c>
      <c r="P19" s="23">
        <v>2.4</v>
      </c>
      <c r="Q19" s="20">
        <v>0</v>
      </c>
      <c r="R19" s="20">
        <v>0</v>
      </c>
      <c r="S19" s="21">
        <v>1.1759999999999999</v>
      </c>
      <c r="T19" s="21">
        <v>0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4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0">
        <v>0</v>
      </c>
      <c r="AI19" s="20">
        <v>179300</v>
      </c>
      <c r="AK19" s="20">
        <v>0</v>
      </c>
      <c r="AL19" s="20">
        <v>0</v>
      </c>
      <c r="AM19" s="20">
        <v>1</v>
      </c>
    </row>
    <row r="20" spans="1:39" x14ac:dyDescent="0.2">
      <c r="A20" s="20" t="s">
        <v>97</v>
      </c>
      <c r="B20" s="20" t="s">
        <v>98</v>
      </c>
      <c r="C20" s="20" t="s">
        <v>228</v>
      </c>
      <c r="D20" s="20" t="s">
        <v>286</v>
      </c>
      <c r="E20" s="20" t="s">
        <v>287</v>
      </c>
      <c r="H20" s="20" t="s">
        <v>99</v>
      </c>
      <c r="J20" s="20">
        <v>0</v>
      </c>
      <c r="L20" s="20" t="s">
        <v>125</v>
      </c>
      <c r="N20" s="20" t="s">
        <v>288</v>
      </c>
      <c r="O20" s="20">
        <v>140100</v>
      </c>
      <c r="P20" s="23">
        <v>2.4</v>
      </c>
      <c r="Q20" s="20">
        <v>0</v>
      </c>
      <c r="R20" s="20">
        <v>0</v>
      </c>
      <c r="S20" s="21">
        <v>0.85899999999999999</v>
      </c>
      <c r="T20" s="21">
        <v>0</v>
      </c>
      <c r="U20" s="21">
        <v>0</v>
      </c>
      <c r="V20" s="21">
        <v>0</v>
      </c>
      <c r="W20" s="21">
        <v>0</v>
      </c>
      <c r="X20" s="21">
        <v>0</v>
      </c>
      <c r="Y20" s="21">
        <v>0</v>
      </c>
      <c r="Z20" s="21">
        <v>0</v>
      </c>
      <c r="AA20" s="21">
        <v>0</v>
      </c>
      <c r="AB20" s="24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0">
        <v>0</v>
      </c>
      <c r="AI20" s="20">
        <v>130900</v>
      </c>
      <c r="AK20" s="20">
        <v>0</v>
      </c>
      <c r="AL20" s="20">
        <v>0</v>
      </c>
      <c r="AM20" s="20">
        <v>1</v>
      </c>
    </row>
    <row r="21" spans="1:39" x14ac:dyDescent="0.2">
      <c r="A21" s="20" t="s">
        <v>97</v>
      </c>
      <c r="B21" s="20" t="s">
        <v>98</v>
      </c>
      <c r="C21" s="20" t="s">
        <v>228</v>
      </c>
      <c r="D21" s="20" t="s">
        <v>289</v>
      </c>
      <c r="E21" s="20" t="s">
        <v>290</v>
      </c>
      <c r="H21" s="20" t="s">
        <v>99</v>
      </c>
      <c r="J21" s="20">
        <v>0</v>
      </c>
      <c r="L21" s="20" t="s">
        <v>126</v>
      </c>
      <c r="N21" s="20" t="s">
        <v>291</v>
      </c>
      <c r="O21" s="20">
        <v>166500</v>
      </c>
      <c r="P21" s="23">
        <v>2.4</v>
      </c>
      <c r="Q21" s="20">
        <v>0</v>
      </c>
      <c r="R21" s="20">
        <v>0</v>
      </c>
      <c r="S21" s="21">
        <v>1.228</v>
      </c>
      <c r="T21" s="21">
        <v>0</v>
      </c>
      <c r="U21" s="21">
        <v>0</v>
      </c>
      <c r="V21" s="21">
        <v>0</v>
      </c>
      <c r="W21" s="21">
        <v>0</v>
      </c>
      <c r="X21" s="21">
        <v>0</v>
      </c>
      <c r="Y21" s="21">
        <v>0</v>
      </c>
      <c r="Z21" s="21">
        <v>0</v>
      </c>
      <c r="AA21" s="21">
        <v>0</v>
      </c>
      <c r="AB21" s="24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0</v>
      </c>
      <c r="AH21" s="20">
        <v>0</v>
      </c>
      <c r="AI21" s="20">
        <v>155600</v>
      </c>
      <c r="AK21" s="20">
        <v>0</v>
      </c>
      <c r="AL21" s="20">
        <v>0</v>
      </c>
      <c r="AM21" s="20">
        <v>1</v>
      </c>
    </row>
    <row r="22" spans="1:39" x14ac:dyDescent="0.2">
      <c r="A22" s="20" t="s">
        <v>97</v>
      </c>
      <c r="B22" s="20" t="s">
        <v>98</v>
      </c>
      <c r="C22" s="20" t="s">
        <v>230</v>
      </c>
      <c r="D22" s="20" t="s">
        <v>234</v>
      </c>
      <c r="E22" s="20" t="s">
        <v>292</v>
      </c>
      <c r="H22" s="20" t="s">
        <v>99</v>
      </c>
      <c r="J22" s="20">
        <v>0</v>
      </c>
      <c r="L22" s="20" t="s">
        <v>127</v>
      </c>
      <c r="N22" s="20" t="s">
        <v>293</v>
      </c>
      <c r="O22" s="20">
        <v>176600</v>
      </c>
      <c r="P22" s="23">
        <v>2.4</v>
      </c>
      <c r="Q22" s="20">
        <v>0</v>
      </c>
      <c r="R22" s="20">
        <v>0</v>
      </c>
      <c r="S22" s="21">
        <v>1.083</v>
      </c>
      <c r="T22" s="21">
        <v>0</v>
      </c>
      <c r="U22" s="21">
        <v>0</v>
      </c>
      <c r="V22" s="21">
        <v>0</v>
      </c>
      <c r="W22" s="21">
        <v>0</v>
      </c>
      <c r="X22" s="21">
        <v>0</v>
      </c>
      <c r="Y22" s="21">
        <v>0</v>
      </c>
      <c r="Z22" s="21">
        <v>0</v>
      </c>
      <c r="AA22" s="21">
        <v>0</v>
      </c>
      <c r="AB22" s="24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0">
        <v>0</v>
      </c>
      <c r="AI22" s="20">
        <v>165000</v>
      </c>
      <c r="AK22" s="20">
        <v>0</v>
      </c>
      <c r="AL22" s="20">
        <v>0</v>
      </c>
      <c r="AM22" s="20">
        <v>1</v>
      </c>
    </row>
    <row r="23" spans="1:39" x14ac:dyDescent="0.2">
      <c r="A23" s="20" t="s">
        <v>97</v>
      </c>
      <c r="B23" s="20" t="s">
        <v>98</v>
      </c>
      <c r="C23" s="20" t="s">
        <v>230</v>
      </c>
      <c r="D23" s="20" t="s">
        <v>237</v>
      </c>
      <c r="E23" s="20" t="s">
        <v>294</v>
      </c>
      <c r="H23" s="20" t="s">
        <v>99</v>
      </c>
      <c r="J23" s="20">
        <v>0</v>
      </c>
      <c r="L23" s="20" t="s">
        <v>102</v>
      </c>
      <c r="N23" s="20" t="s">
        <v>295</v>
      </c>
      <c r="O23" s="20">
        <v>191900</v>
      </c>
      <c r="P23" s="23">
        <v>2.4</v>
      </c>
      <c r="Q23" s="20">
        <v>0</v>
      </c>
      <c r="R23" s="20">
        <v>0</v>
      </c>
      <c r="S23" s="21">
        <v>1.383</v>
      </c>
      <c r="T23" s="21">
        <v>0</v>
      </c>
      <c r="U23" s="21">
        <v>0</v>
      </c>
      <c r="V23" s="21">
        <v>0</v>
      </c>
      <c r="W23" s="21">
        <v>0</v>
      </c>
      <c r="X23" s="21">
        <v>0</v>
      </c>
      <c r="Y23" s="21">
        <v>0</v>
      </c>
      <c r="Z23" s="21">
        <v>0</v>
      </c>
      <c r="AA23" s="21">
        <v>0</v>
      </c>
      <c r="AB23" s="24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0">
        <v>29500</v>
      </c>
      <c r="AI23" s="20">
        <v>179300</v>
      </c>
      <c r="AK23" s="20">
        <v>0</v>
      </c>
      <c r="AL23" s="20">
        <v>0</v>
      </c>
      <c r="AM23" s="20">
        <v>1</v>
      </c>
    </row>
    <row r="24" spans="1:39" x14ac:dyDescent="0.2">
      <c r="A24" s="20" t="s">
        <v>97</v>
      </c>
      <c r="B24" s="20" t="s">
        <v>98</v>
      </c>
      <c r="C24" s="20" t="s">
        <v>230</v>
      </c>
      <c r="D24" s="20" t="s">
        <v>246</v>
      </c>
      <c r="E24" s="20" t="s">
        <v>296</v>
      </c>
      <c r="H24" s="20" t="s">
        <v>99</v>
      </c>
      <c r="J24" s="20">
        <v>0</v>
      </c>
      <c r="L24" s="20" t="s">
        <v>128</v>
      </c>
      <c r="M24" s="20" t="s">
        <v>129</v>
      </c>
      <c r="N24" s="20" t="s">
        <v>297</v>
      </c>
      <c r="O24" s="20">
        <v>176600</v>
      </c>
      <c r="P24" s="23">
        <v>2.4</v>
      </c>
      <c r="Q24" s="20">
        <v>0</v>
      </c>
      <c r="R24" s="20">
        <v>0</v>
      </c>
      <c r="S24" s="21">
        <v>1.083</v>
      </c>
      <c r="T24" s="21">
        <v>0</v>
      </c>
      <c r="U24" s="21">
        <v>0</v>
      </c>
      <c r="V24" s="21">
        <v>0</v>
      </c>
      <c r="W24" s="21">
        <v>0</v>
      </c>
      <c r="X24" s="21">
        <v>0</v>
      </c>
      <c r="Y24" s="21">
        <v>0</v>
      </c>
      <c r="Z24" s="21">
        <v>0</v>
      </c>
      <c r="AA24" s="21">
        <v>0</v>
      </c>
      <c r="AB24" s="24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0">
        <v>0</v>
      </c>
      <c r="AI24" s="20">
        <v>165000</v>
      </c>
      <c r="AK24" s="20">
        <v>0</v>
      </c>
      <c r="AL24" s="20">
        <v>0</v>
      </c>
      <c r="AM24" s="20">
        <v>1</v>
      </c>
    </row>
    <row r="25" spans="1:39" x14ac:dyDescent="0.2">
      <c r="A25" s="20" t="s">
        <v>97</v>
      </c>
      <c r="B25" s="20" t="s">
        <v>98</v>
      </c>
      <c r="C25" s="20" t="s">
        <v>230</v>
      </c>
      <c r="D25" s="20" t="s">
        <v>249</v>
      </c>
      <c r="E25" s="20" t="s">
        <v>298</v>
      </c>
      <c r="H25" s="20" t="s">
        <v>99</v>
      </c>
      <c r="J25" s="20">
        <v>0</v>
      </c>
      <c r="L25" s="20" t="s">
        <v>130</v>
      </c>
      <c r="N25" s="20" t="s">
        <v>299</v>
      </c>
      <c r="O25" s="20">
        <v>191900</v>
      </c>
      <c r="P25" s="23">
        <v>2.4</v>
      </c>
      <c r="Q25" s="20">
        <v>0</v>
      </c>
      <c r="R25" s="20">
        <v>0</v>
      </c>
      <c r="S25" s="21">
        <v>1.1759999999999999</v>
      </c>
      <c r="T25" s="21">
        <v>0</v>
      </c>
      <c r="U25" s="21">
        <v>0</v>
      </c>
      <c r="V25" s="21">
        <v>0</v>
      </c>
      <c r="W25" s="21">
        <v>0</v>
      </c>
      <c r="X25" s="21">
        <v>0</v>
      </c>
      <c r="Y25" s="21">
        <v>0</v>
      </c>
      <c r="Z25" s="21">
        <v>0</v>
      </c>
      <c r="AA25" s="21">
        <v>0</v>
      </c>
      <c r="AB25" s="24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0">
        <v>0</v>
      </c>
      <c r="AI25" s="20">
        <v>179300</v>
      </c>
      <c r="AK25" s="20">
        <v>0</v>
      </c>
      <c r="AL25" s="20">
        <v>0</v>
      </c>
      <c r="AM25" s="20">
        <v>1</v>
      </c>
    </row>
    <row r="26" spans="1:39" x14ac:dyDescent="0.2">
      <c r="A26" s="20" t="s">
        <v>97</v>
      </c>
      <c r="B26" s="20" t="s">
        <v>98</v>
      </c>
      <c r="C26" s="20" t="s">
        <v>230</v>
      </c>
      <c r="D26" s="20" t="s">
        <v>258</v>
      </c>
      <c r="E26" s="20" t="s">
        <v>300</v>
      </c>
      <c r="H26" s="20" t="s">
        <v>99</v>
      </c>
      <c r="J26" s="20">
        <v>0</v>
      </c>
      <c r="L26" s="20" t="s">
        <v>131</v>
      </c>
      <c r="M26" s="20" t="s">
        <v>132</v>
      </c>
      <c r="N26" s="20" t="s">
        <v>301</v>
      </c>
      <c r="O26" s="20">
        <v>176600</v>
      </c>
      <c r="P26" s="23">
        <v>2.4</v>
      </c>
      <c r="Q26" s="20">
        <v>0</v>
      </c>
      <c r="R26" s="20">
        <v>0</v>
      </c>
      <c r="S26" s="21">
        <v>1.083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0</v>
      </c>
      <c r="Z26" s="21">
        <v>0</v>
      </c>
      <c r="AA26" s="21">
        <v>0</v>
      </c>
      <c r="AB26" s="24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0">
        <v>0</v>
      </c>
      <c r="AI26" s="20">
        <v>165000</v>
      </c>
      <c r="AK26" s="20">
        <v>0</v>
      </c>
      <c r="AL26" s="20">
        <v>0</v>
      </c>
      <c r="AM26" s="20">
        <v>1</v>
      </c>
    </row>
    <row r="27" spans="1:39" x14ac:dyDescent="0.2">
      <c r="A27" s="20" t="s">
        <v>97</v>
      </c>
      <c r="B27" s="20" t="s">
        <v>98</v>
      </c>
      <c r="C27" s="20" t="s">
        <v>230</v>
      </c>
      <c r="D27" s="20" t="s">
        <v>261</v>
      </c>
      <c r="E27" s="20" t="s">
        <v>302</v>
      </c>
      <c r="H27" s="20" t="s">
        <v>99</v>
      </c>
      <c r="J27" s="20">
        <v>0</v>
      </c>
      <c r="L27" s="20" t="s">
        <v>133</v>
      </c>
      <c r="M27" s="20" t="s">
        <v>134</v>
      </c>
      <c r="N27" s="20" t="s">
        <v>303</v>
      </c>
      <c r="O27" s="20">
        <v>191900</v>
      </c>
      <c r="P27" s="23">
        <v>2.4</v>
      </c>
      <c r="Q27" s="20">
        <v>0</v>
      </c>
      <c r="R27" s="20">
        <v>0</v>
      </c>
      <c r="S27" s="21">
        <v>1.1759999999999999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0</v>
      </c>
      <c r="Z27" s="21">
        <v>0</v>
      </c>
      <c r="AA27" s="21">
        <v>0</v>
      </c>
      <c r="AB27" s="24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0">
        <v>0</v>
      </c>
      <c r="AI27" s="20">
        <v>179300</v>
      </c>
      <c r="AK27" s="20">
        <v>0</v>
      </c>
      <c r="AL27" s="20">
        <v>0</v>
      </c>
      <c r="AM27" s="20">
        <v>1</v>
      </c>
    </row>
    <row r="28" spans="1:39" x14ac:dyDescent="0.2">
      <c r="A28" s="20" t="s">
        <v>97</v>
      </c>
      <c r="B28" s="20" t="s">
        <v>98</v>
      </c>
      <c r="C28" s="20" t="s">
        <v>230</v>
      </c>
      <c r="D28" s="20" t="s">
        <v>268</v>
      </c>
      <c r="E28" s="20" t="s">
        <v>304</v>
      </c>
      <c r="H28" s="20" t="s">
        <v>99</v>
      </c>
      <c r="J28" s="20">
        <v>0</v>
      </c>
      <c r="L28" s="20" t="s">
        <v>135</v>
      </c>
      <c r="M28" s="20" t="s">
        <v>136</v>
      </c>
      <c r="N28" s="20" t="s">
        <v>305</v>
      </c>
      <c r="O28" s="20">
        <v>176600</v>
      </c>
      <c r="P28" s="23">
        <v>2.4</v>
      </c>
      <c r="Q28" s="20">
        <v>0</v>
      </c>
      <c r="R28" s="20">
        <v>0</v>
      </c>
      <c r="S28" s="21">
        <v>1.083</v>
      </c>
      <c r="T28" s="21">
        <v>0</v>
      </c>
      <c r="U28" s="21">
        <v>0</v>
      </c>
      <c r="V28" s="21">
        <v>0</v>
      </c>
      <c r="W28" s="21">
        <v>0</v>
      </c>
      <c r="X28" s="21">
        <v>0</v>
      </c>
      <c r="Y28" s="21">
        <v>0</v>
      </c>
      <c r="Z28" s="21">
        <v>0</v>
      </c>
      <c r="AA28" s="21">
        <v>0</v>
      </c>
      <c r="AB28" s="24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0">
        <v>0</v>
      </c>
      <c r="AI28" s="20">
        <v>165000</v>
      </c>
      <c r="AK28" s="20">
        <v>0</v>
      </c>
      <c r="AL28" s="20">
        <v>0</v>
      </c>
      <c r="AM28" s="20">
        <v>1</v>
      </c>
    </row>
    <row r="29" spans="1:39" x14ac:dyDescent="0.2">
      <c r="A29" s="20" t="s">
        <v>97</v>
      </c>
      <c r="B29" s="20" t="s">
        <v>98</v>
      </c>
      <c r="C29" s="20" t="s">
        <v>230</v>
      </c>
      <c r="D29" s="20" t="s">
        <v>271</v>
      </c>
      <c r="E29" s="20" t="s">
        <v>306</v>
      </c>
      <c r="H29" s="20" t="s">
        <v>99</v>
      </c>
      <c r="J29" s="20">
        <v>0</v>
      </c>
      <c r="L29" s="20" t="s">
        <v>137</v>
      </c>
      <c r="M29" s="20" t="s">
        <v>138</v>
      </c>
      <c r="N29" s="20" t="s">
        <v>307</v>
      </c>
      <c r="O29" s="20">
        <v>191900</v>
      </c>
      <c r="P29" s="23">
        <v>2.4</v>
      </c>
      <c r="Q29" s="20">
        <v>0</v>
      </c>
      <c r="R29" s="20">
        <v>0</v>
      </c>
      <c r="S29" s="21">
        <v>1.1759999999999999</v>
      </c>
      <c r="T29" s="21">
        <v>0</v>
      </c>
      <c r="U29" s="21">
        <v>0</v>
      </c>
      <c r="V29" s="21">
        <v>0</v>
      </c>
      <c r="W29" s="21">
        <v>0</v>
      </c>
      <c r="X29" s="21">
        <v>0</v>
      </c>
      <c r="Y29" s="21">
        <v>0</v>
      </c>
      <c r="Z29" s="21">
        <v>0</v>
      </c>
      <c r="AA29" s="21">
        <v>0</v>
      </c>
      <c r="AB29" s="24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0">
        <v>0</v>
      </c>
      <c r="AI29" s="20">
        <v>179300</v>
      </c>
      <c r="AK29" s="20">
        <v>0</v>
      </c>
      <c r="AL29" s="20">
        <v>0</v>
      </c>
      <c r="AM29" s="20">
        <v>1</v>
      </c>
    </row>
    <row r="30" spans="1:39" x14ac:dyDescent="0.2">
      <c r="A30" s="20" t="s">
        <v>97</v>
      </c>
      <c r="B30" s="20" t="s">
        <v>98</v>
      </c>
      <c r="C30" s="20" t="s">
        <v>230</v>
      </c>
      <c r="D30" s="20" t="s">
        <v>280</v>
      </c>
      <c r="E30" s="20" t="s">
        <v>308</v>
      </c>
      <c r="H30" s="20" t="s">
        <v>99</v>
      </c>
      <c r="J30" s="20">
        <v>0</v>
      </c>
      <c r="L30" s="20" t="s">
        <v>139</v>
      </c>
      <c r="N30" s="20" t="s">
        <v>309</v>
      </c>
      <c r="O30" s="20">
        <v>176600</v>
      </c>
      <c r="P30" s="23">
        <v>2.4</v>
      </c>
      <c r="Q30" s="20">
        <v>0</v>
      </c>
      <c r="R30" s="20">
        <v>0</v>
      </c>
      <c r="S30" s="21">
        <v>1.083</v>
      </c>
      <c r="T30" s="21">
        <v>0</v>
      </c>
      <c r="U30" s="21">
        <v>0</v>
      </c>
      <c r="V30" s="21">
        <v>0</v>
      </c>
      <c r="W30" s="21">
        <v>0</v>
      </c>
      <c r="X30" s="21">
        <v>0</v>
      </c>
      <c r="Y30" s="21">
        <v>0</v>
      </c>
      <c r="Z30" s="21">
        <v>0</v>
      </c>
      <c r="AA30" s="21">
        <v>0</v>
      </c>
      <c r="AB30" s="24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0">
        <v>0</v>
      </c>
      <c r="AI30" s="20">
        <v>165000</v>
      </c>
      <c r="AK30" s="20">
        <v>0</v>
      </c>
      <c r="AL30" s="20">
        <v>0</v>
      </c>
      <c r="AM30" s="20">
        <v>1</v>
      </c>
    </row>
    <row r="31" spans="1:39" x14ac:dyDescent="0.2">
      <c r="A31" s="20" t="s">
        <v>97</v>
      </c>
      <c r="B31" s="20" t="s">
        <v>98</v>
      </c>
      <c r="C31" s="20" t="s">
        <v>230</v>
      </c>
      <c r="D31" s="20" t="s">
        <v>283</v>
      </c>
      <c r="E31" s="20" t="s">
        <v>310</v>
      </c>
      <c r="H31" s="20" t="s">
        <v>99</v>
      </c>
      <c r="J31" s="20">
        <v>0</v>
      </c>
      <c r="L31" s="20" t="s">
        <v>140</v>
      </c>
      <c r="N31" s="20" t="s">
        <v>311</v>
      </c>
      <c r="O31" s="20">
        <v>191900</v>
      </c>
      <c r="P31" s="23">
        <v>2.4</v>
      </c>
      <c r="Q31" s="20">
        <v>0</v>
      </c>
      <c r="R31" s="20">
        <v>0</v>
      </c>
      <c r="S31" s="21">
        <v>1.1759999999999999</v>
      </c>
      <c r="T31" s="21">
        <v>0</v>
      </c>
      <c r="U31" s="21">
        <v>0</v>
      </c>
      <c r="V31" s="21">
        <v>0</v>
      </c>
      <c r="W31" s="21">
        <v>0</v>
      </c>
      <c r="X31" s="21">
        <v>0</v>
      </c>
      <c r="Y31" s="21">
        <v>0</v>
      </c>
      <c r="Z31" s="21">
        <v>0</v>
      </c>
      <c r="AA31" s="21">
        <v>0</v>
      </c>
      <c r="AB31" s="24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0">
        <v>0</v>
      </c>
      <c r="AI31" s="20">
        <v>179300</v>
      </c>
      <c r="AK31" s="20">
        <v>0</v>
      </c>
      <c r="AL31" s="20">
        <v>0</v>
      </c>
      <c r="AM31" s="20">
        <v>1</v>
      </c>
    </row>
    <row r="32" spans="1:39" x14ac:dyDescent="0.2">
      <c r="A32" s="20" t="s">
        <v>97</v>
      </c>
      <c r="B32" s="20" t="s">
        <v>98</v>
      </c>
      <c r="C32" s="20" t="s">
        <v>231</v>
      </c>
      <c r="D32" s="20" t="s">
        <v>234</v>
      </c>
      <c r="E32" s="20" t="s">
        <v>312</v>
      </c>
      <c r="H32" s="20" t="s">
        <v>99</v>
      </c>
      <c r="J32" s="20">
        <v>0</v>
      </c>
      <c r="L32" s="20" t="s">
        <v>141</v>
      </c>
      <c r="N32" s="20" t="s">
        <v>313</v>
      </c>
      <c r="O32" s="20">
        <v>176600</v>
      </c>
      <c r="P32" s="23">
        <v>2.4</v>
      </c>
      <c r="Q32" s="20">
        <v>0</v>
      </c>
      <c r="R32" s="20">
        <v>0</v>
      </c>
      <c r="S32" s="21">
        <v>1.083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4">
        <v>0</v>
      </c>
      <c r="AC32" s="24">
        <v>0</v>
      </c>
      <c r="AD32" s="24">
        <v>0</v>
      </c>
      <c r="AE32" s="24">
        <v>0</v>
      </c>
      <c r="AF32" s="24">
        <v>0</v>
      </c>
      <c r="AG32" s="24">
        <v>0</v>
      </c>
      <c r="AH32" s="20">
        <v>0</v>
      </c>
      <c r="AI32" s="20">
        <v>165000</v>
      </c>
      <c r="AK32" s="20">
        <v>0</v>
      </c>
      <c r="AL32" s="20">
        <v>0</v>
      </c>
      <c r="AM32" s="20">
        <v>1</v>
      </c>
    </row>
    <row r="33" spans="1:39" x14ac:dyDescent="0.2">
      <c r="A33" s="20" t="s">
        <v>97</v>
      </c>
      <c r="B33" s="20" t="s">
        <v>98</v>
      </c>
      <c r="C33" s="20" t="s">
        <v>231</v>
      </c>
      <c r="D33" s="20" t="s">
        <v>237</v>
      </c>
      <c r="E33" s="20" t="s">
        <v>314</v>
      </c>
      <c r="H33" s="20" t="s">
        <v>99</v>
      </c>
      <c r="J33" s="20">
        <v>0</v>
      </c>
      <c r="L33" s="20" t="s">
        <v>142</v>
      </c>
      <c r="M33" s="20" t="s">
        <v>143</v>
      </c>
      <c r="N33" s="20" t="s">
        <v>315</v>
      </c>
      <c r="O33" s="20">
        <v>191900</v>
      </c>
      <c r="P33" s="23">
        <v>2.4</v>
      </c>
      <c r="Q33" s="20">
        <v>0</v>
      </c>
      <c r="R33" s="20">
        <v>0</v>
      </c>
      <c r="S33" s="21">
        <v>1.1759999999999999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4">
        <v>0</v>
      </c>
      <c r="AC33" s="24">
        <v>0</v>
      </c>
      <c r="AD33" s="24">
        <v>0</v>
      </c>
      <c r="AE33" s="24">
        <v>0</v>
      </c>
      <c r="AF33" s="24">
        <v>0</v>
      </c>
      <c r="AG33" s="24">
        <v>0</v>
      </c>
      <c r="AH33" s="20">
        <v>0</v>
      </c>
      <c r="AI33" s="20">
        <v>179300</v>
      </c>
      <c r="AK33" s="20">
        <v>0</v>
      </c>
      <c r="AL33" s="20">
        <v>0</v>
      </c>
      <c r="AM33" s="20">
        <v>1</v>
      </c>
    </row>
    <row r="34" spans="1:39" x14ac:dyDescent="0.2">
      <c r="A34" s="20" t="s">
        <v>97</v>
      </c>
      <c r="B34" s="20" t="s">
        <v>98</v>
      </c>
      <c r="C34" s="20" t="s">
        <v>231</v>
      </c>
      <c r="D34" s="20" t="s">
        <v>240</v>
      </c>
      <c r="E34" s="20" t="s">
        <v>316</v>
      </c>
      <c r="H34" s="20" t="s">
        <v>99</v>
      </c>
      <c r="J34" s="20">
        <v>0</v>
      </c>
      <c r="L34" s="20" t="s">
        <v>144</v>
      </c>
      <c r="N34" s="20" t="s">
        <v>317</v>
      </c>
      <c r="O34" s="20">
        <v>140100</v>
      </c>
      <c r="P34" s="23">
        <v>2.4</v>
      </c>
      <c r="Q34" s="20">
        <v>0</v>
      </c>
      <c r="R34" s="20">
        <v>0</v>
      </c>
      <c r="S34" s="21">
        <v>0.85899999999999999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4">
        <v>0</v>
      </c>
      <c r="AC34" s="24">
        <v>0</v>
      </c>
      <c r="AD34" s="24">
        <v>0</v>
      </c>
      <c r="AE34" s="24">
        <v>0</v>
      </c>
      <c r="AF34" s="24">
        <v>0</v>
      </c>
      <c r="AG34" s="24">
        <v>0</v>
      </c>
      <c r="AH34" s="20">
        <v>0</v>
      </c>
      <c r="AI34" s="20">
        <v>130900</v>
      </c>
      <c r="AK34" s="20">
        <v>0</v>
      </c>
      <c r="AL34" s="20">
        <v>0</v>
      </c>
      <c r="AM34" s="20">
        <v>1</v>
      </c>
    </row>
    <row r="35" spans="1:39" x14ac:dyDescent="0.2">
      <c r="A35" s="20" t="s">
        <v>97</v>
      </c>
      <c r="B35" s="20" t="s">
        <v>98</v>
      </c>
      <c r="C35" s="20" t="s">
        <v>231</v>
      </c>
      <c r="D35" s="20" t="s">
        <v>243</v>
      </c>
      <c r="E35" s="20" t="s">
        <v>318</v>
      </c>
      <c r="H35" s="20" t="s">
        <v>99</v>
      </c>
      <c r="J35" s="20">
        <v>0</v>
      </c>
      <c r="L35" s="20" t="s">
        <v>145</v>
      </c>
      <c r="M35" s="20" t="s">
        <v>146</v>
      </c>
      <c r="N35" s="20" t="s">
        <v>319</v>
      </c>
      <c r="O35" s="20">
        <v>166500</v>
      </c>
      <c r="P35" s="23">
        <v>2.4</v>
      </c>
      <c r="Q35" s="20">
        <v>0</v>
      </c>
      <c r="R35" s="20">
        <v>0</v>
      </c>
      <c r="S35" s="21">
        <v>1.228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4">
        <v>0</v>
      </c>
      <c r="AC35" s="24">
        <v>0</v>
      </c>
      <c r="AD35" s="24">
        <v>0</v>
      </c>
      <c r="AE35" s="24">
        <v>0</v>
      </c>
      <c r="AF35" s="24">
        <v>0</v>
      </c>
      <c r="AG35" s="24">
        <v>0</v>
      </c>
      <c r="AH35" s="20">
        <v>29500</v>
      </c>
      <c r="AI35" s="20">
        <v>155600</v>
      </c>
      <c r="AK35" s="20">
        <v>0</v>
      </c>
      <c r="AL35" s="20">
        <v>0</v>
      </c>
      <c r="AM35" s="20">
        <v>1</v>
      </c>
    </row>
    <row r="36" spans="1:39" x14ac:dyDescent="0.2">
      <c r="A36" s="20" t="s">
        <v>97</v>
      </c>
      <c r="B36" s="20" t="s">
        <v>98</v>
      </c>
      <c r="C36" s="20" t="s">
        <v>231</v>
      </c>
      <c r="D36" s="20" t="s">
        <v>246</v>
      </c>
      <c r="E36" s="20" t="s">
        <v>320</v>
      </c>
      <c r="H36" s="20" t="s">
        <v>99</v>
      </c>
      <c r="J36" s="20">
        <v>0</v>
      </c>
      <c r="L36" s="20" t="s">
        <v>461</v>
      </c>
      <c r="N36" s="20" t="s">
        <v>321</v>
      </c>
      <c r="O36" s="20">
        <v>176600</v>
      </c>
      <c r="P36" s="23">
        <v>2.4</v>
      </c>
      <c r="Q36" s="20">
        <v>0</v>
      </c>
      <c r="R36" s="20">
        <v>0</v>
      </c>
      <c r="S36" s="21">
        <v>1.083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4">
        <v>0</v>
      </c>
      <c r="AC36" s="24">
        <v>0</v>
      </c>
      <c r="AD36" s="24">
        <v>0</v>
      </c>
      <c r="AE36" s="24">
        <v>0</v>
      </c>
      <c r="AF36" s="24">
        <v>0</v>
      </c>
      <c r="AG36" s="24">
        <v>0</v>
      </c>
      <c r="AH36" s="20">
        <v>0</v>
      </c>
      <c r="AI36" s="20">
        <v>165000</v>
      </c>
      <c r="AJ36" s="20" t="s">
        <v>462</v>
      </c>
      <c r="AK36" s="20">
        <v>0</v>
      </c>
      <c r="AL36" s="20">
        <v>0</v>
      </c>
      <c r="AM36" s="20">
        <v>1</v>
      </c>
    </row>
    <row r="37" spans="1:39" x14ac:dyDescent="0.2">
      <c r="A37" s="20" t="s">
        <v>97</v>
      </c>
      <c r="B37" s="20" t="s">
        <v>98</v>
      </c>
      <c r="C37" s="20" t="s">
        <v>231</v>
      </c>
      <c r="D37" s="20" t="s">
        <v>249</v>
      </c>
      <c r="E37" s="20" t="s">
        <v>322</v>
      </c>
      <c r="H37" s="20" t="s">
        <v>99</v>
      </c>
      <c r="J37" s="20">
        <v>0</v>
      </c>
      <c r="L37" s="20" t="s">
        <v>147</v>
      </c>
      <c r="M37" s="20" t="s">
        <v>148</v>
      </c>
      <c r="N37" s="20" t="s">
        <v>323</v>
      </c>
      <c r="O37" s="20">
        <v>191900</v>
      </c>
      <c r="P37" s="23">
        <v>2.4</v>
      </c>
      <c r="Q37" s="20">
        <v>0</v>
      </c>
      <c r="R37" s="20">
        <v>0</v>
      </c>
      <c r="S37" s="21">
        <v>1.383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4">
        <v>0</v>
      </c>
      <c r="AC37" s="24">
        <v>0</v>
      </c>
      <c r="AD37" s="24">
        <v>0</v>
      </c>
      <c r="AE37" s="24">
        <v>0</v>
      </c>
      <c r="AF37" s="24">
        <v>0</v>
      </c>
      <c r="AG37" s="24">
        <v>0</v>
      </c>
      <c r="AH37" s="20">
        <v>29500</v>
      </c>
      <c r="AI37" s="20">
        <v>179300</v>
      </c>
      <c r="AK37" s="20">
        <v>0</v>
      </c>
      <c r="AL37" s="20">
        <v>0</v>
      </c>
      <c r="AM37" s="20">
        <v>1</v>
      </c>
    </row>
    <row r="38" spans="1:39" x14ac:dyDescent="0.2">
      <c r="A38" s="20" t="s">
        <v>97</v>
      </c>
      <c r="B38" s="20" t="s">
        <v>98</v>
      </c>
      <c r="C38" s="20" t="s">
        <v>231</v>
      </c>
      <c r="D38" s="20" t="s">
        <v>252</v>
      </c>
      <c r="E38" s="20" t="s">
        <v>324</v>
      </c>
      <c r="H38" s="20" t="s">
        <v>99</v>
      </c>
      <c r="J38" s="20">
        <v>0</v>
      </c>
      <c r="L38" s="20" t="s">
        <v>149</v>
      </c>
      <c r="N38" s="20" t="s">
        <v>325</v>
      </c>
      <c r="O38" s="20">
        <v>140100</v>
      </c>
      <c r="P38" s="23">
        <v>2.4</v>
      </c>
      <c r="Q38" s="20">
        <v>0</v>
      </c>
      <c r="R38" s="20">
        <v>0</v>
      </c>
      <c r="S38" s="21">
        <v>0.85899999999999999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4">
        <v>0</v>
      </c>
      <c r="AC38" s="24">
        <v>0</v>
      </c>
      <c r="AD38" s="24">
        <v>0</v>
      </c>
      <c r="AE38" s="24">
        <v>0</v>
      </c>
      <c r="AF38" s="24">
        <v>0</v>
      </c>
      <c r="AG38" s="24">
        <v>0</v>
      </c>
      <c r="AH38" s="20">
        <v>0</v>
      </c>
      <c r="AI38" s="20">
        <v>130900</v>
      </c>
      <c r="AK38" s="20">
        <v>0</v>
      </c>
      <c r="AL38" s="20">
        <v>0</v>
      </c>
      <c r="AM38" s="20">
        <v>1</v>
      </c>
    </row>
    <row r="39" spans="1:39" x14ac:dyDescent="0.2">
      <c r="A39" s="20" t="s">
        <v>97</v>
      </c>
      <c r="B39" s="20" t="s">
        <v>98</v>
      </c>
      <c r="C39" s="20" t="s">
        <v>231</v>
      </c>
      <c r="D39" s="20" t="s">
        <v>255</v>
      </c>
      <c r="E39" s="20" t="s">
        <v>326</v>
      </c>
      <c r="H39" s="20" t="s">
        <v>99</v>
      </c>
      <c r="J39" s="20">
        <v>0</v>
      </c>
      <c r="L39" s="20" t="s">
        <v>150</v>
      </c>
      <c r="N39" s="20" t="s">
        <v>327</v>
      </c>
      <c r="O39" s="20">
        <v>166500</v>
      </c>
      <c r="P39" s="23">
        <v>2.4</v>
      </c>
      <c r="Q39" s="20">
        <v>0</v>
      </c>
      <c r="R39" s="20">
        <v>0</v>
      </c>
      <c r="S39" s="21">
        <v>1.0209999999999999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4">
        <v>0</v>
      </c>
      <c r="AC39" s="24">
        <v>0</v>
      </c>
      <c r="AD39" s="24">
        <v>0</v>
      </c>
      <c r="AE39" s="24">
        <v>0</v>
      </c>
      <c r="AF39" s="24">
        <v>0</v>
      </c>
      <c r="AG39" s="24">
        <v>0</v>
      </c>
      <c r="AH39" s="20">
        <v>0</v>
      </c>
      <c r="AI39" s="20">
        <v>155600</v>
      </c>
      <c r="AK39" s="20">
        <v>0</v>
      </c>
      <c r="AL39" s="20">
        <v>0</v>
      </c>
      <c r="AM39" s="20">
        <v>1</v>
      </c>
    </row>
    <row r="40" spans="1:39" x14ac:dyDescent="0.2">
      <c r="A40" s="20" t="s">
        <v>97</v>
      </c>
      <c r="B40" s="20" t="s">
        <v>98</v>
      </c>
      <c r="C40" s="20" t="s">
        <v>231</v>
      </c>
      <c r="D40" s="20" t="s">
        <v>258</v>
      </c>
      <c r="E40" s="20" t="s">
        <v>328</v>
      </c>
      <c r="H40" s="20" t="s">
        <v>99</v>
      </c>
      <c r="J40" s="20">
        <v>0</v>
      </c>
      <c r="L40" s="20" t="s">
        <v>151</v>
      </c>
      <c r="M40" s="20" t="s">
        <v>152</v>
      </c>
      <c r="N40" s="20" t="s">
        <v>329</v>
      </c>
      <c r="O40" s="20">
        <v>176600</v>
      </c>
      <c r="P40" s="23">
        <v>2.4</v>
      </c>
      <c r="Q40" s="20">
        <v>0</v>
      </c>
      <c r="R40" s="20">
        <v>0</v>
      </c>
      <c r="S40" s="21">
        <v>1.083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4">
        <v>0</v>
      </c>
      <c r="AC40" s="24">
        <v>0</v>
      </c>
      <c r="AD40" s="24">
        <v>0</v>
      </c>
      <c r="AE40" s="24">
        <v>0</v>
      </c>
      <c r="AF40" s="24">
        <v>0</v>
      </c>
      <c r="AG40" s="24">
        <v>0</v>
      </c>
      <c r="AH40" s="20">
        <v>0</v>
      </c>
      <c r="AI40" s="20">
        <v>165000</v>
      </c>
      <c r="AK40" s="20">
        <v>0</v>
      </c>
      <c r="AL40" s="20">
        <v>0</v>
      </c>
      <c r="AM40" s="20">
        <v>1</v>
      </c>
    </row>
    <row r="41" spans="1:39" x14ac:dyDescent="0.2">
      <c r="A41" s="20" t="s">
        <v>97</v>
      </c>
      <c r="B41" s="20" t="s">
        <v>98</v>
      </c>
      <c r="C41" s="20" t="s">
        <v>231</v>
      </c>
      <c r="D41" s="20" t="s">
        <v>261</v>
      </c>
      <c r="E41" s="20" t="s">
        <v>330</v>
      </c>
      <c r="H41" s="20" t="s">
        <v>99</v>
      </c>
      <c r="J41" s="20">
        <v>0</v>
      </c>
      <c r="L41" s="20" t="s">
        <v>153</v>
      </c>
      <c r="M41" s="20" t="s">
        <v>154</v>
      </c>
      <c r="N41" s="20" t="s">
        <v>331</v>
      </c>
      <c r="O41" s="20">
        <v>191900</v>
      </c>
      <c r="P41" s="23">
        <v>2.4</v>
      </c>
      <c r="Q41" s="20">
        <v>0</v>
      </c>
      <c r="R41" s="20">
        <v>0</v>
      </c>
      <c r="S41" s="21">
        <v>1.383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4">
        <v>0</v>
      </c>
      <c r="AC41" s="24">
        <v>0</v>
      </c>
      <c r="AD41" s="24">
        <v>0</v>
      </c>
      <c r="AE41" s="24">
        <v>0</v>
      </c>
      <c r="AF41" s="24">
        <v>0</v>
      </c>
      <c r="AG41" s="24">
        <v>0</v>
      </c>
      <c r="AH41" s="20">
        <v>29500</v>
      </c>
      <c r="AI41" s="20">
        <v>179300</v>
      </c>
      <c r="AK41" s="20">
        <v>0</v>
      </c>
      <c r="AL41" s="20">
        <v>0</v>
      </c>
      <c r="AM41" s="20">
        <v>1</v>
      </c>
    </row>
    <row r="42" spans="1:39" x14ac:dyDescent="0.2">
      <c r="A42" s="20" t="s">
        <v>97</v>
      </c>
      <c r="B42" s="20" t="s">
        <v>98</v>
      </c>
      <c r="C42" s="20" t="s">
        <v>231</v>
      </c>
      <c r="D42" s="20" t="s">
        <v>332</v>
      </c>
      <c r="E42" s="20" t="s">
        <v>333</v>
      </c>
      <c r="H42" s="20" t="s">
        <v>99</v>
      </c>
      <c r="J42" s="20">
        <v>0</v>
      </c>
      <c r="L42" s="20" t="s">
        <v>155</v>
      </c>
      <c r="M42" s="20" t="s">
        <v>156</v>
      </c>
      <c r="N42" s="20" t="s">
        <v>334</v>
      </c>
      <c r="O42" s="20">
        <v>140100</v>
      </c>
      <c r="P42" s="23">
        <v>2.4</v>
      </c>
      <c r="Q42" s="20">
        <v>0</v>
      </c>
      <c r="R42" s="20">
        <v>0</v>
      </c>
      <c r="S42" s="21">
        <v>0.85899999999999999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4">
        <v>0</v>
      </c>
      <c r="AC42" s="24">
        <v>0</v>
      </c>
      <c r="AD42" s="24">
        <v>0</v>
      </c>
      <c r="AE42" s="24">
        <v>0</v>
      </c>
      <c r="AF42" s="24">
        <v>0</v>
      </c>
      <c r="AG42" s="24">
        <v>0</v>
      </c>
      <c r="AH42" s="20">
        <v>0</v>
      </c>
      <c r="AI42" s="20">
        <v>130900</v>
      </c>
      <c r="AK42" s="20">
        <v>0</v>
      </c>
      <c r="AL42" s="20">
        <v>0</v>
      </c>
      <c r="AM42" s="20">
        <v>1</v>
      </c>
    </row>
    <row r="43" spans="1:39" x14ac:dyDescent="0.2">
      <c r="A43" s="20" t="s">
        <v>97</v>
      </c>
      <c r="B43" s="20" t="s">
        <v>98</v>
      </c>
      <c r="C43" s="20" t="s">
        <v>231</v>
      </c>
      <c r="D43" s="20" t="s">
        <v>265</v>
      </c>
      <c r="E43" s="20" t="s">
        <v>335</v>
      </c>
      <c r="H43" s="20" t="s">
        <v>99</v>
      </c>
      <c r="J43" s="20">
        <v>0</v>
      </c>
      <c r="L43" s="20" t="s">
        <v>157</v>
      </c>
      <c r="M43" s="20" t="s">
        <v>158</v>
      </c>
      <c r="N43" s="20" t="s">
        <v>336</v>
      </c>
      <c r="O43" s="20">
        <v>166500</v>
      </c>
      <c r="P43" s="23">
        <v>2.4</v>
      </c>
      <c r="Q43" s="20">
        <v>0</v>
      </c>
      <c r="R43" s="20">
        <v>0</v>
      </c>
      <c r="S43" s="21">
        <v>1.228</v>
      </c>
      <c r="T43" s="21">
        <v>0</v>
      </c>
      <c r="U43" s="21">
        <v>0</v>
      </c>
      <c r="V43" s="21">
        <v>0</v>
      </c>
      <c r="W43" s="21">
        <v>0</v>
      </c>
      <c r="X43" s="21">
        <v>0</v>
      </c>
      <c r="Y43" s="21">
        <v>0</v>
      </c>
      <c r="Z43" s="21">
        <v>0</v>
      </c>
      <c r="AA43" s="21">
        <v>0</v>
      </c>
      <c r="AB43" s="24">
        <v>0</v>
      </c>
      <c r="AC43" s="24">
        <v>0</v>
      </c>
      <c r="AD43" s="24">
        <v>0</v>
      </c>
      <c r="AE43" s="24">
        <v>0</v>
      </c>
      <c r="AF43" s="24">
        <v>0</v>
      </c>
      <c r="AG43" s="24">
        <v>0</v>
      </c>
      <c r="AH43" s="20">
        <v>29500</v>
      </c>
      <c r="AI43" s="20">
        <v>155600</v>
      </c>
      <c r="AK43" s="20">
        <v>0</v>
      </c>
      <c r="AL43" s="20">
        <v>0</v>
      </c>
      <c r="AM43" s="20">
        <v>1</v>
      </c>
    </row>
    <row r="44" spans="1:39" x14ac:dyDescent="0.2">
      <c r="A44" s="20" t="s">
        <v>97</v>
      </c>
      <c r="B44" s="20" t="s">
        <v>98</v>
      </c>
      <c r="C44" s="20" t="s">
        <v>231</v>
      </c>
      <c r="D44" s="20" t="s">
        <v>268</v>
      </c>
      <c r="E44" s="20" t="s">
        <v>337</v>
      </c>
      <c r="H44" s="20" t="s">
        <v>99</v>
      </c>
      <c r="J44" s="20">
        <v>0</v>
      </c>
      <c r="L44" s="20" t="s">
        <v>159</v>
      </c>
      <c r="M44" s="20" t="s">
        <v>160</v>
      </c>
      <c r="N44" s="20" t="s">
        <v>338</v>
      </c>
      <c r="O44" s="20">
        <v>176600</v>
      </c>
      <c r="P44" s="23">
        <v>2.4</v>
      </c>
      <c r="Q44" s="20">
        <v>0</v>
      </c>
      <c r="R44" s="20">
        <v>0</v>
      </c>
      <c r="S44" s="21">
        <v>1.29</v>
      </c>
      <c r="T44" s="21">
        <v>0</v>
      </c>
      <c r="U44" s="21">
        <v>0</v>
      </c>
      <c r="V44" s="21">
        <v>0</v>
      </c>
      <c r="W44" s="21">
        <v>0</v>
      </c>
      <c r="X44" s="21">
        <v>0</v>
      </c>
      <c r="Y44" s="21">
        <v>0</v>
      </c>
      <c r="Z44" s="21">
        <v>0</v>
      </c>
      <c r="AA44" s="21">
        <v>0</v>
      </c>
      <c r="AB44" s="24">
        <v>0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0">
        <v>29500</v>
      </c>
      <c r="AI44" s="20">
        <v>165000</v>
      </c>
      <c r="AK44" s="20">
        <v>0</v>
      </c>
      <c r="AL44" s="20">
        <v>0</v>
      </c>
      <c r="AM44" s="20">
        <v>1</v>
      </c>
    </row>
    <row r="45" spans="1:39" x14ac:dyDescent="0.2">
      <c r="A45" s="20" t="s">
        <v>97</v>
      </c>
      <c r="B45" s="20" t="s">
        <v>98</v>
      </c>
      <c r="C45" s="20" t="s">
        <v>231</v>
      </c>
      <c r="D45" s="20" t="s">
        <v>271</v>
      </c>
      <c r="E45" s="20" t="s">
        <v>339</v>
      </c>
      <c r="H45" s="20" t="s">
        <v>99</v>
      </c>
      <c r="J45" s="20">
        <v>0</v>
      </c>
      <c r="L45" s="20" t="s">
        <v>161</v>
      </c>
      <c r="N45" s="20" t="s">
        <v>340</v>
      </c>
      <c r="O45" s="20">
        <v>191900</v>
      </c>
      <c r="P45" s="23">
        <v>2.4</v>
      </c>
      <c r="Q45" s="20">
        <v>0</v>
      </c>
      <c r="R45" s="20">
        <v>0</v>
      </c>
      <c r="S45" s="21">
        <v>1.383</v>
      </c>
      <c r="T45" s="21">
        <v>0</v>
      </c>
      <c r="U45" s="21">
        <v>0</v>
      </c>
      <c r="V45" s="21">
        <v>0</v>
      </c>
      <c r="W45" s="21">
        <v>0</v>
      </c>
      <c r="X45" s="21">
        <v>0</v>
      </c>
      <c r="Y45" s="21">
        <v>0</v>
      </c>
      <c r="Z45" s="21">
        <v>0</v>
      </c>
      <c r="AA45" s="21">
        <v>0</v>
      </c>
      <c r="AB45" s="24">
        <v>0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0">
        <v>29500</v>
      </c>
      <c r="AI45" s="20">
        <v>179300</v>
      </c>
      <c r="AK45" s="20">
        <v>0</v>
      </c>
      <c r="AL45" s="20">
        <v>0</v>
      </c>
      <c r="AM45" s="20">
        <v>1</v>
      </c>
    </row>
    <row r="46" spans="1:39" x14ac:dyDescent="0.2">
      <c r="A46" s="20" t="s">
        <v>97</v>
      </c>
      <c r="B46" s="20" t="s">
        <v>98</v>
      </c>
      <c r="C46" s="20" t="s">
        <v>231</v>
      </c>
      <c r="D46" s="20" t="s">
        <v>274</v>
      </c>
      <c r="E46" s="20" t="s">
        <v>341</v>
      </c>
      <c r="H46" s="20" t="s">
        <v>99</v>
      </c>
      <c r="J46" s="20">
        <v>0</v>
      </c>
      <c r="L46" s="20" t="s">
        <v>162</v>
      </c>
      <c r="M46" s="20" t="s">
        <v>163</v>
      </c>
      <c r="N46" s="20" t="s">
        <v>463</v>
      </c>
      <c r="O46" s="20">
        <v>140100</v>
      </c>
      <c r="P46" s="23">
        <v>2.4</v>
      </c>
      <c r="Q46" s="20">
        <v>0</v>
      </c>
      <c r="R46" s="20">
        <v>0</v>
      </c>
      <c r="S46" s="21">
        <v>0.85899999999999999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0</v>
      </c>
      <c r="AB46" s="24">
        <v>0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0">
        <v>0</v>
      </c>
      <c r="AI46" s="20">
        <v>130900</v>
      </c>
      <c r="AK46" s="20">
        <v>0</v>
      </c>
      <c r="AL46" s="20">
        <v>0</v>
      </c>
      <c r="AM46" s="20">
        <v>1</v>
      </c>
    </row>
    <row r="47" spans="1:39" x14ac:dyDescent="0.2">
      <c r="A47" s="20" t="s">
        <v>97</v>
      </c>
      <c r="B47" s="20" t="s">
        <v>98</v>
      </c>
      <c r="C47" s="20" t="s">
        <v>231</v>
      </c>
      <c r="D47" s="20" t="s">
        <v>277</v>
      </c>
      <c r="E47" s="20" t="s">
        <v>342</v>
      </c>
      <c r="H47" s="20" t="s">
        <v>99</v>
      </c>
      <c r="J47" s="20">
        <v>0</v>
      </c>
      <c r="L47" s="20" t="s">
        <v>164</v>
      </c>
      <c r="M47" s="20" t="s">
        <v>165</v>
      </c>
      <c r="N47" s="20" t="s">
        <v>343</v>
      </c>
      <c r="O47" s="20">
        <v>166500</v>
      </c>
      <c r="P47" s="23">
        <v>2.4</v>
      </c>
      <c r="Q47" s="20">
        <v>0</v>
      </c>
      <c r="R47" s="20">
        <v>0</v>
      </c>
      <c r="S47" s="21">
        <v>1.0209999999999999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4">
        <v>0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0">
        <v>0</v>
      </c>
      <c r="AI47" s="20">
        <v>155600</v>
      </c>
      <c r="AK47" s="20">
        <v>0</v>
      </c>
      <c r="AL47" s="20">
        <v>0</v>
      </c>
      <c r="AM47" s="20">
        <v>1</v>
      </c>
    </row>
    <row r="48" spans="1:39" x14ac:dyDescent="0.2">
      <c r="A48" s="20" t="s">
        <v>97</v>
      </c>
      <c r="B48" s="20" t="s">
        <v>98</v>
      </c>
      <c r="C48" s="20" t="s">
        <v>231</v>
      </c>
      <c r="D48" s="20" t="s">
        <v>280</v>
      </c>
      <c r="E48" s="20" t="s">
        <v>344</v>
      </c>
      <c r="H48" s="20" t="s">
        <v>99</v>
      </c>
      <c r="J48" s="20">
        <v>0</v>
      </c>
      <c r="L48" s="20" t="s">
        <v>166</v>
      </c>
      <c r="N48" s="20" t="s">
        <v>345</v>
      </c>
      <c r="O48" s="20">
        <v>176600</v>
      </c>
      <c r="P48" s="23">
        <v>2.4</v>
      </c>
      <c r="Q48" s="20">
        <v>0</v>
      </c>
      <c r="R48" s="20">
        <v>0</v>
      </c>
      <c r="S48" s="21">
        <v>1.29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4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0">
        <v>29500</v>
      </c>
      <c r="AI48" s="20">
        <v>165000</v>
      </c>
      <c r="AK48" s="20">
        <v>0</v>
      </c>
      <c r="AL48" s="20">
        <v>0</v>
      </c>
      <c r="AM48" s="20">
        <v>1</v>
      </c>
    </row>
    <row r="49" spans="1:39" x14ac:dyDescent="0.2">
      <c r="A49" s="20" t="s">
        <v>97</v>
      </c>
      <c r="B49" s="20" t="s">
        <v>98</v>
      </c>
      <c r="C49" s="20" t="s">
        <v>231</v>
      </c>
      <c r="D49" s="20" t="s">
        <v>283</v>
      </c>
      <c r="E49" s="20" t="s">
        <v>346</v>
      </c>
      <c r="H49" s="20" t="s">
        <v>99</v>
      </c>
      <c r="J49" s="20">
        <v>0</v>
      </c>
      <c r="L49" s="20" t="s">
        <v>167</v>
      </c>
      <c r="N49" s="20" t="s">
        <v>347</v>
      </c>
      <c r="O49" s="20">
        <v>191900</v>
      </c>
      <c r="P49" s="23">
        <v>2.4</v>
      </c>
      <c r="Q49" s="20">
        <v>0</v>
      </c>
      <c r="R49" s="20">
        <v>0</v>
      </c>
      <c r="S49" s="21">
        <v>1.1759999999999999</v>
      </c>
      <c r="T49" s="21">
        <v>0</v>
      </c>
      <c r="U49" s="21">
        <v>0</v>
      </c>
      <c r="V49" s="21">
        <v>0</v>
      </c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4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0">
        <v>0</v>
      </c>
      <c r="AI49" s="20">
        <v>179300</v>
      </c>
      <c r="AK49" s="20">
        <v>0</v>
      </c>
      <c r="AL49" s="20">
        <v>0</v>
      </c>
      <c r="AM49" s="20">
        <v>1</v>
      </c>
    </row>
    <row r="50" spans="1:39" x14ac:dyDescent="0.2">
      <c r="A50" s="20" t="s">
        <v>97</v>
      </c>
      <c r="B50" s="20" t="s">
        <v>98</v>
      </c>
      <c r="C50" s="20" t="s">
        <v>231</v>
      </c>
      <c r="D50" s="20" t="s">
        <v>286</v>
      </c>
      <c r="E50" s="20" t="s">
        <v>348</v>
      </c>
      <c r="H50" s="20" t="s">
        <v>99</v>
      </c>
      <c r="J50" s="20">
        <v>0</v>
      </c>
      <c r="L50" s="20" t="s">
        <v>168</v>
      </c>
      <c r="N50" s="20" t="s">
        <v>349</v>
      </c>
      <c r="O50" s="20">
        <v>140100</v>
      </c>
      <c r="P50" s="23">
        <v>2.4</v>
      </c>
      <c r="Q50" s="20">
        <v>0</v>
      </c>
      <c r="R50" s="20">
        <v>0</v>
      </c>
      <c r="S50" s="21">
        <v>0.85899999999999999</v>
      </c>
      <c r="T50" s="21">
        <v>0</v>
      </c>
      <c r="U50" s="21">
        <v>0</v>
      </c>
      <c r="V50" s="21">
        <v>0</v>
      </c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4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0">
        <v>0</v>
      </c>
      <c r="AI50" s="20">
        <v>130900</v>
      </c>
      <c r="AK50" s="20">
        <v>0</v>
      </c>
      <c r="AL50" s="20">
        <v>0</v>
      </c>
      <c r="AM50" s="20">
        <v>1</v>
      </c>
    </row>
    <row r="51" spans="1:39" x14ac:dyDescent="0.2">
      <c r="A51" s="20" t="s">
        <v>97</v>
      </c>
      <c r="B51" s="20" t="s">
        <v>98</v>
      </c>
      <c r="C51" s="20" t="s">
        <v>231</v>
      </c>
      <c r="D51" s="20" t="s">
        <v>289</v>
      </c>
      <c r="E51" s="20" t="s">
        <v>350</v>
      </c>
      <c r="H51" s="20" t="s">
        <v>99</v>
      </c>
      <c r="J51" s="20">
        <v>0</v>
      </c>
      <c r="L51" s="20" t="s">
        <v>169</v>
      </c>
      <c r="N51" s="20" t="s">
        <v>351</v>
      </c>
      <c r="O51" s="20">
        <v>166500</v>
      </c>
      <c r="P51" s="23">
        <v>0</v>
      </c>
      <c r="Q51" s="20">
        <v>0</v>
      </c>
      <c r="R51" s="20">
        <v>0</v>
      </c>
      <c r="S51" s="21">
        <v>1.0209999999999999</v>
      </c>
      <c r="T51" s="21">
        <v>0</v>
      </c>
      <c r="U51" s="21">
        <v>0</v>
      </c>
      <c r="V51" s="21">
        <v>0</v>
      </c>
      <c r="W51" s="21">
        <v>0</v>
      </c>
      <c r="X51" s="21">
        <v>0</v>
      </c>
      <c r="Y51" s="21">
        <v>0</v>
      </c>
      <c r="Z51" s="21">
        <v>0</v>
      </c>
      <c r="AA51" s="21">
        <v>0</v>
      </c>
      <c r="AB51" s="24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0">
        <v>0</v>
      </c>
      <c r="AI51" s="20">
        <v>155600</v>
      </c>
      <c r="AK51" s="20">
        <v>0</v>
      </c>
      <c r="AL51" s="20">
        <v>0</v>
      </c>
      <c r="AM51" s="20">
        <v>1</v>
      </c>
    </row>
    <row r="52" spans="1:39" x14ac:dyDescent="0.2">
      <c r="A52" s="20" t="s">
        <v>97</v>
      </c>
      <c r="B52" s="20" t="s">
        <v>98</v>
      </c>
      <c r="C52" s="20" t="s">
        <v>232</v>
      </c>
      <c r="D52" s="20" t="s">
        <v>234</v>
      </c>
      <c r="E52" s="20" t="s">
        <v>352</v>
      </c>
      <c r="H52" s="20" t="s">
        <v>99</v>
      </c>
      <c r="J52" s="20">
        <v>0</v>
      </c>
      <c r="L52" s="20" t="s">
        <v>170</v>
      </c>
      <c r="N52" s="20" t="s">
        <v>353</v>
      </c>
      <c r="O52" s="20">
        <v>140100</v>
      </c>
      <c r="P52" s="23">
        <v>2.4</v>
      </c>
      <c r="Q52" s="20">
        <v>0</v>
      </c>
      <c r="R52" s="20">
        <v>0</v>
      </c>
      <c r="S52" s="21">
        <v>0.85899999999999999</v>
      </c>
      <c r="T52" s="21">
        <v>0</v>
      </c>
      <c r="U52" s="21">
        <v>0</v>
      </c>
      <c r="V52" s="21">
        <v>0</v>
      </c>
      <c r="W52" s="21">
        <v>0</v>
      </c>
      <c r="X52" s="21">
        <v>0</v>
      </c>
      <c r="Y52" s="21">
        <v>0</v>
      </c>
      <c r="Z52" s="21">
        <v>0</v>
      </c>
      <c r="AA52" s="21">
        <v>0</v>
      </c>
      <c r="AB52" s="24">
        <v>0</v>
      </c>
      <c r="AC52" s="24">
        <v>0</v>
      </c>
      <c r="AD52" s="24">
        <v>0</v>
      </c>
      <c r="AE52" s="24">
        <v>0</v>
      </c>
      <c r="AF52" s="24">
        <v>0</v>
      </c>
      <c r="AG52" s="24">
        <v>0</v>
      </c>
      <c r="AH52" s="20">
        <v>0</v>
      </c>
      <c r="AI52" s="20">
        <v>130900</v>
      </c>
      <c r="AK52" s="20">
        <v>0</v>
      </c>
      <c r="AL52" s="20">
        <v>0</v>
      </c>
      <c r="AM52" s="20">
        <v>1</v>
      </c>
    </row>
    <row r="53" spans="1:39" x14ac:dyDescent="0.2">
      <c r="A53" s="20" t="s">
        <v>97</v>
      </c>
      <c r="B53" s="20" t="s">
        <v>98</v>
      </c>
      <c r="C53" s="20" t="s">
        <v>232</v>
      </c>
      <c r="D53" s="20" t="s">
        <v>237</v>
      </c>
      <c r="E53" s="20" t="s">
        <v>354</v>
      </c>
      <c r="H53" s="20" t="s">
        <v>99</v>
      </c>
      <c r="J53" s="20">
        <v>0</v>
      </c>
      <c r="L53" s="20" t="s">
        <v>171</v>
      </c>
      <c r="M53" s="20" t="s">
        <v>172</v>
      </c>
      <c r="N53" s="20" t="s">
        <v>355</v>
      </c>
      <c r="O53" s="20">
        <v>166500</v>
      </c>
      <c r="P53" s="23">
        <v>2.4</v>
      </c>
      <c r="Q53" s="20">
        <v>0</v>
      </c>
      <c r="R53" s="20">
        <v>0</v>
      </c>
      <c r="S53" s="21">
        <v>1.0209999999999999</v>
      </c>
      <c r="T53" s="21">
        <v>0</v>
      </c>
      <c r="U53" s="21">
        <v>0</v>
      </c>
      <c r="V53" s="21">
        <v>0</v>
      </c>
      <c r="W53" s="21">
        <v>0</v>
      </c>
      <c r="X53" s="21">
        <v>0</v>
      </c>
      <c r="Y53" s="21">
        <v>0</v>
      </c>
      <c r="Z53" s="21">
        <v>0</v>
      </c>
      <c r="AA53" s="21">
        <v>0</v>
      </c>
      <c r="AB53" s="24">
        <v>0</v>
      </c>
      <c r="AC53" s="24">
        <v>0</v>
      </c>
      <c r="AD53" s="24">
        <v>0</v>
      </c>
      <c r="AE53" s="24">
        <v>0</v>
      </c>
      <c r="AF53" s="24">
        <v>0</v>
      </c>
      <c r="AG53" s="24">
        <v>0</v>
      </c>
      <c r="AH53" s="20">
        <v>0</v>
      </c>
      <c r="AI53" s="20">
        <v>155600</v>
      </c>
      <c r="AK53" s="20">
        <v>0</v>
      </c>
      <c r="AL53" s="20">
        <v>0</v>
      </c>
      <c r="AM53" s="20">
        <v>1</v>
      </c>
    </row>
    <row r="54" spans="1:39" x14ac:dyDescent="0.2">
      <c r="A54" s="20" t="s">
        <v>97</v>
      </c>
      <c r="B54" s="20" t="s">
        <v>98</v>
      </c>
      <c r="C54" s="20" t="s">
        <v>232</v>
      </c>
      <c r="D54" s="20" t="s">
        <v>240</v>
      </c>
      <c r="E54" s="20" t="s">
        <v>356</v>
      </c>
      <c r="H54" s="20" t="s">
        <v>99</v>
      </c>
      <c r="J54" s="20">
        <v>0</v>
      </c>
      <c r="L54" s="20" t="s">
        <v>173</v>
      </c>
      <c r="N54" s="20" t="s">
        <v>357</v>
      </c>
      <c r="O54" s="20">
        <v>196300</v>
      </c>
      <c r="P54" s="23">
        <v>2.4</v>
      </c>
      <c r="Q54" s="20">
        <v>0</v>
      </c>
      <c r="R54" s="20">
        <v>0</v>
      </c>
      <c r="S54" s="21">
        <v>1.41</v>
      </c>
      <c r="T54" s="21">
        <v>0</v>
      </c>
      <c r="U54" s="21">
        <v>0</v>
      </c>
      <c r="V54" s="21">
        <v>0</v>
      </c>
      <c r="W54" s="21">
        <v>0</v>
      </c>
      <c r="X54" s="21">
        <v>0</v>
      </c>
      <c r="Y54" s="21">
        <v>0</v>
      </c>
      <c r="Z54" s="21">
        <v>0</v>
      </c>
      <c r="AA54" s="21">
        <v>0</v>
      </c>
      <c r="AB54" s="24">
        <v>0</v>
      </c>
      <c r="AC54" s="24">
        <v>0</v>
      </c>
      <c r="AD54" s="24">
        <v>0</v>
      </c>
      <c r="AE54" s="24">
        <v>0</v>
      </c>
      <c r="AF54" s="24">
        <v>0</v>
      </c>
      <c r="AG54" s="24">
        <v>0</v>
      </c>
      <c r="AH54" s="20">
        <v>29500</v>
      </c>
      <c r="AI54" s="20">
        <v>183500</v>
      </c>
      <c r="AK54" s="20">
        <v>0</v>
      </c>
      <c r="AL54" s="20">
        <v>0</v>
      </c>
      <c r="AM54" s="20">
        <v>1</v>
      </c>
    </row>
    <row r="55" spans="1:39" x14ac:dyDescent="0.2">
      <c r="A55" s="20" t="s">
        <v>97</v>
      </c>
      <c r="B55" s="20" t="s">
        <v>98</v>
      </c>
      <c r="C55" s="20" t="s">
        <v>232</v>
      </c>
      <c r="D55" s="20" t="s">
        <v>243</v>
      </c>
      <c r="E55" s="20" t="s">
        <v>358</v>
      </c>
      <c r="H55" s="20" t="s">
        <v>99</v>
      </c>
      <c r="J55" s="20">
        <v>0</v>
      </c>
      <c r="L55" s="20" t="s">
        <v>174</v>
      </c>
      <c r="N55" s="20" t="s">
        <v>359</v>
      </c>
      <c r="O55" s="20">
        <v>216500</v>
      </c>
      <c r="P55" s="23">
        <v>2.4</v>
      </c>
      <c r="Q55" s="20">
        <v>0</v>
      </c>
      <c r="R55" s="20">
        <v>0</v>
      </c>
      <c r="S55" s="21">
        <v>1.5349999999999999</v>
      </c>
      <c r="T55" s="21">
        <v>0</v>
      </c>
      <c r="U55" s="21">
        <v>0</v>
      </c>
      <c r="V55" s="21">
        <v>0</v>
      </c>
      <c r="W55" s="21">
        <v>0</v>
      </c>
      <c r="X55" s="21">
        <v>0</v>
      </c>
      <c r="Y55" s="21">
        <v>0</v>
      </c>
      <c r="Z55" s="21">
        <v>0</v>
      </c>
      <c r="AA55" s="21">
        <v>0</v>
      </c>
      <c r="AB55" s="24">
        <v>0</v>
      </c>
      <c r="AC55" s="24">
        <v>0</v>
      </c>
      <c r="AD55" s="24">
        <v>0</v>
      </c>
      <c r="AE55" s="24">
        <v>0</v>
      </c>
      <c r="AF55" s="24">
        <v>0</v>
      </c>
      <c r="AG55" s="24">
        <v>0</v>
      </c>
      <c r="AH55" s="20">
        <v>29500</v>
      </c>
      <c r="AI55" s="20">
        <v>202300</v>
      </c>
      <c r="AK55" s="20">
        <v>0</v>
      </c>
      <c r="AL55" s="20">
        <v>0</v>
      </c>
      <c r="AM55" s="20">
        <v>1</v>
      </c>
    </row>
    <row r="56" spans="1:39" x14ac:dyDescent="0.2">
      <c r="A56" s="20" t="s">
        <v>97</v>
      </c>
      <c r="B56" s="20" t="s">
        <v>98</v>
      </c>
      <c r="C56" s="20" t="s">
        <v>232</v>
      </c>
      <c r="D56" s="20" t="s">
        <v>360</v>
      </c>
      <c r="E56" s="20" t="s">
        <v>361</v>
      </c>
      <c r="H56" s="20" t="s">
        <v>99</v>
      </c>
      <c r="J56" s="20">
        <v>0</v>
      </c>
      <c r="L56" s="20" t="s">
        <v>175</v>
      </c>
      <c r="M56" s="20" t="s">
        <v>176</v>
      </c>
      <c r="N56" s="20" t="s">
        <v>362</v>
      </c>
      <c r="O56" s="20">
        <v>196300</v>
      </c>
      <c r="P56" s="23">
        <v>2.4</v>
      </c>
      <c r="Q56" s="20">
        <v>0</v>
      </c>
      <c r="R56" s="20">
        <v>0</v>
      </c>
      <c r="S56" s="21">
        <v>1.2030000000000001</v>
      </c>
      <c r="T56" s="21">
        <v>0</v>
      </c>
      <c r="U56" s="21">
        <v>0</v>
      </c>
      <c r="V56" s="21">
        <v>0</v>
      </c>
      <c r="W56" s="21">
        <v>0</v>
      </c>
      <c r="X56" s="21">
        <v>0</v>
      </c>
      <c r="Y56" s="21">
        <v>0</v>
      </c>
      <c r="Z56" s="21">
        <v>0</v>
      </c>
      <c r="AA56" s="21">
        <v>0</v>
      </c>
      <c r="AB56" s="24">
        <v>0</v>
      </c>
      <c r="AC56" s="24">
        <v>0</v>
      </c>
      <c r="AD56" s="24">
        <v>0</v>
      </c>
      <c r="AE56" s="24">
        <v>0</v>
      </c>
      <c r="AF56" s="24">
        <v>0</v>
      </c>
      <c r="AG56" s="24">
        <v>0</v>
      </c>
      <c r="AH56" s="20">
        <v>0</v>
      </c>
      <c r="AI56" s="20">
        <v>183500</v>
      </c>
      <c r="AK56" s="20">
        <v>0</v>
      </c>
      <c r="AL56" s="20">
        <v>0</v>
      </c>
      <c r="AM56" s="20">
        <v>1</v>
      </c>
    </row>
    <row r="57" spans="1:39" x14ac:dyDescent="0.2">
      <c r="A57" s="20" t="s">
        <v>97</v>
      </c>
      <c r="B57" s="20" t="s">
        <v>98</v>
      </c>
      <c r="C57" s="20" t="s">
        <v>232</v>
      </c>
      <c r="D57" s="20" t="s">
        <v>363</v>
      </c>
      <c r="E57" s="20" t="s">
        <v>364</v>
      </c>
      <c r="H57" s="20" t="s">
        <v>99</v>
      </c>
      <c r="J57" s="20">
        <v>0</v>
      </c>
      <c r="L57" s="20" t="s">
        <v>459</v>
      </c>
      <c r="M57" s="20" t="s">
        <v>460</v>
      </c>
      <c r="N57" s="20" t="s">
        <v>365</v>
      </c>
      <c r="O57" s="20">
        <v>216500</v>
      </c>
      <c r="P57" s="23">
        <v>2.4</v>
      </c>
      <c r="Q57" s="20">
        <v>0</v>
      </c>
      <c r="R57" s="20">
        <v>0</v>
      </c>
      <c r="S57" s="21">
        <v>1.534</v>
      </c>
      <c r="T57" s="21">
        <v>0</v>
      </c>
      <c r="U57" s="21">
        <v>0</v>
      </c>
      <c r="V57" s="21">
        <v>0</v>
      </c>
      <c r="W57" s="21">
        <v>0</v>
      </c>
      <c r="X57" s="21">
        <v>0</v>
      </c>
      <c r="Y57" s="21">
        <v>0</v>
      </c>
      <c r="Z57" s="21">
        <v>0</v>
      </c>
      <c r="AA57" s="21">
        <v>0</v>
      </c>
      <c r="AB57" s="24">
        <v>0</v>
      </c>
      <c r="AC57" s="24">
        <v>0</v>
      </c>
      <c r="AD57" s="24">
        <v>0</v>
      </c>
      <c r="AE57" s="24">
        <v>0</v>
      </c>
      <c r="AF57" s="24">
        <v>0</v>
      </c>
      <c r="AG57" s="24">
        <v>0</v>
      </c>
      <c r="AH57" s="20">
        <v>29500</v>
      </c>
      <c r="AI57" s="20">
        <v>202300</v>
      </c>
      <c r="AK57" s="20">
        <v>0</v>
      </c>
      <c r="AL57" s="20">
        <v>0</v>
      </c>
      <c r="AM57" s="20">
        <v>1</v>
      </c>
    </row>
    <row r="58" spans="1:39" x14ac:dyDescent="0.2">
      <c r="A58" s="20" t="s">
        <v>97</v>
      </c>
      <c r="B58" s="20" t="s">
        <v>98</v>
      </c>
      <c r="C58" s="20" t="s">
        <v>232</v>
      </c>
      <c r="D58" s="20" t="s">
        <v>366</v>
      </c>
      <c r="E58" s="20" t="s">
        <v>367</v>
      </c>
      <c r="H58" s="20" t="s">
        <v>99</v>
      </c>
      <c r="J58" s="20">
        <v>0</v>
      </c>
      <c r="L58" s="20" t="s">
        <v>177</v>
      </c>
      <c r="M58" s="20" t="s">
        <v>178</v>
      </c>
      <c r="N58" s="20" t="s">
        <v>368</v>
      </c>
      <c r="O58" s="20">
        <v>140100</v>
      </c>
      <c r="P58" s="23">
        <v>2.4</v>
      </c>
      <c r="Q58" s="20">
        <v>0</v>
      </c>
      <c r="R58" s="20">
        <v>0</v>
      </c>
      <c r="S58" s="21">
        <v>0.85899999999999999</v>
      </c>
      <c r="T58" s="21">
        <v>0</v>
      </c>
      <c r="U58" s="21">
        <v>0</v>
      </c>
      <c r="V58" s="21">
        <v>0</v>
      </c>
      <c r="W58" s="21">
        <v>0</v>
      </c>
      <c r="X58" s="21">
        <v>0</v>
      </c>
      <c r="Y58" s="21">
        <v>0</v>
      </c>
      <c r="Z58" s="21">
        <v>0</v>
      </c>
      <c r="AA58" s="21">
        <v>0</v>
      </c>
      <c r="AB58" s="24">
        <v>0</v>
      </c>
      <c r="AC58" s="24">
        <v>0</v>
      </c>
      <c r="AD58" s="24">
        <v>0</v>
      </c>
      <c r="AE58" s="24">
        <v>0</v>
      </c>
      <c r="AF58" s="24">
        <v>0</v>
      </c>
      <c r="AG58" s="24">
        <v>0</v>
      </c>
      <c r="AH58" s="20">
        <v>0</v>
      </c>
      <c r="AI58" s="20">
        <v>130900</v>
      </c>
      <c r="AK58" s="20">
        <v>0</v>
      </c>
      <c r="AL58" s="20">
        <v>0</v>
      </c>
      <c r="AM58" s="20">
        <v>1</v>
      </c>
    </row>
    <row r="59" spans="1:39" x14ac:dyDescent="0.2">
      <c r="A59" s="20" t="s">
        <v>97</v>
      </c>
      <c r="B59" s="20" t="s">
        <v>98</v>
      </c>
      <c r="C59" s="20" t="s">
        <v>232</v>
      </c>
      <c r="D59" s="20" t="s">
        <v>369</v>
      </c>
      <c r="E59" s="20" t="s">
        <v>370</v>
      </c>
      <c r="H59" s="20" t="s">
        <v>99</v>
      </c>
      <c r="J59" s="20">
        <v>0</v>
      </c>
      <c r="L59" s="20" t="s">
        <v>179</v>
      </c>
      <c r="M59" s="20" t="s">
        <v>180</v>
      </c>
      <c r="N59" s="20" t="s">
        <v>371</v>
      </c>
      <c r="O59" s="20">
        <v>166500</v>
      </c>
      <c r="P59" s="23">
        <v>2.4</v>
      </c>
      <c r="Q59" s="20">
        <v>0</v>
      </c>
      <c r="R59" s="20">
        <v>0</v>
      </c>
      <c r="S59" s="21">
        <v>1.0209999999999999</v>
      </c>
      <c r="T59" s="21">
        <v>0</v>
      </c>
      <c r="U59" s="21">
        <v>0</v>
      </c>
      <c r="V59" s="21">
        <v>0</v>
      </c>
      <c r="W59" s="21">
        <v>0</v>
      </c>
      <c r="X59" s="21">
        <v>0</v>
      </c>
      <c r="Y59" s="21">
        <v>0</v>
      </c>
      <c r="Z59" s="21">
        <v>0</v>
      </c>
      <c r="AA59" s="21">
        <v>0</v>
      </c>
      <c r="AB59" s="24">
        <v>0</v>
      </c>
      <c r="AC59" s="24">
        <v>0</v>
      </c>
      <c r="AD59" s="24">
        <v>0</v>
      </c>
      <c r="AE59" s="24">
        <v>0</v>
      </c>
      <c r="AF59" s="24">
        <v>0</v>
      </c>
      <c r="AG59" s="24">
        <v>0</v>
      </c>
      <c r="AH59" s="20">
        <v>0</v>
      </c>
      <c r="AI59" s="20">
        <v>155600</v>
      </c>
      <c r="AK59" s="20">
        <v>0</v>
      </c>
      <c r="AL59" s="20">
        <v>0</v>
      </c>
      <c r="AM59" s="20">
        <v>1</v>
      </c>
    </row>
    <row r="60" spans="1:39" x14ac:dyDescent="0.2">
      <c r="A60" s="20" t="s">
        <v>97</v>
      </c>
      <c r="B60" s="20" t="s">
        <v>98</v>
      </c>
      <c r="C60" s="20" t="s">
        <v>232</v>
      </c>
      <c r="D60" s="20" t="s">
        <v>246</v>
      </c>
      <c r="E60" s="20" t="s">
        <v>372</v>
      </c>
      <c r="H60" s="20" t="s">
        <v>99</v>
      </c>
      <c r="J60" s="20">
        <v>0</v>
      </c>
      <c r="L60" s="20" t="s">
        <v>181</v>
      </c>
      <c r="M60" s="20" t="s">
        <v>182</v>
      </c>
      <c r="N60" s="20" t="s">
        <v>373</v>
      </c>
      <c r="O60" s="20">
        <v>140100</v>
      </c>
      <c r="P60" s="23">
        <v>2.4</v>
      </c>
      <c r="Q60" s="20">
        <v>0</v>
      </c>
      <c r="R60" s="20">
        <v>0</v>
      </c>
      <c r="S60" s="21">
        <v>0.85899999999999999</v>
      </c>
      <c r="T60" s="21">
        <v>0</v>
      </c>
      <c r="U60" s="21">
        <v>0</v>
      </c>
      <c r="V60" s="21">
        <v>0</v>
      </c>
      <c r="W60" s="21">
        <v>0</v>
      </c>
      <c r="X60" s="21">
        <v>0</v>
      </c>
      <c r="Y60" s="21">
        <v>0</v>
      </c>
      <c r="Z60" s="21">
        <v>0</v>
      </c>
      <c r="AA60" s="21">
        <v>0</v>
      </c>
      <c r="AB60" s="24">
        <v>0</v>
      </c>
      <c r="AC60" s="24">
        <v>0</v>
      </c>
      <c r="AD60" s="24">
        <v>0</v>
      </c>
      <c r="AE60" s="24">
        <v>0</v>
      </c>
      <c r="AF60" s="24">
        <v>0</v>
      </c>
      <c r="AG60" s="24">
        <v>0</v>
      </c>
      <c r="AH60" s="20">
        <v>0</v>
      </c>
      <c r="AI60" s="20">
        <v>130900</v>
      </c>
      <c r="AK60" s="20">
        <v>0</v>
      </c>
      <c r="AL60" s="20">
        <v>0</v>
      </c>
      <c r="AM60" s="20">
        <v>1</v>
      </c>
    </row>
    <row r="61" spans="1:39" x14ac:dyDescent="0.2">
      <c r="A61" s="20" t="s">
        <v>97</v>
      </c>
      <c r="B61" s="20" t="s">
        <v>98</v>
      </c>
      <c r="C61" s="20" t="s">
        <v>232</v>
      </c>
      <c r="D61" s="20" t="s">
        <v>249</v>
      </c>
      <c r="E61" s="20" t="s">
        <v>374</v>
      </c>
      <c r="H61" s="20" t="s">
        <v>99</v>
      </c>
      <c r="J61" s="20">
        <v>0</v>
      </c>
      <c r="L61" s="20" t="s">
        <v>183</v>
      </c>
      <c r="N61" s="20" t="s">
        <v>375</v>
      </c>
      <c r="O61" s="20">
        <v>166500</v>
      </c>
      <c r="P61" s="23">
        <v>2.4</v>
      </c>
      <c r="Q61" s="20">
        <v>0</v>
      </c>
      <c r="R61" s="20">
        <v>0</v>
      </c>
      <c r="S61" s="21">
        <v>1.0209999999999999</v>
      </c>
      <c r="T61" s="21">
        <v>0</v>
      </c>
      <c r="U61" s="21">
        <v>0</v>
      </c>
      <c r="V61" s="21">
        <v>0</v>
      </c>
      <c r="W61" s="21">
        <v>0</v>
      </c>
      <c r="X61" s="21">
        <v>0</v>
      </c>
      <c r="Y61" s="21">
        <v>0</v>
      </c>
      <c r="Z61" s="21">
        <v>0</v>
      </c>
      <c r="AA61" s="21">
        <v>0</v>
      </c>
      <c r="AB61" s="24">
        <v>0</v>
      </c>
      <c r="AC61" s="24">
        <v>0</v>
      </c>
      <c r="AD61" s="24">
        <v>0</v>
      </c>
      <c r="AE61" s="24">
        <v>0</v>
      </c>
      <c r="AF61" s="24">
        <v>0</v>
      </c>
      <c r="AG61" s="24">
        <v>0</v>
      </c>
      <c r="AH61" s="20">
        <v>0</v>
      </c>
      <c r="AI61" s="20">
        <v>155600</v>
      </c>
      <c r="AK61" s="20">
        <v>0</v>
      </c>
      <c r="AL61" s="20">
        <v>0</v>
      </c>
      <c r="AM61" s="20">
        <v>1</v>
      </c>
    </row>
    <row r="62" spans="1:39" x14ac:dyDescent="0.2">
      <c r="A62" s="20" t="s">
        <v>97</v>
      </c>
      <c r="B62" s="20" t="s">
        <v>98</v>
      </c>
      <c r="C62" s="20" t="s">
        <v>232</v>
      </c>
      <c r="D62" s="20" t="s">
        <v>252</v>
      </c>
      <c r="E62" s="20" t="s">
        <v>376</v>
      </c>
      <c r="H62" s="20" t="s">
        <v>99</v>
      </c>
      <c r="J62" s="20">
        <v>0</v>
      </c>
      <c r="L62" s="20" t="s">
        <v>184</v>
      </c>
      <c r="M62" s="20" t="s">
        <v>185</v>
      </c>
      <c r="N62" s="20" t="s">
        <v>377</v>
      </c>
      <c r="O62" s="20">
        <v>176600</v>
      </c>
      <c r="P62" s="23">
        <v>2.4</v>
      </c>
      <c r="Q62" s="20">
        <v>0</v>
      </c>
      <c r="R62" s="20">
        <v>0</v>
      </c>
      <c r="S62" s="21">
        <v>1.083</v>
      </c>
      <c r="T62" s="21">
        <v>0</v>
      </c>
      <c r="U62" s="21">
        <v>0</v>
      </c>
      <c r="V62" s="21">
        <v>0</v>
      </c>
      <c r="W62" s="21">
        <v>0</v>
      </c>
      <c r="X62" s="21">
        <v>0</v>
      </c>
      <c r="Y62" s="21">
        <v>0</v>
      </c>
      <c r="Z62" s="21">
        <v>0</v>
      </c>
      <c r="AA62" s="21">
        <v>0</v>
      </c>
      <c r="AB62" s="24">
        <v>0</v>
      </c>
      <c r="AC62" s="24">
        <v>0</v>
      </c>
      <c r="AD62" s="24">
        <v>0</v>
      </c>
      <c r="AE62" s="24">
        <v>0</v>
      </c>
      <c r="AF62" s="24">
        <v>0</v>
      </c>
      <c r="AG62" s="24">
        <v>0</v>
      </c>
      <c r="AH62" s="20">
        <v>0</v>
      </c>
      <c r="AI62" s="20">
        <v>165000</v>
      </c>
      <c r="AK62" s="20">
        <v>0</v>
      </c>
      <c r="AL62" s="20">
        <v>0</v>
      </c>
      <c r="AM62" s="20">
        <v>1</v>
      </c>
    </row>
    <row r="63" spans="1:39" x14ac:dyDescent="0.2">
      <c r="A63" s="20" t="s">
        <v>97</v>
      </c>
      <c r="B63" s="20" t="s">
        <v>98</v>
      </c>
      <c r="C63" s="20" t="s">
        <v>232</v>
      </c>
      <c r="D63" s="20" t="s">
        <v>255</v>
      </c>
      <c r="E63" s="20" t="s">
        <v>378</v>
      </c>
      <c r="H63" s="20" t="s">
        <v>99</v>
      </c>
      <c r="J63" s="20">
        <v>0</v>
      </c>
      <c r="L63" s="20" t="s">
        <v>186</v>
      </c>
      <c r="M63" s="20" t="s">
        <v>187</v>
      </c>
      <c r="N63" s="20" t="s">
        <v>379</v>
      </c>
      <c r="O63" s="20">
        <v>191900</v>
      </c>
      <c r="P63" s="23">
        <v>2.4</v>
      </c>
      <c r="Q63" s="20">
        <v>0</v>
      </c>
      <c r="R63" s="20">
        <v>0</v>
      </c>
      <c r="S63" s="21">
        <v>1.1759999999999999</v>
      </c>
      <c r="T63" s="21">
        <v>0</v>
      </c>
      <c r="U63" s="21">
        <v>0</v>
      </c>
      <c r="V63" s="21">
        <v>0</v>
      </c>
      <c r="W63" s="21">
        <v>0</v>
      </c>
      <c r="X63" s="21">
        <v>0</v>
      </c>
      <c r="Y63" s="21">
        <v>0</v>
      </c>
      <c r="Z63" s="21">
        <v>0</v>
      </c>
      <c r="AA63" s="21">
        <v>0</v>
      </c>
      <c r="AB63" s="24">
        <v>0</v>
      </c>
      <c r="AC63" s="24">
        <v>0</v>
      </c>
      <c r="AD63" s="24">
        <v>0</v>
      </c>
      <c r="AE63" s="24">
        <v>0</v>
      </c>
      <c r="AF63" s="24">
        <v>0</v>
      </c>
      <c r="AG63" s="24">
        <v>0</v>
      </c>
      <c r="AH63" s="20">
        <v>0</v>
      </c>
      <c r="AI63" s="20">
        <v>179300</v>
      </c>
      <c r="AK63" s="20">
        <v>0</v>
      </c>
      <c r="AL63" s="20">
        <v>0</v>
      </c>
      <c r="AM63" s="20">
        <v>1</v>
      </c>
    </row>
    <row r="64" spans="1:39" x14ac:dyDescent="0.2">
      <c r="A64" s="20" t="s">
        <v>97</v>
      </c>
      <c r="B64" s="20" t="s">
        <v>98</v>
      </c>
      <c r="C64" s="20" t="s">
        <v>232</v>
      </c>
      <c r="D64" s="20" t="s">
        <v>380</v>
      </c>
      <c r="E64" s="20" t="s">
        <v>381</v>
      </c>
      <c r="H64" s="20" t="s">
        <v>99</v>
      </c>
      <c r="J64" s="20">
        <v>0</v>
      </c>
      <c r="L64" s="20" t="s">
        <v>188</v>
      </c>
      <c r="N64" s="20" t="s">
        <v>382</v>
      </c>
      <c r="O64" s="20">
        <v>176600</v>
      </c>
      <c r="P64" s="23">
        <v>2.4</v>
      </c>
      <c r="Q64" s="20">
        <v>0</v>
      </c>
      <c r="R64" s="20">
        <v>0</v>
      </c>
      <c r="S64" s="21">
        <v>1.29</v>
      </c>
      <c r="T64" s="21">
        <v>0</v>
      </c>
      <c r="U64" s="21">
        <v>0</v>
      </c>
      <c r="V64" s="21">
        <v>0</v>
      </c>
      <c r="W64" s="21">
        <v>0</v>
      </c>
      <c r="X64" s="21">
        <v>0</v>
      </c>
      <c r="Y64" s="21">
        <v>0</v>
      </c>
      <c r="Z64" s="21">
        <v>0</v>
      </c>
      <c r="AA64" s="21">
        <v>0</v>
      </c>
      <c r="AB64" s="24">
        <v>0</v>
      </c>
      <c r="AC64" s="24">
        <v>0</v>
      </c>
      <c r="AD64" s="24">
        <v>0</v>
      </c>
      <c r="AE64" s="24">
        <v>0</v>
      </c>
      <c r="AF64" s="24">
        <v>0</v>
      </c>
      <c r="AG64" s="24">
        <v>0</v>
      </c>
      <c r="AH64" s="20">
        <v>29500</v>
      </c>
      <c r="AI64" s="20">
        <v>165000</v>
      </c>
      <c r="AK64" s="20">
        <v>0</v>
      </c>
      <c r="AL64" s="20">
        <v>0</v>
      </c>
      <c r="AM64" s="20">
        <v>1</v>
      </c>
    </row>
    <row r="65" spans="1:39" x14ac:dyDescent="0.2">
      <c r="A65" s="20" t="s">
        <v>97</v>
      </c>
      <c r="B65" s="20" t="s">
        <v>98</v>
      </c>
      <c r="C65" s="20" t="s">
        <v>232</v>
      </c>
      <c r="D65" s="20" t="s">
        <v>383</v>
      </c>
      <c r="E65" s="20" t="s">
        <v>384</v>
      </c>
      <c r="H65" s="20" t="s">
        <v>99</v>
      </c>
      <c r="J65" s="20">
        <v>0</v>
      </c>
      <c r="L65" s="20" t="s">
        <v>189</v>
      </c>
      <c r="N65" s="20" t="s">
        <v>385</v>
      </c>
      <c r="O65" s="20">
        <v>191900</v>
      </c>
      <c r="P65" s="23">
        <v>2.4</v>
      </c>
      <c r="Q65" s="20">
        <v>0</v>
      </c>
      <c r="R65" s="20">
        <v>0</v>
      </c>
      <c r="S65" s="21">
        <v>1.383</v>
      </c>
      <c r="T65" s="21">
        <v>0</v>
      </c>
      <c r="U65" s="21">
        <v>0</v>
      </c>
      <c r="V65" s="21">
        <v>0</v>
      </c>
      <c r="W65" s="21">
        <v>0</v>
      </c>
      <c r="X65" s="21">
        <v>0</v>
      </c>
      <c r="Y65" s="21">
        <v>0</v>
      </c>
      <c r="Z65" s="21">
        <v>0</v>
      </c>
      <c r="AA65" s="21">
        <v>0</v>
      </c>
      <c r="AB65" s="24">
        <v>0</v>
      </c>
      <c r="AC65" s="24">
        <v>0</v>
      </c>
      <c r="AD65" s="24">
        <v>0</v>
      </c>
      <c r="AE65" s="24">
        <v>0</v>
      </c>
      <c r="AF65" s="24">
        <v>0</v>
      </c>
      <c r="AG65" s="24">
        <v>0</v>
      </c>
      <c r="AH65" s="20">
        <v>29500</v>
      </c>
      <c r="AI65" s="20">
        <v>179300</v>
      </c>
      <c r="AK65" s="20">
        <v>0</v>
      </c>
      <c r="AL65" s="20">
        <v>0</v>
      </c>
      <c r="AM65" s="20">
        <v>1</v>
      </c>
    </row>
    <row r="66" spans="1:39" x14ac:dyDescent="0.2">
      <c r="A66" s="20" t="s">
        <v>97</v>
      </c>
      <c r="B66" s="20" t="s">
        <v>98</v>
      </c>
      <c r="C66" s="20" t="s">
        <v>232</v>
      </c>
      <c r="D66" s="20" t="s">
        <v>386</v>
      </c>
      <c r="E66" s="20" t="s">
        <v>387</v>
      </c>
      <c r="H66" s="20" t="s">
        <v>99</v>
      </c>
      <c r="J66" s="20">
        <v>0</v>
      </c>
      <c r="L66" s="20" t="s">
        <v>190</v>
      </c>
      <c r="N66" s="20" t="s">
        <v>388</v>
      </c>
      <c r="O66" s="20">
        <v>140100</v>
      </c>
      <c r="P66" s="23">
        <v>2.4</v>
      </c>
      <c r="Q66" s="20">
        <v>0</v>
      </c>
      <c r="R66" s="20">
        <v>0</v>
      </c>
      <c r="S66" s="21">
        <v>0.85899999999999999</v>
      </c>
      <c r="T66" s="21">
        <v>0</v>
      </c>
      <c r="U66" s="21">
        <v>0</v>
      </c>
      <c r="V66" s="21">
        <v>0</v>
      </c>
      <c r="W66" s="21">
        <v>0</v>
      </c>
      <c r="X66" s="21">
        <v>0</v>
      </c>
      <c r="Y66" s="21">
        <v>0</v>
      </c>
      <c r="Z66" s="21">
        <v>0</v>
      </c>
      <c r="AA66" s="21">
        <v>0</v>
      </c>
      <c r="AB66" s="24">
        <v>0</v>
      </c>
      <c r="AC66" s="24">
        <v>0</v>
      </c>
      <c r="AD66" s="24">
        <v>0</v>
      </c>
      <c r="AE66" s="24">
        <v>0</v>
      </c>
      <c r="AF66" s="24">
        <v>0</v>
      </c>
      <c r="AG66" s="24">
        <v>0</v>
      </c>
      <c r="AH66" s="20">
        <v>0</v>
      </c>
      <c r="AI66" s="20">
        <v>130900</v>
      </c>
      <c r="AK66" s="20">
        <v>0</v>
      </c>
      <c r="AL66" s="20">
        <v>0</v>
      </c>
      <c r="AM66" s="20">
        <v>1</v>
      </c>
    </row>
    <row r="67" spans="1:39" x14ac:dyDescent="0.2">
      <c r="A67" s="20" t="s">
        <v>97</v>
      </c>
      <c r="B67" s="20" t="s">
        <v>98</v>
      </c>
      <c r="C67" s="20" t="s">
        <v>232</v>
      </c>
      <c r="D67" s="20" t="s">
        <v>389</v>
      </c>
      <c r="E67" s="20" t="s">
        <v>390</v>
      </c>
      <c r="H67" s="20" t="s">
        <v>99</v>
      </c>
      <c r="J67" s="20">
        <v>0</v>
      </c>
      <c r="L67" s="20" t="s">
        <v>191</v>
      </c>
      <c r="M67" s="20" t="s">
        <v>192</v>
      </c>
      <c r="N67" s="20" t="s">
        <v>391</v>
      </c>
      <c r="O67" s="20">
        <v>166500</v>
      </c>
      <c r="P67" s="23">
        <v>2.4</v>
      </c>
      <c r="Q67" s="20">
        <v>0</v>
      </c>
      <c r="R67" s="20">
        <v>0</v>
      </c>
      <c r="S67" s="21">
        <v>1.0209999999999999</v>
      </c>
      <c r="T67" s="21">
        <v>0</v>
      </c>
      <c r="U67" s="21">
        <v>0</v>
      </c>
      <c r="V67" s="21">
        <v>0</v>
      </c>
      <c r="W67" s="21">
        <v>0</v>
      </c>
      <c r="X67" s="21">
        <v>0</v>
      </c>
      <c r="Y67" s="21">
        <v>0</v>
      </c>
      <c r="Z67" s="21">
        <v>0</v>
      </c>
      <c r="AA67" s="21">
        <v>0</v>
      </c>
      <c r="AB67" s="24">
        <v>0</v>
      </c>
      <c r="AC67" s="24">
        <v>0</v>
      </c>
      <c r="AD67" s="24">
        <v>0</v>
      </c>
      <c r="AE67" s="24">
        <v>0</v>
      </c>
      <c r="AF67" s="24">
        <v>0</v>
      </c>
      <c r="AG67" s="24">
        <v>0</v>
      </c>
      <c r="AH67" s="20">
        <v>0</v>
      </c>
      <c r="AI67" s="20">
        <v>155600</v>
      </c>
      <c r="AK67" s="20">
        <v>0</v>
      </c>
      <c r="AL67" s="20">
        <v>0</v>
      </c>
      <c r="AM67" s="20">
        <v>1</v>
      </c>
    </row>
    <row r="68" spans="1:39" x14ac:dyDescent="0.2">
      <c r="A68" s="20" t="s">
        <v>97</v>
      </c>
      <c r="B68" s="20" t="s">
        <v>98</v>
      </c>
      <c r="C68" s="20" t="s">
        <v>232</v>
      </c>
      <c r="D68" s="20" t="s">
        <v>258</v>
      </c>
      <c r="E68" s="20" t="s">
        <v>392</v>
      </c>
      <c r="H68" s="20" t="s">
        <v>99</v>
      </c>
      <c r="J68" s="20">
        <v>0</v>
      </c>
      <c r="L68" s="20" t="s">
        <v>233</v>
      </c>
      <c r="N68" s="20" t="s">
        <v>393</v>
      </c>
      <c r="O68" s="20">
        <v>140100</v>
      </c>
      <c r="P68" s="23">
        <v>2.4</v>
      </c>
      <c r="Q68" s="20">
        <v>0</v>
      </c>
      <c r="R68" s="20">
        <v>0</v>
      </c>
      <c r="S68" s="21">
        <v>0.85899999999999999</v>
      </c>
      <c r="T68" s="21">
        <v>0</v>
      </c>
      <c r="U68" s="21">
        <v>0</v>
      </c>
      <c r="V68" s="21">
        <v>0</v>
      </c>
      <c r="W68" s="21">
        <v>0</v>
      </c>
      <c r="X68" s="21">
        <v>0</v>
      </c>
      <c r="Y68" s="21">
        <v>0</v>
      </c>
      <c r="Z68" s="21">
        <v>0</v>
      </c>
      <c r="AA68" s="21">
        <v>0</v>
      </c>
      <c r="AB68" s="24">
        <v>0</v>
      </c>
      <c r="AC68" s="24">
        <v>0</v>
      </c>
      <c r="AD68" s="24">
        <v>0</v>
      </c>
      <c r="AE68" s="24">
        <v>0</v>
      </c>
      <c r="AF68" s="24">
        <v>0</v>
      </c>
      <c r="AG68" s="24">
        <v>0</v>
      </c>
      <c r="AH68" s="20">
        <v>0</v>
      </c>
      <c r="AI68" s="20">
        <v>130900</v>
      </c>
      <c r="AK68" s="20">
        <v>0</v>
      </c>
      <c r="AL68" s="20">
        <v>0</v>
      </c>
      <c r="AM68" s="20">
        <v>1</v>
      </c>
    </row>
    <row r="69" spans="1:39" x14ac:dyDescent="0.2">
      <c r="A69" s="20" t="s">
        <v>97</v>
      </c>
      <c r="B69" s="20" t="s">
        <v>98</v>
      </c>
      <c r="C69" s="20" t="s">
        <v>232</v>
      </c>
      <c r="D69" s="20" t="s">
        <v>261</v>
      </c>
      <c r="E69" s="20" t="s">
        <v>394</v>
      </c>
      <c r="H69" s="20" t="s">
        <v>99</v>
      </c>
      <c r="J69" s="20">
        <v>0</v>
      </c>
      <c r="L69" s="20" t="s">
        <v>193</v>
      </c>
      <c r="M69" s="20" t="s">
        <v>194</v>
      </c>
      <c r="N69" s="20" t="s">
        <v>395</v>
      </c>
      <c r="O69" s="20">
        <v>166500</v>
      </c>
      <c r="P69" s="23">
        <v>2.4</v>
      </c>
      <c r="Q69" s="20">
        <v>0</v>
      </c>
      <c r="R69" s="20">
        <v>0</v>
      </c>
      <c r="S69" s="21">
        <v>1.0209999999999999</v>
      </c>
      <c r="T69" s="21">
        <v>0</v>
      </c>
      <c r="U69" s="21">
        <v>0</v>
      </c>
      <c r="V69" s="21">
        <v>0</v>
      </c>
      <c r="W69" s="21">
        <v>0</v>
      </c>
      <c r="X69" s="21">
        <v>0</v>
      </c>
      <c r="Y69" s="21">
        <v>0</v>
      </c>
      <c r="Z69" s="21">
        <v>0</v>
      </c>
      <c r="AA69" s="21">
        <v>0</v>
      </c>
      <c r="AB69" s="24">
        <v>0</v>
      </c>
      <c r="AC69" s="24">
        <v>0</v>
      </c>
      <c r="AD69" s="24">
        <v>0</v>
      </c>
      <c r="AE69" s="24">
        <v>0</v>
      </c>
      <c r="AF69" s="24">
        <v>0</v>
      </c>
      <c r="AG69" s="24">
        <v>0</v>
      </c>
      <c r="AH69" s="20">
        <v>0</v>
      </c>
      <c r="AI69" s="20">
        <v>155600</v>
      </c>
      <c r="AK69" s="20">
        <v>0</v>
      </c>
      <c r="AL69" s="20">
        <v>0</v>
      </c>
      <c r="AM69" s="20">
        <v>1</v>
      </c>
    </row>
    <row r="70" spans="1:39" x14ac:dyDescent="0.2">
      <c r="A70" s="20" t="s">
        <v>97</v>
      </c>
      <c r="B70" s="20" t="s">
        <v>98</v>
      </c>
      <c r="C70" s="20" t="s">
        <v>232</v>
      </c>
      <c r="D70" s="20" t="s">
        <v>332</v>
      </c>
      <c r="E70" s="20" t="s">
        <v>396</v>
      </c>
      <c r="H70" s="20" t="s">
        <v>99</v>
      </c>
      <c r="J70" s="20">
        <v>0</v>
      </c>
      <c r="L70" s="20" t="s">
        <v>195</v>
      </c>
      <c r="N70" s="20" t="s">
        <v>397</v>
      </c>
      <c r="O70" s="20">
        <v>176600</v>
      </c>
      <c r="P70" s="23">
        <v>2.4</v>
      </c>
      <c r="Q70" s="20">
        <v>0</v>
      </c>
      <c r="R70" s="20">
        <v>0</v>
      </c>
      <c r="S70" s="21">
        <v>1.29</v>
      </c>
      <c r="T70" s="21">
        <v>0</v>
      </c>
      <c r="U70" s="21">
        <v>0</v>
      </c>
      <c r="V70" s="21">
        <v>0</v>
      </c>
      <c r="W70" s="21">
        <v>0</v>
      </c>
      <c r="X70" s="21">
        <v>0</v>
      </c>
      <c r="Y70" s="21">
        <v>0</v>
      </c>
      <c r="Z70" s="21">
        <v>0</v>
      </c>
      <c r="AA70" s="21">
        <v>0</v>
      </c>
      <c r="AB70" s="24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0</v>
      </c>
      <c r="AH70" s="20">
        <v>29500</v>
      </c>
      <c r="AI70" s="20">
        <v>165000</v>
      </c>
      <c r="AK70" s="20">
        <v>0</v>
      </c>
      <c r="AL70" s="20">
        <v>0</v>
      </c>
      <c r="AM70" s="20">
        <v>1</v>
      </c>
    </row>
    <row r="71" spans="1:39" x14ac:dyDescent="0.2">
      <c r="A71" s="20" t="s">
        <v>97</v>
      </c>
      <c r="B71" s="20" t="s">
        <v>98</v>
      </c>
      <c r="C71" s="20" t="s">
        <v>232</v>
      </c>
      <c r="D71" s="20" t="s">
        <v>265</v>
      </c>
      <c r="E71" s="20" t="s">
        <v>398</v>
      </c>
      <c r="H71" s="20" t="s">
        <v>99</v>
      </c>
      <c r="J71" s="20">
        <v>0</v>
      </c>
      <c r="L71" s="20" t="s">
        <v>196</v>
      </c>
      <c r="M71" s="20" t="s">
        <v>197</v>
      </c>
      <c r="N71" s="20" t="s">
        <v>399</v>
      </c>
      <c r="O71" s="20">
        <v>191900</v>
      </c>
      <c r="P71" s="23">
        <v>2.4</v>
      </c>
      <c r="Q71" s="20">
        <v>0</v>
      </c>
      <c r="R71" s="20">
        <v>0</v>
      </c>
      <c r="S71" s="21">
        <v>1.383</v>
      </c>
      <c r="T71" s="21">
        <v>0</v>
      </c>
      <c r="U71" s="21">
        <v>0</v>
      </c>
      <c r="V71" s="21">
        <v>0</v>
      </c>
      <c r="W71" s="21">
        <v>0</v>
      </c>
      <c r="X71" s="21">
        <v>0</v>
      </c>
      <c r="Y71" s="21">
        <v>0</v>
      </c>
      <c r="Z71" s="21">
        <v>0</v>
      </c>
      <c r="AA71" s="21">
        <v>0</v>
      </c>
      <c r="AB71" s="24">
        <v>0</v>
      </c>
      <c r="AC71" s="24">
        <v>0</v>
      </c>
      <c r="AD71" s="24">
        <v>0</v>
      </c>
      <c r="AE71" s="24">
        <v>0</v>
      </c>
      <c r="AF71" s="24">
        <v>0</v>
      </c>
      <c r="AG71" s="24">
        <v>0</v>
      </c>
      <c r="AH71" s="20">
        <v>29500</v>
      </c>
      <c r="AI71" s="20">
        <v>179300</v>
      </c>
      <c r="AK71" s="20">
        <v>0</v>
      </c>
      <c r="AL71" s="20">
        <v>0</v>
      </c>
      <c r="AM71" s="20">
        <v>1</v>
      </c>
    </row>
    <row r="72" spans="1:39" x14ac:dyDescent="0.2">
      <c r="A72" s="20" t="s">
        <v>97</v>
      </c>
      <c r="B72" s="20" t="s">
        <v>98</v>
      </c>
      <c r="C72" s="20" t="s">
        <v>232</v>
      </c>
      <c r="D72" s="20" t="s">
        <v>400</v>
      </c>
      <c r="E72" s="20" t="s">
        <v>401</v>
      </c>
      <c r="H72" s="20" t="s">
        <v>99</v>
      </c>
      <c r="J72" s="20">
        <v>0</v>
      </c>
      <c r="L72" s="20" t="s">
        <v>198</v>
      </c>
      <c r="M72" s="20" t="s">
        <v>199</v>
      </c>
      <c r="N72" s="20" t="s">
        <v>402</v>
      </c>
      <c r="O72" s="20">
        <v>176600</v>
      </c>
      <c r="P72" s="23">
        <v>2.4</v>
      </c>
      <c r="Q72" s="20">
        <v>0</v>
      </c>
      <c r="R72" s="20">
        <v>0</v>
      </c>
      <c r="S72" s="21">
        <v>1.29</v>
      </c>
      <c r="T72" s="21">
        <v>0</v>
      </c>
      <c r="U72" s="21">
        <v>0</v>
      </c>
      <c r="V72" s="21">
        <v>0</v>
      </c>
      <c r="W72" s="21">
        <v>0</v>
      </c>
      <c r="X72" s="21">
        <v>0</v>
      </c>
      <c r="Y72" s="21">
        <v>0</v>
      </c>
      <c r="Z72" s="21">
        <v>0</v>
      </c>
      <c r="AA72" s="21">
        <v>0</v>
      </c>
      <c r="AB72" s="24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0</v>
      </c>
      <c r="AH72" s="20">
        <v>29500</v>
      </c>
      <c r="AI72" s="20">
        <v>165000</v>
      </c>
      <c r="AK72" s="20">
        <v>0</v>
      </c>
      <c r="AL72" s="20">
        <v>0</v>
      </c>
      <c r="AM72" s="20">
        <v>1</v>
      </c>
    </row>
    <row r="73" spans="1:39" x14ac:dyDescent="0.2">
      <c r="A73" s="20" t="s">
        <v>97</v>
      </c>
      <c r="B73" s="20" t="s">
        <v>98</v>
      </c>
      <c r="C73" s="20" t="s">
        <v>232</v>
      </c>
      <c r="D73" s="20" t="s">
        <v>403</v>
      </c>
      <c r="E73" s="20" t="s">
        <v>404</v>
      </c>
      <c r="H73" s="20" t="s">
        <v>99</v>
      </c>
      <c r="J73" s="20">
        <v>0</v>
      </c>
      <c r="L73" s="20" t="s">
        <v>200</v>
      </c>
      <c r="N73" s="20" t="s">
        <v>405</v>
      </c>
      <c r="O73" s="20">
        <v>191900</v>
      </c>
      <c r="P73" s="23">
        <v>2.4</v>
      </c>
      <c r="Q73" s="20">
        <v>0</v>
      </c>
      <c r="R73" s="20">
        <v>0</v>
      </c>
      <c r="S73" s="21">
        <v>1.383</v>
      </c>
      <c r="T73" s="21">
        <v>0</v>
      </c>
      <c r="U73" s="21">
        <v>0</v>
      </c>
      <c r="V73" s="21">
        <v>0</v>
      </c>
      <c r="W73" s="21">
        <v>0</v>
      </c>
      <c r="X73" s="21">
        <v>0</v>
      </c>
      <c r="Y73" s="21">
        <v>0</v>
      </c>
      <c r="Z73" s="21">
        <v>0</v>
      </c>
      <c r="AA73" s="21">
        <v>0</v>
      </c>
      <c r="AB73" s="24">
        <v>0</v>
      </c>
      <c r="AC73" s="24">
        <v>0</v>
      </c>
      <c r="AD73" s="24">
        <v>0</v>
      </c>
      <c r="AE73" s="24">
        <v>0</v>
      </c>
      <c r="AF73" s="24">
        <v>0</v>
      </c>
      <c r="AG73" s="24">
        <v>0</v>
      </c>
      <c r="AH73" s="20">
        <v>29500</v>
      </c>
      <c r="AI73" s="20">
        <v>179300</v>
      </c>
      <c r="AK73" s="20">
        <v>0</v>
      </c>
      <c r="AL73" s="20">
        <v>0</v>
      </c>
      <c r="AM73" s="20">
        <v>1</v>
      </c>
    </row>
    <row r="74" spans="1:39" x14ac:dyDescent="0.2">
      <c r="A74" s="20" t="s">
        <v>97</v>
      </c>
      <c r="B74" s="20" t="s">
        <v>98</v>
      </c>
      <c r="C74" s="20" t="s">
        <v>232</v>
      </c>
      <c r="D74" s="20" t="s">
        <v>406</v>
      </c>
      <c r="E74" s="20" t="s">
        <v>407</v>
      </c>
      <c r="H74" s="20" t="s">
        <v>99</v>
      </c>
      <c r="J74" s="20">
        <v>0</v>
      </c>
      <c r="L74" s="20" t="s">
        <v>201</v>
      </c>
      <c r="N74" s="20" t="s">
        <v>408</v>
      </c>
      <c r="O74" s="20">
        <v>140100</v>
      </c>
      <c r="P74" s="23">
        <v>2.4</v>
      </c>
      <c r="Q74" s="20">
        <v>0</v>
      </c>
      <c r="R74" s="20">
        <v>0</v>
      </c>
      <c r="S74" s="21">
        <v>1.0660000000000001</v>
      </c>
      <c r="T74" s="21">
        <v>0</v>
      </c>
      <c r="U74" s="21">
        <v>0</v>
      </c>
      <c r="V74" s="21">
        <v>0</v>
      </c>
      <c r="W74" s="21">
        <v>0</v>
      </c>
      <c r="X74" s="21">
        <v>0</v>
      </c>
      <c r="Y74" s="21">
        <v>0</v>
      </c>
      <c r="Z74" s="21">
        <v>0</v>
      </c>
      <c r="AA74" s="21">
        <v>0</v>
      </c>
      <c r="AB74" s="24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0</v>
      </c>
      <c r="AH74" s="20">
        <v>29500</v>
      </c>
      <c r="AI74" s="20">
        <v>130900</v>
      </c>
      <c r="AK74" s="20">
        <v>0</v>
      </c>
      <c r="AL74" s="20">
        <v>0</v>
      </c>
      <c r="AM74" s="20">
        <v>1</v>
      </c>
    </row>
    <row r="75" spans="1:39" x14ac:dyDescent="0.2">
      <c r="A75" s="20" t="s">
        <v>97</v>
      </c>
      <c r="B75" s="20" t="s">
        <v>98</v>
      </c>
      <c r="C75" s="20" t="s">
        <v>232</v>
      </c>
      <c r="D75" s="20" t="s">
        <v>409</v>
      </c>
      <c r="E75" s="20" t="s">
        <v>410</v>
      </c>
      <c r="H75" s="20" t="s">
        <v>99</v>
      </c>
      <c r="J75" s="20">
        <v>0</v>
      </c>
      <c r="L75" s="20" t="s">
        <v>202</v>
      </c>
      <c r="N75" s="20" t="s">
        <v>411</v>
      </c>
      <c r="O75" s="20">
        <v>166500</v>
      </c>
      <c r="P75" s="23">
        <v>2.4</v>
      </c>
      <c r="Q75" s="20">
        <v>0</v>
      </c>
      <c r="R75" s="20">
        <v>0</v>
      </c>
      <c r="S75" s="21">
        <v>1.228</v>
      </c>
      <c r="T75" s="21">
        <v>0</v>
      </c>
      <c r="U75" s="21">
        <v>0</v>
      </c>
      <c r="V75" s="21">
        <v>0</v>
      </c>
      <c r="W75" s="21">
        <v>0</v>
      </c>
      <c r="X75" s="21">
        <v>0</v>
      </c>
      <c r="Y75" s="21">
        <v>0</v>
      </c>
      <c r="Z75" s="21">
        <v>0</v>
      </c>
      <c r="AA75" s="21">
        <v>0</v>
      </c>
      <c r="AB75" s="24">
        <v>0</v>
      </c>
      <c r="AC75" s="24">
        <v>0</v>
      </c>
      <c r="AD75" s="24">
        <v>0</v>
      </c>
      <c r="AE75" s="24">
        <v>0</v>
      </c>
      <c r="AF75" s="24">
        <v>0</v>
      </c>
      <c r="AG75" s="24">
        <v>0</v>
      </c>
      <c r="AH75" s="20">
        <v>29500</v>
      </c>
      <c r="AI75" s="20">
        <v>155600</v>
      </c>
      <c r="AK75" s="20">
        <v>0</v>
      </c>
      <c r="AL75" s="20">
        <v>0</v>
      </c>
      <c r="AM75" s="20">
        <v>1</v>
      </c>
    </row>
    <row r="76" spans="1:39" x14ac:dyDescent="0.2">
      <c r="A76" s="20" t="s">
        <v>97</v>
      </c>
      <c r="B76" s="20" t="s">
        <v>98</v>
      </c>
      <c r="C76" s="20" t="s">
        <v>232</v>
      </c>
      <c r="D76" s="20" t="s">
        <v>268</v>
      </c>
      <c r="E76" s="20" t="s">
        <v>412</v>
      </c>
      <c r="H76" s="20" t="s">
        <v>99</v>
      </c>
      <c r="J76" s="20">
        <v>0</v>
      </c>
      <c r="L76" s="20" t="s">
        <v>203</v>
      </c>
      <c r="N76" s="20" t="s">
        <v>413</v>
      </c>
      <c r="O76" s="20">
        <v>140100</v>
      </c>
      <c r="P76" s="23">
        <v>2.4</v>
      </c>
      <c r="Q76" s="20">
        <v>0</v>
      </c>
      <c r="R76" s="20">
        <v>0</v>
      </c>
      <c r="S76" s="21">
        <v>0.85899999999999999</v>
      </c>
      <c r="T76" s="21">
        <v>0</v>
      </c>
      <c r="U76" s="21">
        <v>0</v>
      </c>
      <c r="V76" s="21">
        <v>0</v>
      </c>
      <c r="W76" s="21">
        <v>0</v>
      </c>
      <c r="X76" s="21">
        <v>0</v>
      </c>
      <c r="Y76" s="21">
        <v>0</v>
      </c>
      <c r="Z76" s="21">
        <v>0</v>
      </c>
      <c r="AA76" s="21">
        <v>0</v>
      </c>
      <c r="AB76" s="24">
        <v>0</v>
      </c>
      <c r="AC76" s="24">
        <v>0</v>
      </c>
      <c r="AD76" s="24">
        <v>0</v>
      </c>
      <c r="AE76" s="24">
        <v>0</v>
      </c>
      <c r="AF76" s="24">
        <v>0</v>
      </c>
      <c r="AG76" s="24">
        <v>0</v>
      </c>
      <c r="AH76" s="20">
        <v>0</v>
      </c>
      <c r="AI76" s="20">
        <v>130900</v>
      </c>
      <c r="AK76" s="20">
        <v>0</v>
      </c>
      <c r="AL76" s="20">
        <v>0</v>
      </c>
      <c r="AM76" s="20">
        <v>1</v>
      </c>
    </row>
    <row r="77" spans="1:39" x14ac:dyDescent="0.2">
      <c r="A77" s="20" t="s">
        <v>97</v>
      </c>
      <c r="B77" s="20" t="s">
        <v>98</v>
      </c>
      <c r="C77" s="20" t="s">
        <v>232</v>
      </c>
      <c r="D77" s="20" t="s">
        <v>271</v>
      </c>
      <c r="E77" s="20" t="s">
        <v>414</v>
      </c>
      <c r="H77" s="20" t="s">
        <v>99</v>
      </c>
      <c r="J77" s="20">
        <v>0</v>
      </c>
      <c r="L77" s="20" t="s">
        <v>204</v>
      </c>
      <c r="N77" s="20" t="s">
        <v>415</v>
      </c>
      <c r="O77" s="20">
        <v>166500</v>
      </c>
      <c r="P77" s="23">
        <v>2.4</v>
      </c>
      <c r="Q77" s="20">
        <v>0</v>
      </c>
      <c r="R77" s="20">
        <v>0</v>
      </c>
      <c r="S77" s="21">
        <v>1.0209999999999999</v>
      </c>
      <c r="T77" s="21">
        <v>0</v>
      </c>
      <c r="U77" s="21">
        <v>0</v>
      </c>
      <c r="V77" s="21">
        <v>0</v>
      </c>
      <c r="W77" s="21">
        <v>0</v>
      </c>
      <c r="X77" s="21">
        <v>0</v>
      </c>
      <c r="Y77" s="21">
        <v>0</v>
      </c>
      <c r="Z77" s="21">
        <v>0</v>
      </c>
      <c r="AA77" s="21">
        <v>0</v>
      </c>
      <c r="AB77" s="24">
        <v>0</v>
      </c>
      <c r="AC77" s="24">
        <v>0</v>
      </c>
      <c r="AD77" s="24">
        <v>0</v>
      </c>
      <c r="AE77" s="24">
        <v>0</v>
      </c>
      <c r="AF77" s="24">
        <v>0</v>
      </c>
      <c r="AG77" s="24">
        <v>0</v>
      </c>
      <c r="AH77" s="20">
        <v>0</v>
      </c>
      <c r="AI77" s="20">
        <v>155600</v>
      </c>
      <c r="AK77" s="20">
        <v>0</v>
      </c>
      <c r="AL77" s="20">
        <v>0</v>
      </c>
      <c r="AM77" s="20">
        <v>1</v>
      </c>
    </row>
    <row r="78" spans="1:39" x14ac:dyDescent="0.2">
      <c r="A78" s="20" t="s">
        <v>97</v>
      </c>
      <c r="B78" s="20" t="s">
        <v>98</v>
      </c>
      <c r="C78" s="20" t="s">
        <v>232</v>
      </c>
      <c r="D78" s="20" t="s">
        <v>274</v>
      </c>
      <c r="E78" s="20" t="s">
        <v>416</v>
      </c>
      <c r="H78" s="20" t="s">
        <v>99</v>
      </c>
      <c r="J78" s="20">
        <v>0</v>
      </c>
      <c r="L78" s="20" t="s">
        <v>205</v>
      </c>
      <c r="M78" s="20" t="s">
        <v>206</v>
      </c>
      <c r="N78" s="20" t="s">
        <v>417</v>
      </c>
      <c r="O78" s="20">
        <v>176600</v>
      </c>
      <c r="P78" s="23">
        <v>2.4</v>
      </c>
      <c r="Q78" s="20">
        <v>0</v>
      </c>
      <c r="R78" s="20">
        <v>0</v>
      </c>
      <c r="S78" s="21">
        <v>1.083</v>
      </c>
      <c r="T78" s="21">
        <v>0</v>
      </c>
      <c r="U78" s="21">
        <v>0</v>
      </c>
      <c r="V78" s="21">
        <v>0</v>
      </c>
      <c r="W78" s="21">
        <v>0</v>
      </c>
      <c r="X78" s="21">
        <v>0</v>
      </c>
      <c r="Y78" s="21">
        <v>0</v>
      </c>
      <c r="Z78" s="21">
        <v>0</v>
      </c>
      <c r="AA78" s="21">
        <v>0</v>
      </c>
      <c r="AB78" s="24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0</v>
      </c>
      <c r="AH78" s="20">
        <v>0</v>
      </c>
      <c r="AI78" s="20">
        <v>165000</v>
      </c>
      <c r="AK78" s="20">
        <v>0</v>
      </c>
      <c r="AL78" s="20">
        <v>0</v>
      </c>
      <c r="AM78" s="20">
        <v>1</v>
      </c>
    </row>
    <row r="79" spans="1:39" x14ac:dyDescent="0.2">
      <c r="A79" s="20" t="s">
        <v>97</v>
      </c>
      <c r="B79" s="20" t="s">
        <v>98</v>
      </c>
      <c r="C79" s="20" t="s">
        <v>232</v>
      </c>
      <c r="D79" s="20" t="s">
        <v>277</v>
      </c>
      <c r="E79" s="20" t="s">
        <v>418</v>
      </c>
      <c r="H79" s="20" t="s">
        <v>99</v>
      </c>
      <c r="J79" s="20">
        <v>0</v>
      </c>
      <c r="L79" s="20" t="s">
        <v>207</v>
      </c>
      <c r="M79" s="20" t="s">
        <v>208</v>
      </c>
      <c r="N79" s="20" t="s">
        <v>419</v>
      </c>
      <c r="O79" s="20">
        <v>191900</v>
      </c>
      <c r="P79" s="23">
        <v>2.4</v>
      </c>
      <c r="Q79" s="20">
        <v>0</v>
      </c>
      <c r="R79" s="20">
        <v>0</v>
      </c>
      <c r="S79" s="21">
        <v>1.1759999999999999</v>
      </c>
      <c r="T79" s="21">
        <v>0</v>
      </c>
      <c r="U79" s="21">
        <v>0</v>
      </c>
      <c r="V79" s="21">
        <v>0</v>
      </c>
      <c r="W79" s="21">
        <v>0</v>
      </c>
      <c r="X79" s="21">
        <v>0</v>
      </c>
      <c r="Y79" s="21">
        <v>0</v>
      </c>
      <c r="Z79" s="21">
        <v>0</v>
      </c>
      <c r="AA79" s="21">
        <v>0</v>
      </c>
      <c r="AB79" s="24">
        <v>0</v>
      </c>
      <c r="AC79" s="24">
        <v>0</v>
      </c>
      <c r="AD79" s="24">
        <v>0</v>
      </c>
      <c r="AE79" s="24">
        <v>0</v>
      </c>
      <c r="AF79" s="24">
        <v>0</v>
      </c>
      <c r="AG79" s="24">
        <v>0</v>
      </c>
      <c r="AH79" s="20">
        <v>0</v>
      </c>
      <c r="AI79" s="20">
        <v>179300</v>
      </c>
      <c r="AK79" s="20">
        <v>0</v>
      </c>
      <c r="AL79" s="20">
        <v>0</v>
      </c>
      <c r="AM79" s="20">
        <v>1</v>
      </c>
    </row>
    <row r="80" spans="1:39" x14ac:dyDescent="0.2">
      <c r="A80" s="20" t="s">
        <v>97</v>
      </c>
      <c r="B80" s="20" t="s">
        <v>98</v>
      </c>
      <c r="C80" s="20" t="s">
        <v>232</v>
      </c>
      <c r="D80" s="20" t="s">
        <v>420</v>
      </c>
      <c r="E80" s="20" t="s">
        <v>421</v>
      </c>
      <c r="H80" s="20" t="s">
        <v>99</v>
      </c>
      <c r="J80" s="20">
        <v>0</v>
      </c>
      <c r="L80" s="20" t="s">
        <v>209</v>
      </c>
      <c r="M80" s="20" t="s">
        <v>210</v>
      </c>
      <c r="N80" s="20" t="s">
        <v>464</v>
      </c>
      <c r="O80" s="20">
        <v>176600</v>
      </c>
      <c r="P80" s="23">
        <v>2.4</v>
      </c>
      <c r="Q80" s="20">
        <v>0</v>
      </c>
      <c r="R80" s="20">
        <v>0</v>
      </c>
      <c r="S80" s="21">
        <v>1.083</v>
      </c>
      <c r="T80" s="21">
        <v>0</v>
      </c>
      <c r="U80" s="21">
        <v>0</v>
      </c>
      <c r="V80" s="21">
        <v>0</v>
      </c>
      <c r="W80" s="21">
        <v>0</v>
      </c>
      <c r="X80" s="21">
        <v>0</v>
      </c>
      <c r="Y80" s="21">
        <v>0</v>
      </c>
      <c r="Z80" s="21">
        <v>0</v>
      </c>
      <c r="AA80" s="21">
        <v>0</v>
      </c>
      <c r="AB80" s="24">
        <v>0</v>
      </c>
      <c r="AC80" s="24">
        <v>0</v>
      </c>
      <c r="AD80" s="24">
        <v>0</v>
      </c>
      <c r="AE80" s="24">
        <v>0</v>
      </c>
      <c r="AF80" s="24">
        <v>0</v>
      </c>
      <c r="AG80" s="24">
        <v>0</v>
      </c>
      <c r="AH80" s="20">
        <v>0</v>
      </c>
      <c r="AI80" s="20">
        <v>165000</v>
      </c>
      <c r="AK80" s="20">
        <v>0</v>
      </c>
      <c r="AL80" s="20">
        <v>0</v>
      </c>
      <c r="AM80" s="20">
        <v>1</v>
      </c>
    </row>
    <row r="81" spans="1:39" x14ac:dyDescent="0.2">
      <c r="A81" s="20" t="s">
        <v>97</v>
      </c>
      <c r="B81" s="20" t="s">
        <v>98</v>
      </c>
      <c r="C81" s="20" t="s">
        <v>232</v>
      </c>
      <c r="D81" s="20" t="s">
        <v>422</v>
      </c>
      <c r="E81" s="20" t="s">
        <v>423</v>
      </c>
      <c r="H81" s="20" t="s">
        <v>99</v>
      </c>
      <c r="J81" s="20">
        <v>0</v>
      </c>
      <c r="L81" s="20" t="s">
        <v>211</v>
      </c>
      <c r="N81" s="20" t="s">
        <v>424</v>
      </c>
      <c r="O81" s="20">
        <v>191900</v>
      </c>
      <c r="P81" s="23">
        <v>2.4</v>
      </c>
      <c r="Q81" s="20">
        <v>0</v>
      </c>
      <c r="R81" s="20">
        <v>0</v>
      </c>
      <c r="S81" s="21">
        <v>1.383</v>
      </c>
      <c r="T81" s="21">
        <v>0</v>
      </c>
      <c r="U81" s="21">
        <v>0</v>
      </c>
      <c r="V81" s="21">
        <v>0</v>
      </c>
      <c r="W81" s="21">
        <v>0</v>
      </c>
      <c r="X81" s="21">
        <v>0</v>
      </c>
      <c r="Y81" s="21">
        <v>0</v>
      </c>
      <c r="Z81" s="21">
        <v>0</v>
      </c>
      <c r="AA81" s="21">
        <v>0</v>
      </c>
      <c r="AB81" s="24">
        <v>0</v>
      </c>
      <c r="AC81" s="24">
        <v>0</v>
      </c>
      <c r="AD81" s="24">
        <v>0</v>
      </c>
      <c r="AE81" s="24">
        <v>0</v>
      </c>
      <c r="AF81" s="24">
        <v>0</v>
      </c>
      <c r="AG81" s="24">
        <v>0</v>
      </c>
      <c r="AH81" s="20">
        <v>29500</v>
      </c>
      <c r="AI81" s="20">
        <v>179300</v>
      </c>
      <c r="AK81" s="20">
        <v>0</v>
      </c>
      <c r="AL81" s="20">
        <v>0</v>
      </c>
      <c r="AM81" s="20">
        <v>1</v>
      </c>
    </row>
    <row r="82" spans="1:39" x14ac:dyDescent="0.2">
      <c r="A82" s="20" t="s">
        <v>97</v>
      </c>
      <c r="B82" s="20" t="s">
        <v>98</v>
      </c>
      <c r="C82" s="20" t="s">
        <v>232</v>
      </c>
      <c r="D82" s="20" t="s">
        <v>425</v>
      </c>
      <c r="E82" s="20" t="s">
        <v>426</v>
      </c>
      <c r="H82" s="20" t="s">
        <v>99</v>
      </c>
      <c r="J82" s="20">
        <v>0</v>
      </c>
      <c r="L82" s="20" t="s">
        <v>212</v>
      </c>
      <c r="N82" s="20" t="s">
        <v>427</v>
      </c>
      <c r="O82" s="20">
        <v>140100</v>
      </c>
      <c r="P82" s="23">
        <v>2.4</v>
      </c>
      <c r="Q82" s="20">
        <v>0</v>
      </c>
      <c r="R82" s="20">
        <v>0</v>
      </c>
      <c r="S82" s="21">
        <v>0.85899999999999999</v>
      </c>
      <c r="T82" s="21">
        <v>0</v>
      </c>
      <c r="U82" s="21">
        <v>0</v>
      </c>
      <c r="V82" s="21">
        <v>0</v>
      </c>
      <c r="W82" s="21">
        <v>0</v>
      </c>
      <c r="X82" s="21">
        <v>0</v>
      </c>
      <c r="Y82" s="21">
        <v>0</v>
      </c>
      <c r="Z82" s="21">
        <v>0</v>
      </c>
      <c r="AA82" s="21">
        <v>0</v>
      </c>
      <c r="AB82" s="24">
        <v>0</v>
      </c>
      <c r="AC82" s="24">
        <v>0</v>
      </c>
      <c r="AD82" s="24">
        <v>0</v>
      </c>
      <c r="AE82" s="24">
        <v>0</v>
      </c>
      <c r="AF82" s="24">
        <v>0</v>
      </c>
      <c r="AG82" s="24">
        <v>0</v>
      </c>
      <c r="AH82" s="20">
        <v>0</v>
      </c>
      <c r="AI82" s="20">
        <v>130900</v>
      </c>
      <c r="AK82" s="20">
        <v>0</v>
      </c>
      <c r="AL82" s="20">
        <v>0</v>
      </c>
      <c r="AM82" s="20">
        <v>1</v>
      </c>
    </row>
    <row r="83" spans="1:39" x14ac:dyDescent="0.2">
      <c r="A83" s="20" t="s">
        <v>97</v>
      </c>
      <c r="B83" s="20" t="s">
        <v>98</v>
      </c>
      <c r="C83" s="20" t="s">
        <v>232</v>
      </c>
      <c r="D83" s="20" t="s">
        <v>428</v>
      </c>
      <c r="E83" s="20" t="s">
        <v>429</v>
      </c>
      <c r="H83" s="20" t="s">
        <v>99</v>
      </c>
      <c r="J83" s="20">
        <v>0</v>
      </c>
      <c r="L83" s="20" t="s">
        <v>213</v>
      </c>
      <c r="M83" s="20" t="s">
        <v>214</v>
      </c>
      <c r="N83" s="20" t="s">
        <v>430</v>
      </c>
      <c r="O83" s="20">
        <v>166500</v>
      </c>
      <c r="P83" s="23">
        <v>2.4</v>
      </c>
      <c r="Q83" s="20">
        <v>0</v>
      </c>
      <c r="R83" s="20">
        <v>0</v>
      </c>
      <c r="S83" s="21">
        <v>1.0209999999999999</v>
      </c>
      <c r="T83" s="21">
        <v>0</v>
      </c>
      <c r="U83" s="21">
        <v>0</v>
      </c>
      <c r="V83" s="21">
        <v>0</v>
      </c>
      <c r="W83" s="21">
        <v>0</v>
      </c>
      <c r="X83" s="21">
        <v>0</v>
      </c>
      <c r="Y83" s="21">
        <v>0</v>
      </c>
      <c r="Z83" s="21">
        <v>0</v>
      </c>
      <c r="AA83" s="21">
        <v>0</v>
      </c>
      <c r="AB83" s="24">
        <v>0</v>
      </c>
      <c r="AC83" s="24">
        <v>0</v>
      </c>
      <c r="AD83" s="24">
        <v>0</v>
      </c>
      <c r="AE83" s="24">
        <v>0</v>
      </c>
      <c r="AF83" s="24">
        <v>0</v>
      </c>
      <c r="AG83" s="24">
        <v>0</v>
      </c>
      <c r="AH83" s="20">
        <v>0</v>
      </c>
      <c r="AI83" s="20">
        <v>155600</v>
      </c>
      <c r="AK83" s="20">
        <v>0</v>
      </c>
      <c r="AL83" s="20">
        <v>0</v>
      </c>
      <c r="AM83" s="20">
        <v>1</v>
      </c>
    </row>
    <row r="84" spans="1:39" x14ac:dyDescent="0.2">
      <c r="A84" s="20" t="s">
        <v>97</v>
      </c>
      <c r="B84" s="20" t="s">
        <v>98</v>
      </c>
      <c r="C84" s="20" t="s">
        <v>232</v>
      </c>
      <c r="D84" s="20" t="s">
        <v>280</v>
      </c>
      <c r="E84" s="20" t="s">
        <v>431</v>
      </c>
      <c r="H84" s="20" t="s">
        <v>99</v>
      </c>
      <c r="J84" s="20">
        <v>0</v>
      </c>
      <c r="L84" s="20" t="s">
        <v>465</v>
      </c>
      <c r="N84" s="20" t="s">
        <v>432</v>
      </c>
      <c r="O84" s="20">
        <v>140100</v>
      </c>
      <c r="P84" s="23">
        <v>2.4</v>
      </c>
      <c r="Q84" s="20">
        <v>0</v>
      </c>
      <c r="R84" s="20">
        <v>0</v>
      </c>
      <c r="S84" s="21">
        <v>0.85899999999999999</v>
      </c>
      <c r="T84" s="21">
        <v>0</v>
      </c>
      <c r="U84" s="21">
        <v>0</v>
      </c>
      <c r="V84" s="21">
        <v>0</v>
      </c>
      <c r="W84" s="21">
        <v>0</v>
      </c>
      <c r="X84" s="21">
        <v>0</v>
      </c>
      <c r="Y84" s="21">
        <v>0</v>
      </c>
      <c r="Z84" s="21">
        <v>0</v>
      </c>
      <c r="AA84" s="21">
        <v>0</v>
      </c>
      <c r="AB84" s="24">
        <v>0</v>
      </c>
      <c r="AC84" s="24">
        <v>0</v>
      </c>
      <c r="AD84" s="24">
        <v>0</v>
      </c>
      <c r="AE84" s="24">
        <v>0</v>
      </c>
      <c r="AF84" s="24">
        <v>0</v>
      </c>
      <c r="AG84" s="24">
        <v>0</v>
      </c>
      <c r="AH84" s="20">
        <v>0</v>
      </c>
      <c r="AI84" s="20">
        <v>130900</v>
      </c>
      <c r="AJ84" s="20" t="s">
        <v>466</v>
      </c>
      <c r="AK84" s="20">
        <v>0</v>
      </c>
      <c r="AL84" s="20">
        <v>0</v>
      </c>
      <c r="AM84" s="20">
        <v>1</v>
      </c>
    </row>
    <row r="85" spans="1:39" x14ac:dyDescent="0.2">
      <c r="A85" s="20" t="s">
        <v>97</v>
      </c>
      <c r="B85" s="20" t="s">
        <v>98</v>
      </c>
      <c r="C85" s="20" t="s">
        <v>232</v>
      </c>
      <c r="D85" s="20" t="s">
        <v>283</v>
      </c>
      <c r="E85" s="20" t="s">
        <v>433</v>
      </c>
      <c r="H85" s="20" t="s">
        <v>99</v>
      </c>
      <c r="J85" s="20">
        <v>0</v>
      </c>
      <c r="L85" s="20" t="s">
        <v>215</v>
      </c>
      <c r="N85" s="20" t="s">
        <v>434</v>
      </c>
      <c r="O85" s="20">
        <v>166500</v>
      </c>
      <c r="P85" s="23">
        <v>2.4</v>
      </c>
      <c r="Q85" s="20">
        <v>0</v>
      </c>
      <c r="R85" s="20">
        <v>0</v>
      </c>
      <c r="S85" s="21">
        <v>1.0209999999999999</v>
      </c>
      <c r="T85" s="21">
        <v>0</v>
      </c>
      <c r="U85" s="21">
        <v>0</v>
      </c>
      <c r="V85" s="21">
        <v>0</v>
      </c>
      <c r="W85" s="21">
        <v>0</v>
      </c>
      <c r="X85" s="21">
        <v>0</v>
      </c>
      <c r="Y85" s="21">
        <v>0</v>
      </c>
      <c r="Z85" s="21">
        <v>0</v>
      </c>
      <c r="AA85" s="21">
        <v>0</v>
      </c>
      <c r="AB85" s="24">
        <v>0</v>
      </c>
      <c r="AC85" s="24">
        <v>0</v>
      </c>
      <c r="AD85" s="24">
        <v>0</v>
      </c>
      <c r="AE85" s="24">
        <v>0</v>
      </c>
      <c r="AF85" s="24">
        <v>0</v>
      </c>
      <c r="AG85" s="24">
        <v>0</v>
      </c>
      <c r="AH85" s="20">
        <v>0</v>
      </c>
      <c r="AI85" s="20">
        <v>155600</v>
      </c>
      <c r="AK85" s="20">
        <v>0</v>
      </c>
      <c r="AL85" s="20">
        <v>0</v>
      </c>
      <c r="AM85" s="20">
        <v>1</v>
      </c>
    </row>
    <row r="86" spans="1:39" x14ac:dyDescent="0.2">
      <c r="A86" s="20" t="s">
        <v>97</v>
      </c>
      <c r="B86" s="20" t="s">
        <v>98</v>
      </c>
      <c r="C86" s="20" t="s">
        <v>232</v>
      </c>
      <c r="D86" s="20" t="s">
        <v>286</v>
      </c>
      <c r="E86" s="20" t="s">
        <v>435</v>
      </c>
      <c r="H86" s="20" t="s">
        <v>99</v>
      </c>
      <c r="J86" s="20">
        <v>0</v>
      </c>
      <c r="L86" s="20" t="s">
        <v>216</v>
      </c>
      <c r="N86" s="20" t="s">
        <v>436</v>
      </c>
      <c r="O86" s="20">
        <v>176600</v>
      </c>
      <c r="P86" s="23">
        <v>2.4</v>
      </c>
      <c r="Q86" s="20">
        <v>0</v>
      </c>
      <c r="R86" s="20">
        <v>0</v>
      </c>
      <c r="S86" s="21">
        <v>1.083</v>
      </c>
      <c r="T86" s="21">
        <v>0</v>
      </c>
      <c r="U86" s="21">
        <v>0</v>
      </c>
      <c r="V86" s="21">
        <v>0</v>
      </c>
      <c r="W86" s="21">
        <v>0</v>
      </c>
      <c r="X86" s="21">
        <v>0</v>
      </c>
      <c r="Y86" s="21">
        <v>0</v>
      </c>
      <c r="Z86" s="21">
        <v>0</v>
      </c>
      <c r="AA86" s="21">
        <v>0</v>
      </c>
      <c r="AB86" s="24">
        <v>0</v>
      </c>
      <c r="AC86" s="24">
        <v>0</v>
      </c>
      <c r="AD86" s="24">
        <v>0</v>
      </c>
      <c r="AE86" s="24">
        <v>0</v>
      </c>
      <c r="AF86" s="24">
        <v>0</v>
      </c>
      <c r="AG86" s="24">
        <v>0</v>
      </c>
      <c r="AH86" s="20">
        <v>0</v>
      </c>
      <c r="AI86" s="20">
        <v>165000</v>
      </c>
      <c r="AK86" s="20">
        <v>0</v>
      </c>
      <c r="AL86" s="20">
        <v>0</v>
      </c>
      <c r="AM86" s="20">
        <v>1</v>
      </c>
    </row>
    <row r="87" spans="1:39" x14ac:dyDescent="0.2">
      <c r="A87" s="20" t="s">
        <v>97</v>
      </c>
      <c r="B87" s="20" t="s">
        <v>98</v>
      </c>
      <c r="C87" s="20" t="s">
        <v>232</v>
      </c>
      <c r="D87" s="20" t="s">
        <v>289</v>
      </c>
      <c r="E87" s="20" t="s">
        <v>437</v>
      </c>
      <c r="H87" s="20" t="s">
        <v>99</v>
      </c>
      <c r="J87" s="20">
        <v>0</v>
      </c>
      <c r="L87" s="20" t="s">
        <v>217</v>
      </c>
      <c r="M87" s="20" t="s">
        <v>218</v>
      </c>
      <c r="N87" s="20" t="s">
        <v>438</v>
      </c>
      <c r="O87" s="20">
        <v>191900</v>
      </c>
      <c r="P87" s="23">
        <v>2.4</v>
      </c>
      <c r="Q87" s="20">
        <v>0</v>
      </c>
      <c r="R87" s="20">
        <v>0</v>
      </c>
      <c r="S87" s="21">
        <v>1.383</v>
      </c>
      <c r="T87" s="21">
        <v>0</v>
      </c>
      <c r="U87" s="21">
        <v>0</v>
      </c>
      <c r="V87" s="21">
        <v>0</v>
      </c>
      <c r="W87" s="21">
        <v>0</v>
      </c>
      <c r="X87" s="21">
        <v>0</v>
      </c>
      <c r="Y87" s="21">
        <v>0</v>
      </c>
      <c r="Z87" s="21">
        <v>0</v>
      </c>
      <c r="AA87" s="21">
        <v>0</v>
      </c>
      <c r="AB87" s="24">
        <v>0</v>
      </c>
      <c r="AC87" s="24">
        <v>0</v>
      </c>
      <c r="AD87" s="24">
        <v>0</v>
      </c>
      <c r="AE87" s="24">
        <v>0</v>
      </c>
      <c r="AF87" s="24">
        <v>0</v>
      </c>
      <c r="AG87" s="24">
        <v>0</v>
      </c>
      <c r="AH87" s="20">
        <v>29500</v>
      </c>
      <c r="AI87" s="20">
        <v>179300</v>
      </c>
      <c r="AK87" s="20">
        <v>0</v>
      </c>
      <c r="AL87" s="20">
        <v>0</v>
      </c>
      <c r="AM87" s="20">
        <v>1</v>
      </c>
    </row>
    <row r="88" spans="1:39" x14ac:dyDescent="0.2">
      <c r="A88" s="20" t="s">
        <v>97</v>
      </c>
      <c r="B88" s="20" t="s">
        <v>98</v>
      </c>
      <c r="C88" s="20" t="s">
        <v>232</v>
      </c>
      <c r="D88" s="20" t="s">
        <v>439</v>
      </c>
      <c r="E88" s="20" t="s">
        <v>440</v>
      </c>
      <c r="H88" s="20" t="s">
        <v>99</v>
      </c>
      <c r="J88" s="20">
        <v>0</v>
      </c>
      <c r="L88" s="20" t="s">
        <v>167</v>
      </c>
      <c r="N88" s="20" t="s">
        <v>441</v>
      </c>
      <c r="O88" s="20">
        <v>176600</v>
      </c>
      <c r="P88" s="23">
        <v>2.4</v>
      </c>
      <c r="Q88" s="20">
        <v>0</v>
      </c>
      <c r="R88" s="20">
        <v>0</v>
      </c>
      <c r="S88" s="21">
        <v>1.083</v>
      </c>
      <c r="T88" s="21">
        <v>0</v>
      </c>
      <c r="U88" s="21">
        <v>0</v>
      </c>
      <c r="V88" s="21">
        <v>0</v>
      </c>
      <c r="W88" s="21">
        <v>0</v>
      </c>
      <c r="X88" s="21">
        <v>0</v>
      </c>
      <c r="Y88" s="21">
        <v>0</v>
      </c>
      <c r="Z88" s="21">
        <v>0</v>
      </c>
      <c r="AA88" s="21">
        <v>0</v>
      </c>
      <c r="AB88" s="24">
        <v>0</v>
      </c>
      <c r="AC88" s="24">
        <v>0</v>
      </c>
      <c r="AD88" s="24">
        <v>0</v>
      </c>
      <c r="AE88" s="24">
        <v>0</v>
      </c>
      <c r="AF88" s="24">
        <v>0</v>
      </c>
      <c r="AG88" s="24">
        <v>0</v>
      </c>
      <c r="AH88" s="20">
        <v>0</v>
      </c>
      <c r="AI88" s="20">
        <v>165000</v>
      </c>
      <c r="AK88" s="20">
        <v>0</v>
      </c>
      <c r="AL88" s="20">
        <v>0</v>
      </c>
      <c r="AM88" s="20">
        <v>1</v>
      </c>
    </row>
    <row r="89" spans="1:39" x14ac:dyDescent="0.2">
      <c r="A89" s="20" t="s">
        <v>97</v>
      </c>
      <c r="B89" s="20" t="s">
        <v>98</v>
      </c>
      <c r="C89" s="20" t="s">
        <v>232</v>
      </c>
      <c r="D89" s="20" t="s">
        <v>442</v>
      </c>
      <c r="E89" s="20" t="s">
        <v>443</v>
      </c>
      <c r="H89" s="20" t="s">
        <v>99</v>
      </c>
      <c r="J89" s="20">
        <v>0</v>
      </c>
      <c r="L89" s="20" t="s">
        <v>219</v>
      </c>
      <c r="M89" s="20" t="s">
        <v>220</v>
      </c>
      <c r="N89" s="20" t="s">
        <v>444</v>
      </c>
      <c r="O89" s="20">
        <v>191900</v>
      </c>
      <c r="P89" s="23">
        <v>2.4</v>
      </c>
      <c r="Q89" s="20">
        <v>0</v>
      </c>
      <c r="R89" s="20">
        <v>0</v>
      </c>
      <c r="S89" s="21">
        <v>1.1759999999999999</v>
      </c>
      <c r="T89" s="21">
        <v>0</v>
      </c>
      <c r="U89" s="21">
        <v>0</v>
      </c>
      <c r="V89" s="21">
        <v>0</v>
      </c>
      <c r="W89" s="21">
        <v>0</v>
      </c>
      <c r="X89" s="21">
        <v>0</v>
      </c>
      <c r="Y89" s="21">
        <v>0</v>
      </c>
      <c r="Z89" s="21">
        <v>0</v>
      </c>
      <c r="AA89" s="21">
        <v>0</v>
      </c>
      <c r="AB89" s="24">
        <v>0</v>
      </c>
      <c r="AC89" s="24">
        <v>0</v>
      </c>
      <c r="AD89" s="24">
        <v>0</v>
      </c>
      <c r="AE89" s="24">
        <v>0</v>
      </c>
      <c r="AF89" s="24">
        <v>0</v>
      </c>
      <c r="AG89" s="24">
        <v>0</v>
      </c>
      <c r="AH89" s="20">
        <v>0</v>
      </c>
      <c r="AI89" s="20">
        <v>179300</v>
      </c>
      <c r="AK89" s="20">
        <v>0</v>
      </c>
      <c r="AL89" s="20">
        <v>0</v>
      </c>
      <c r="AM89" s="20">
        <v>1</v>
      </c>
    </row>
    <row r="90" spans="1:39" x14ac:dyDescent="0.2">
      <c r="A90" s="20" t="s">
        <v>97</v>
      </c>
      <c r="B90" s="20" t="s">
        <v>98</v>
      </c>
      <c r="C90" s="20" t="s">
        <v>232</v>
      </c>
      <c r="D90" s="20" t="s">
        <v>445</v>
      </c>
      <c r="E90" s="20" t="s">
        <v>446</v>
      </c>
      <c r="H90" s="20" t="s">
        <v>99</v>
      </c>
      <c r="J90" s="20">
        <v>0</v>
      </c>
      <c r="L90" s="20" t="s">
        <v>473</v>
      </c>
      <c r="M90" s="20" t="s">
        <v>474</v>
      </c>
      <c r="N90" s="20" t="s">
        <v>447</v>
      </c>
      <c r="O90" s="20">
        <v>140100</v>
      </c>
      <c r="P90" s="23">
        <v>2.4</v>
      </c>
      <c r="Q90" s="20">
        <v>0</v>
      </c>
      <c r="R90" s="20">
        <v>0</v>
      </c>
      <c r="S90" s="21">
        <v>0.85899999999999999</v>
      </c>
      <c r="T90" s="21">
        <v>0</v>
      </c>
      <c r="U90" s="21">
        <v>0</v>
      </c>
      <c r="V90" s="21">
        <v>0</v>
      </c>
      <c r="W90" s="21">
        <v>0</v>
      </c>
      <c r="X90" s="21">
        <v>0</v>
      </c>
      <c r="Y90" s="21">
        <v>0</v>
      </c>
      <c r="Z90" s="21">
        <v>0</v>
      </c>
      <c r="AA90" s="21">
        <v>0</v>
      </c>
      <c r="AB90" s="24">
        <v>0</v>
      </c>
      <c r="AC90" s="24">
        <v>0</v>
      </c>
      <c r="AD90" s="24">
        <v>0</v>
      </c>
      <c r="AE90" s="24">
        <v>0</v>
      </c>
      <c r="AF90" s="24">
        <v>0</v>
      </c>
      <c r="AG90" s="24">
        <v>0</v>
      </c>
      <c r="AH90" s="20">
        <v>0</v>
      </c>
      <c r="AI90" s="20">
        <v>130900</v>
      </c>
      <c r="AK90" s="20">
        <v>0</v>
      </c>
      <c r="AL90" s="20">
        <v>0</v>
      </c>
      <c r="AM90" s="20">
        <v>1</v>
      </c>
    </row>
    <row r="91" spans="1:39" x14ac:dyDescent="0.2">
      <c r="A91" s="20" t="s">
        <v>97</v>
      </c>
      <c r="B91" s="20" t="s">
        <v>98</v>
      </c>
      <c r="C91" s="20" t="s">
        <v>232</v>
      </c>
      <c r="D91" s="20" t="s">
        <v>448</v>
      </c>
      <c r="E91" s="20" t="s">
        <v>449</v>
      </c>
      <c r="H91" s="20" t="s">
        <v>99</v>
      </c>
      <c r="J91" s="20">
        <v>0</v>
      </c>
      <c r="L91" s="20" t="s">
        <v>221</v>
      </c>
      <c r="M91" s="20" t="s">
        <v>222</v>
      </c>
      <c r="N91" s="20" t="s">
        <v>450</v>
      </c>
      <c r="O91" s="20">
        <v>166500</v>
      </c>
      <c r="P91" s="23">
        <v>2.4</v>
      </c>
      <c r="Q91" s="20">
        <v>0</v>
      </c>
      <c r="R91" s="20">
        <v>0</v>
      </c>
      <c r="S91" s="21">
        <v>1.228</v>
      </c>
      <c r="T91" s="21">
        <v>0</v>
      </c>
      <c r="U91" s="21">
        <v>0</v>
      </c>
      <c r="V91" s="21">
        <v>0</v>
      </c>
      <c r="W91" s="21">
        <v>0</v>
      </c>
      <c r="X91" s="21">
        <v>0</v>
      </c>
      <c r="Y91" s="21">
        <v>0</v>
      </c>
      <c r="Z91" s="21">
        <v>0</v>
      </c>
      <c r="AA91" s="21">
        <v>0</v>
      </c>
      <c r="AB91" s="24">
        <v>0</v>
      </c>
      <c r="AC91" s="24">
        <v>0</v>
      </c>
      <c r="AD91" s="24">
        <v>0</v>
      </c>
      <c r="AE91" s="24">
        <v>0</v>
      </c>
      <c r="AF91" s="24">
        <v>0</v>
      </c>
      <c r="AG91" s="24">
        <v>0</v>
      </c>
      <c r="AH91" s="20">
        <v>29500</v>
      </c>
      <c r="AI91" s="20">
        <v>155600</v>
      </c>
      <c r="AK91" s="20">
        <v>0</v>
      </c>
      <c r="AL91" s="20">
        <v>0</v>
      </c>
      <c r="AM91" s="20">
        <v>1</v>
      </c>
    </row>
    <row r="92" spans="1:39" x14ac:dyDescent="0.2">
      <c r="A92" s="20" t="s">
        <v>97</v>
      </c>
      <c r="B92" s="20" t="s">
        <v>98</v>
      </c>
      <c r="C92" s="20" t="s">
        <v>223</v>
      </c>
      <c r="D92" s="20" t="s">
        <v>283</v>
      </c>
      <c r="E92" s="20" t="s">
        <v>451</v>
      </c>
      <c r="H92" s="20" t="s">
        <v>99</v>
      </c>
      <c r="J92" s="20">
        <v>0</v>
      </c>
      <c r="L92" s="20" t="s">
        <v>224</v>
      </c>
      <c r="M92" s="20" t="s">
        <v>467</v>
      </c>
      <c r="N92" s="20" t="s">
        <v>452</v>
      </c>
      <c r="O92" s="20">
        <v>0</v>
      </c>
      <c r="P92" s="23">
        <v>0</v>
      </c>
      <c r="Q92" s="20">
        <v>0</v>
      </c>
      <c r="R92" s="20">
        <v>0</v>
      </c>
      <c r="S92" s="21">
        <v>0</v>
      </c>
      <c r="T92" s="21">
        <v>0</v>
      </c>
      <c r="U92" s="21">
        <v>0</v>
      </c>
      <c r="V92" s="21">
        <v>0</v>
      </c>
      <c r="W92" s="21">
        <v>0</v>
      </c>
      <c r="X92" s="21">
        <v>0</v>
      </c>
      <c r="Y92" s="21">
        <v>0</v>
      </c>
      <c r="Z92" s="21">
        <v>0</v>
      </c>
      <c r="AA92" s="21">
        <v>0</v>
      </c>
      <c r="AB92" s="24">
        <v>0</v>
      </c>
      <c r="AC92" s="24">
        <v>0</v>
      </c>
      <c r="AD92" s="24">
        <v>0</v>
      </c>
      <c r="AE92" s="24">
        <v>0</v>
      </c>
      <c r="AF92" s="24">
        <v>0</v>
      </c>
      <c r="AG92" s="24">
        <v>0</v>
      </c>
      <c r="AH92" s="20">
        <v>0</v>
      </c>
      <c r="AI92" s="20">
        <v>0</v>
      </c>
      <c r="AK92" s="20">
        <v>0</v>
      </c>
      <c r="AL92" s="20">
        <v>0</v>
      </c>
      <c r="AM92" s="20">
        <v>1</v>
      </c>
    </row>
    <row r="93" spans="1:39" x14ac:dyDescent="0.2">
      <c r="A93" s="20" t="s">
        <v>97</v>
      </c>
      <c r="B93" s="20" t="s">
        <v>98</v>
      </c>
      <c r="C93" s="20" t="s">
        <v>225</v>
      </c>
      <c r="D93" s="20" t="s">
        <v>258</v>
      </c>
      <c r="E93" s="20" t="s">
        <v>453</v>
      </c>
      <c r="H93" s="20" t="s">
        <v>99</v>
      </c>
      <c r="J93" s="20">
        <v>0</v>
      </c>
      <c r="L93" s="20" t="s">
        <v>226</v>
      </c>
      <c r="M93" s="20" t="s">
        <v>454</v>
      </c>
      <c r="N93" s="20" t="s">
        <v>468</v>
      </c>
      <c r="O93" s="20">
        <v>0</v>
      </c>
      <c r="P93" s="23">
        <v>0</v>
      </c>
      <c r="Q93" s="20">
        <v>0</v>
      </c>
      <c r="R93" s="20">
        <v>0</v>
      </c>
      <c r="S93" s="21">
        <v>0</v>
      </c>
      <c r="T93" s="21">
        <v>0</v>
      </c>
      <c r="U93" s="21">
        <v>0</v>
      </c>
      <c r="V93" s="21">
        <v>0</v>
      </c>
      <c r="W93" s="21">
        <v>0</v>
      </c>
      <c r="X93" s="21">
        <v>0</v>
      </c>
      <c r="Y93" s="21">
        <v>0</v>
      </c>
      <c r="Z93" s="21">
        <v>0</v>
      </c>
      <c r="AA93" s="21">
        <v>0</v>
      </c>
      <c r="AB93" s="24">
        <v>0</v>
      </c>
      <c r="AC93" s="24">
        <v>0</v>
      </c>
      <c r="AD93" s="24">
        <v>0</v>
      </c>
      <c r="AE93" s="24">
        <v>0</v>
      </c>
      <c r="AF93" s="24">
        <v>0</v>
      </c>
      <c r="AG93" s="24">
        <v>0</v>
      </c>
      <c r="AH93" s="20">
        <v>0</v>
      </c>
      <c r="AI93" s="20">
        <v>0</v>
      </c>
      <c r="AK93" s="20">
        <v>0</v>
      </c>
      <c r="AL93" s="20">
        <v>0</v>
      </c>
      <c r="AM93" s="20">
        <v>1</v>
      </c>
    </row>
    <row r="94" spans="1:39" x14ac:dyDescent="0.2">
      <c r="A94" s="20" t="s">
        <v>97</v>
      </c>
      <c r="B94" s="20" t="s">
        <v>98</v>
      </c>
      <c r="C94" s="20" t="s">
        <v>227</v>
      </c>
      <c r="D94" s="20" t="s">
        <v>261</v>
      </c>
      <c r="E94" s="20" t="s">
        <v>469</v>
      </c>
      <c r="H94" s="20" t="s">
        <v>99</v>
      </c>
      <c r="J94" s="20">
        <v>0</v>
      </c>
      <c r="L94" s="20" t="s">
        <v>470</v>
      </c>
      <c r="M94" s="20" t="s">
        <v>471</v>
      </c>
      <c r="N94" s="20" t="s">
        <v>472</v>
      </c>
      <c r="O94" s="20">
        <v>0</v>
      </c>
      <c r="P94" s="23">
        <v>0</v>
      </c>
      <c r="Q94" s="20">
        <v>0</v>
      </c>
      <c r="R94" s="20">
        <v>0</v>
      </c>
      <c r="S94" s="21">
        <v>0</v>
      </c>
      <c r="T94" s="21">
        <v>0</v>
      </c>
      <c r="U94" s="21">
        <v>0</v>
      </c>
      <c r="V94" s="21">
        <v>0</v>
      </c>
      <c r="W94" s="21">
        <v>0</v>
      </c>
      <c r="X94" s="21">
        <v>0</v>
      </c>
      <c r="Y94" s="21">
        <v>0</v>
      </c>
      <c r="Z94" s="21">
        <v>0</v>
      </c>
      <c r="AA94" s="21">
        <v>0</v>
      </c>
      <c r="AB94" s="24">
        <v>0</v>
      </c>
      <c r="AC94" s="24">
        <v>0</v>
      </c>
      <c r="AD94" s="24">
        <v>0</v>
      </c>
      <c r="AE94" s="24">
        <v>0</v>
      </c>
      <c r="AF94" s="24">
        <v>0</v>
      </c>
      <c r="AG94" s="24">
        <v>0</v>
      </c>
      <c r="AH94" s="20">
        <v>0</v>
      </c>
      <c r="AI94" s="20">
        <v>0</v>
      </c>
      <c r="AK94" s="20">
        <v>0</v>
      </c>
      <c r="AL94" s="20">
        <v>0</v>
      </c>
      <c r="AM94" s="20">
        <v>1</v>
      </c>
    </row>
    <row r="97" spans="1:3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113" spans="1:4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</row>
    <row r="114" spans="1:4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</row>
    <row r="115" spans="1:4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</row>
    <row r="116" spans="1:4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</row>
    <row r="117" spans="1:4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</row>
    <row r="118" spans="1:4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</row>
    <row r="119" spans="1:4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</row>
    <row r="120" spans="1:4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</row>
    <row r="121" spans="1:4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</row>
    <row r="122" spans="1:4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</row>
    <row r="123" spans="1:4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</row>
    <row r="124" spans="1:4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</row>
    <row r="125" spans="1:4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</row>
    <row r="126" spans="1:4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</row>
    <row r="127" spans="1:4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</row>
    <row r="128" spans="1:4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</row>
    <row r="129" spans="1:4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</row>
    <row r="130" spans="1:4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</row>
    <row r="131" spans="1:4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</row>
    <row r="132" spans="1:4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</row>
    <row r="133" spans="1:4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</row>
    <row r="134" spans="1:4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</row>
    <row r="135" spans="1:4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</row>
    <row r="136" spans="1:4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</row>
    <row r="137" spans="1:4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</row>
    <row r="138" spans="1:4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</row>
    <row r="139" spans="1:4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</row>
    <row r="140" spans="1:4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</row>
    <row r="141" spans="1:4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</row>
    <row r="142" spans="1:4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</row>
    <row r="143" spans="1:4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</row>
    <row r="144" spans="1:4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</row>
    <row r="145" spans="1:4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</row>
    <row r="146" spans="1:4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</row>
    <row r="147" spans="1:4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</row>
    <row r="148" spans="1:4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</row>
    <row r="149" spans="1:4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</row>
    <row r="150" spans="1:4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</row>
    <row r="151" spans="1:4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</row>
    <row r="152" spans="1:4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</row>
    <row r="153" spans="1:4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</row>
    <row r="154" spans="1:4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</row>
    <row r="155" spans="1:4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</row>
    <row r="156" spans="1:4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</row>
    <row r="157" spans="1:4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</row>
    <row r="158" spans="1:4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</row>
    <row r="159" spans="1:4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</row>
    <row r="160" spans="1:4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</row>
    <row r="161" spans="1:4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</row>
    <row r="162" spans="1:4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</row>
    <row r="163" spans="1:4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</row>
    <row r="164" spans="1:4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</row>
    <row r="165" spans="1:4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</row>
    <row r="166" spans="1:4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</row>
    <row r="167" spans="1:4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</row>
    <row r="168" spans="1:4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</row>
    <row r="169" spans="1:4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</row>
    <row r="170" spans="1:4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</row>
    <row r="171" spans="1:4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</row>
    <row r="172" spans="1:4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</row>
    <row r="173" spans="1:4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</row>
    <row r="174" spans="1:4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</row>
    <row r="175" spans="1:4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</row>
    <row r="176" spans="1:4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</row>
    <row r="177" spans="1:4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</row>
    <row r="178" spans="1:4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</row>
    <row r="179" spans="1:4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</row>
    <row r="180" spans="1:4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</row>
    <row r="181" spans="1:4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</row>
    <row r="182" spans="1:4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</row>
    <row r="183" spans="1:4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</row>
    <row r="184" spans="1:4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</row>
    <row r="185" spans="1:4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</row>
    <row r="186" spans="1:4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</row>
    <row r="187" spans="1:4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</row>
    <row r="188" spans="1:4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</row>
    <row r="189" spans="1:4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</row>
    <row r="190" spans="1:4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</row>
    <row r="191" spans="1:4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</row>
    <row r="192" spans="1:4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</row>
    <row r="193" spans="1:4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</row>
    <row r="194" spans="1:4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</row>
    <row r="195" spans="1:4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</row>
    <row r="196" spans="1:4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</row>
    <row r="197" spans="1:4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</row>
    <row r="198" spans="1:4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</row>
    <row r="199" spans="1:4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</row>
    <row r="200" spans="1:4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</row>
    <row r="201" spans="1:4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</row>
    <row r="202" spans="1:4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</row>
    <row r="203" spans="1:4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</row>
    <row r="204" spans="1:4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</row>
    <row r="205" spans="1:4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</row>
    <row r="206" spans="1:4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</row>
    <row r="207" spans="1:4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</row>
    <row r="208" spans="1:4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</row>
    <row r="209" spans="1:4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</row>
    <row r="210" spans="1:4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</row>
    <row r="211" spans="1:4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</row>
    <row r="212" spans="1:4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</row>
    <row r="213" spans="1:4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</row>
    <row r="214" spans="1:4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</row>
    <row r="215" spans="1:4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</row>
    <row r="216" spans="1:4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</row>
    <row r="217" spans="1:4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</row>
    <row r="218" spans="1:4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</row>
    <row r="219" spans="1:4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</row>
    <row r="220" spans="1:4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</row>
    <row r="221" spans="1:4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</row>
    <row r="222" spans="1:4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</row>
    <row r="223" spans="1:41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</row>
    <row r="224" spans="1:4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</row>
    <row r="225" spans="1:4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</row>
    <row r="226" spans="1:4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</row>
    <row r="227" spans="1:4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</row>
    <row r="228" spans="1:4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</row>
    <row r="229" spans="1:4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</row>
    <row r="230" spans="1:4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</row>
    <row r="231" spans="1:4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</row>
    <row r="232" spans="1:4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</row>
    <row r="233" spans="1:4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</row>
    <row r="234" spans="1:4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</row>
    <row r="235" spans="1:4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</row>
    <row r="236" spans="1:4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</row>
    <row r="237" spans="1:4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</row>
    <row r="238" spans="1:4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</row>
    <row r="239" spans="1:4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</row>
    <row r="240" spans="1:4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</row>
    <row r="241" spans="1:4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</row>
    <row r="242" spans="1:4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</row>
    <row r="243" spans="1:4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</row>
    <row r="244" spans="1:4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</row>
    <row r="245" spans="1:4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</row>
    <row r="246" spans="1:4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</row>
    <row r="247" spans="1:4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</row>
    <row r="248" spans="1:4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</row>
    <row r="249" spans="1:4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</row>
    <row r="250" spans="1:4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</row>
    <row r="251" spans="1:4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</row>
    <row r="252" spans="1:4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</row>
    <row r="253" spans="1:4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</row>
    <row r="254" spans="1:4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</row>
    <row r="255" spans="1:4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</row>
    <row r="256" spans="1:4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</row>
    <row r="257" spans="1:3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</row>
    <row r="258" spans="1:3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</row>
    <row r="259" spans="1:3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</row>
    <row r="260" spans="1:3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</row>
    <row r="261" spans="1:3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</row>
    <row r="262" spans="1:3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</row>
    <row r="263" spans="1:3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</row>
    <row r="264" spans="1:3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</row>
    <row r="265" spans="1:3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</row>
    <row r="266" spans="1:3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</row>
    <row r="267" spans="1:3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</row>
    <row r="268" spans="1:3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</row>
    <row r="269" spans="1:3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</row>
    <row r="270" spans="1:3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</row>
    <row r="271" spans="1:3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</row>
    <row r="272" spans="1:3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</row>
    <row r="273" spans="1:3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</row>
    <row r="274" spans="1:3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</row>
    <row r="275" spans="1:3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</row>
  </sheetData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E275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20" customWidth="1"/>
    <col min="2" max="3" width="2.7109375" style="20" customWidth="1"/>
    <col min="4" max="4" width="4.7109375" style="20" customWidth="1"/>
    <col min="5" max="5" width="8.7109375" style="20" customWidth="1"/>
    <col min="6" max="7" width="4.7109375" style="20" customWidth="1"/>
    <col min="8" max="8" width="6.7109375" style="20" customWidth="1"/>
    <col min="9" max="9" width="4.7109375" style="20" customWidth="1"/>
    <col min="10" max="33" width="9.7109375" style="20" customWidth="1"/>
    <col min="34" max="41" width="9.7109375" style="21" customWidth="1"/>
    <col min="42" max="44" width="10.7109375" style="22" customWidth="1"/>
    <col min="45" max="56" width="9.7109375" style="20" customWidth="1"/>
    <col min="57" max="57" width="1.7109375" style="20" customWidth="1"/>
  </cols>
  <sheetData>
    <row r="1" spans="1:57" x14ac:dyDescent="0.2">
      <c r="A1" s="20" t="s">
        <v>10</v>
      </c>
      <c r="B1" s="20" t="s">
        <v>11</v>
      </c>
      <c r="C1" s="20" t="s">
        <v>12</v>
      </c>
      <c r="D1" s="20" t="s">
        <v>13</v>
      </c>
      <c r="E1" s="20" t="s">
        <v>14</v>
      </c>
      <c r="F1" s="20" t="s">
        <v>15</v>
      </c>
      <c r="G1" s="20" t="s">
        <v>16</v>
      </c>
      <c r="H1" s="20" t="s">
        <v>17</v>
      </c>
      <c r="I1" s="20" t="s">
        <v>18</v>
      </c>
      <c r="J1" s="20" t="s">
        <v>19</v>
      </c>
      <c r="K1" s="20" t="s">
        <v>20</v>
      </c>
      <c r="L1" s="20" t="s">
        <v>21</v>
      </c>
      <c r="M1" s="20" t="s">
        <v>22</v>
      </c>
      <c r="N1" s="20" t="s">
        <v>23</v>
      </c>
      <c r="O1" s="20" t="s">
        <v>24</v>
      </c>
      <c r="P1" s="20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20" t="s">
        <v>31</v>
      </c>
      <c r="W1" s="20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20" t="s">
        <v>38</v>
      </c>
      <c r="AD1" s="20" t="s">
        <v>39</v>
      </c>
      <c r="AE1" s="20" t="s">
        <v>40</v>
      </c>
      <c r="AF1" s="20" t="s">
        <v>41</v>
      </c>
      <c r="AG1" s="20" t="s">
        <v>42</v>
      </c>
      <c r="AH1" s="21" t="s">
        <v>43</v>
      </c>
      <c r="AI1" s="21" t="s">
        <v>44</v>
      </c>
      <c r="AJ1" s="21" t="s">
        <v>45</v>
      </c>
      <c r="AK1" s="21" t="s">
        <v>46</v>
      </c>
      <c r="AL1" s="21" t="s">
        <v>47</v>
      </c>
      <c r="AM1" s="21" t="s">
        <v>48</v>
      </c>
      <c r="AN1" s="21" t="s">
        <v>87</v>
      </c>
      <c r="AO1" s="21" t="s">
        <v>49</v>
      </c>
      <c r="AP1" s="22" t="s">
        <v>50</v>
      </c>
      <c r="AQ1" s="22" t="s">
        <v>51</v>
      </c>
      <c r="AR1" s="22" t="s">
        <v>52</v>
      </c>
      <c r="AS1" s="20" t="s">
        <v>53</v>
      </c>
      <c r="AT1" s="20" t="s">
        <v>54</v>
      </c>
      <c r="AU1" s="20" t="s">
        <v>55</v>
      </c>
      <c r="AV1" s="20" t="s">
        <v>56</v>
      </c>
      <c r="AW1" s="20" t="s">
        <v>57</v>
      </c>
      <c r="AX1" s="20" t="s">
        <v>58</v>
      </c>
      <c r="AY1" s="20" t="s">
        <v>59</v>
      </c>
      <c r="AZ1" s="20" t="s">
        <v>60</v>
      </c>
      <c r="BA1" s="20" t="s">
        <v>61</v>
      </c>
      <c r="BB1" s="20" t="s">
        <v>62</v>
      </c>
      <c r="BC1" s="20" t="s">
        <v>63</v>
      </c>
      <c r="BD1" s="20" t="s">
        <v>64</v>
      </c>
      <c r="BE1" s="20" t="s">
        <v>65</v>
      </c>
    </row>
    <row r="2" spans="1:57" x14ac:dyDescent="0.2">
      <c r="A2" s="20" t="s">
        <v>97</v>
      </c>
      <c r="B2" s="20" t="s">
        <v>98</v>
      </c>
      <c r="C2" s="20" t="s">
        <v>228</v>
      </c>
      <c r="D2" s="20" t="s">
        <v>234</v>
      </c>
      <c r="E2" s="20" t="s">
        <v>235</v>
      </c>
      <c r="H2" s="20">
        <v>2265</v>
      </c>
      <c r="I2" s="20">
        <v>0</v>
      </c>
      <c r="J2" s="20">
        <v>0</v>
      </c>
      <c r="K2" s="20">
        <v>0</v>
      </c>
      <c r="L2" s="20">
        <v>0</v>
      </c>
      <c r="M2" s="20">
        <v>0</v>
      </c>
      <c r="N2" s="20">
        <v>0</v>
      </c>
      <c r="O2" s="20">
        <v>0</v>
      </c>
      <c r="P2" s="20">
        <v>0</v>
      </c>
      <c r="Q2" s="20">
        <v>0</v>
      </c>
      <c r="R2" s="20">
        <v>176600</v>
      </c>
      <c r="S2" s="20">
        <v>0</v>
      </c>
      <c r="T2" s="20">
        <v>0</v>
      </c>
      <c r="U2" s="20">
        <v>40000</v>
      </c>
      <c r="V2" s="20">
        <v>0</v>
      </c>
      <c r="W2" s="20">
        <v>0</v>
      </c>
      <c r="X2" s="20">
        <v>0</v>
      </c>
      <c r="Y2" s="20">
        <v>0</v>
      </c>
      <c r="Z2" s="20">
        <v>176600</v>
      </c>
      <c r="AA2" s="20">
        <v>0</v>
      </c>
      <c r="AB2" s="20">
        <v>0</v>
      </c>
      <c r="AC2" s="20">
        <v>40000</v>
      </c>
      <c r="AD2" s="20">
        <v>0</v>
      </c>
      <c r="AE2" s="20">
        <v>0</v>
      </c>
      <c r="AF2" s="20">
        <v>0</v>
      </c>
      <c r="AG2" s="20">
        <v>0</v>
      </c>
      <c r="AH2" s="21">
        <v>1.083</v>
      </c>
      <c r="AI2" s="21">
        <v>0</v>
      </c>
      <c r="AJ2" s="21">
        <v>0</v>
      </c>
      <c r="AK2" s="21">
        <v>0</v>
      </c>
      <c r="AL2" s="21">
        <v>0</v>
      </c>
      <c r="AM2" s="21">
        <v>0</v>
      </c>
      <c r="AN2" s="21">
        <v>0</v>
      </c>
      <c r="AO2" s="21">
        <v>0</v>
      </c>
      <c r="AP2" s="22">
        <v>0</v>
      </c>
      <c r="AQ2" s="22">
        <v>0</v>
      </c>
      <c r="AR2" s="22">
        <v>0</v>
      </c>
      <c r="AS2" s="20">
        <v>0</v>
      </c>
      <c r="AT2" s="20">
        <v>216600</v>
      </c>
      <c r="AU2" s="20">
        <v>0</v>
      </c>
      <c r="AV2" s="20">
        <v>216600</v>
      </c>
      <c r="AW2" s="20">
        <v>216600</v>
      </c>
      <c r="AX2" s="20">
        <v>40000</v>
      </c>
      <c r="AY2" s="20">
        <v>0</v>
      </c>
      <c r="AZ2" s="20">
        <v>0</v>
      </c>
      <c r="BA2" s="20">
        <v>0</v>
      </c>
      <c r="BB2" s="20">
        <v>0</v>
      </c>
      <c r="BC2" s="20">
        <v>0</v>
      </c>
      <c r="BD2" s="20">
        <v>0</v>
      </c>
    </row>
    <row r="3" spans="1:57" x14ac:dyDescent="0.2">
      <c r="A3" s="20" t="s">
        <v>97</v>
      </c>
      <c r="B3" s="20" t="s">
        <v>98</v>
      </c>
      <c r="C3" s="20" t="s">
        <v>228</v>
      </c>
      <c r="D3" s="20" t="s">
        <v>237</v>
      </c>
      <c r="E3" s="20" t="s">
        <v>238</v>
      </c>
      <c r="H3" s="20">
        <v>2266</v>
      </c>
      <c r="I3" s="20">
        <v>1</v>
      </c>
      <c r="J3" s="20">
        <v>191900</v>
      </c>
      <c r="K3" s="20">
        <v>0</v>
      </c>
      <c r="L3" s="20">
        <v>0</v>
      </c>
      <c r="M3" s="20">
        <v>40000</v>
      </c>
      <c r="N3" s="20">
        <v>0</v>
      </c>
      <c r="O3" s="20">
        <v>0</v>
      </c>
      <c r="P3" s="20">
        <v>0</v>
      </c>
      <c r="Q3" s="20">
        <v>0</v>
      </c>
      <c r="R3" s="20">
        <v>191900</v>
      </c>
      <c r="S3" s="20">
        <v>4610</v>
      </c>
      <c r="T3" s="20">
        <v>0</v>
      </c>
      <c r="U3" s="20">
        <v>40000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1">
        <v>1.1759999999999999</v>
      </c>
      <c r="AI3" s="21">
        <v>0</v>
      </c>
      <c r="AJ3" s="21">
        <v>0</v>
      </c>
      <c r="AK3" s="21">
        <v>0</v>
      </c>
      <c r="AL3" s="21">
        <v>0</v>
      </c>
      <c r="AM3" s="21">
        <v>0</v>
      </c>
      <c r="AN3" s="21">
        <v>0</v>
      </c>
      <c r="AO3" s="21">
        <v>0</v>
      </c>
      <c r="AP3" s="22">
        <v>0</v>
      </c>
      <c r="AQ3" s="22">
        <v>0</v>
      </c>
      <c r="AR3" s="22">
        <v>0</v>
      </c>
      <c r="AS3" s="20">
        <v>0</v>
      </c>
      <c r="AT3" s="20">
        <v>468410</v>
      </c>
      <c r="AU3" s="20">
        <v>0</v>
      </c>
      <c r="AV3" s="20">
        <v>0</v>
      </c>
      <c r="AW3" s="20">
        <v>468410</v>
      </c>
      <c r="AX3" s="20">
        <v>40000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</row>
    <row r="4" spans="1:57" x14ac:dyDescent="0.2">
      <c r="A4" s="20" t="s">
        <v>97</v>
      </c>
      <c r="B4" s="20" t="s">
        <v>98</v>
      </c>
      <c r="C4" s="20" t="s">
        <v>228</v>
      </c>
      <c r="D4" s="20" t="s">
        <v>240</v>
      </c>
      <c r="E4" s="20" t="s">
        <v>241</v>
      </c>
      <c r="H4" s="20">
        <v>2267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140100</v>
      </c>
      <c r="S4" s="20">
        <v>0</v>
      </c>
      <c r="T4" s="20">
        <v>33700</v>
      </c>
      <c r="U4" s="20">
        <v>40000</v>
      </c>
      <c r="V4" s="20">
        <v>0</v>
      </c>
      <c r="W4" s="20">
        <v>0</v>
      </c>
      <c r="X4" s="20">
        <v>0</v>
      </c>
      <c r="Y4" s="20">
        <v>0</v>
      </c>
      <c r="Z4" s="20">
        <v>140100</v>
      </c>
      <c r="AA4" s="20">
        <v>0</v>
      </c>
      <c r="AB4" s="20">
        <v>33700</v>
      </c>
      <c r="AC4" s="20">
        <v>40000</v>
      </c>
      <c r="AD4" s="20">
        <v>0</v>
      </c>
      <c r="AE4" s="20">
        <v>0</v>
      </c>
      <c r="AF4" s="20">
        <v>0</v>
      </c>
      <c r="AG4" s="20">
        <v>0</v>
      </c>
      <c r="AH4" s="21">
        <v>0.85899999999999999</v>
      </c>
      <c r="AI4" s="21">
        <v>0</v>
      </c>
      <c r="AJ4" s="21">
        <v>0</v>
      </c>
      <c r="AK4" s="21">
        <v>0</v>
      </c>
      <c r="AL4" s="21">
        <v>0</v>
      </c>
      <c r="AM4" s="21">
        <v>0</v>
      </c>
      <c r="AN4" s="21">
        <v>0</v>
      </c>
      <c r="AO4" s="21">
        <v>0</v>
      </c>
      <c r="AP4" s="22">
        <v>0</v>
      </c>
      <c r="AQ4" s="22">
        <v>0</v>
      </c>
      <c r="AR4" s="22">
        <v>0</v>
      </c>
      <c r="AS4" s="20">
        <v>0</v>
      </c>
      <c r="AT4" s="20">
        <v>213800</v>
      </c>
      <c r="AU4" s="20">
        <v>0</v>
      </c>
      <c r="AV4" s="20">
        <v>213800</v>
      </c>
      <c r="AW4" s="20">
        <v>213800</v>
      </c>
      <c r="AX4" s="20">
        <v>40000</v>
      </c>
      <c r="AY4" s="20">
        <v>0</v>
      </c>
      <c r="AZ4" s="20">
        <v>0</v>
      </c>
      <c r="BA4" s="20">
        <v>33700</v>
      </c>
      <c r="BB4" s="20">
        <v>0</v>
      </c>
      <c r="BC4" s="20">
        <v>0</v>
      </c>
      <c r="BD4" s="20">
        <v>0</v>
      </c>
    </row>
    <row r="5" spans="1:57" x14ac:dyDescent="0.2">
      <c r="A5" s="20" t="s">
        <v>97</v>
      </c>
      <c r="B5" s="20" t="s">
        <v>98</v>
      </c>
      <c r="C5" s="20" t="s">
        <v>228</v>
      </c>
      <c r="D5" s="20" t="s">
        <v>243</v>
      </c>
      <c r="E5" s="20" t="s">
        <v>244</v>
      </c>
      <c r="H5" s="20">
        <v>2268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166500</v>
      </c>
      <c r="S5" s="20">
        <v>0</v>
      </c>
      <c r="T5" s="20">
        <v>0</v>
      </c>
      <c r="U5" s="20">
        <v>40000</v>
      </c>
      <c r="V5" s="20">
        <v>0</v>
      </c>
      <c r="W5" s="20">
        <v>0</v>
      </c>
      <c r="X5" s="20">
        <v>0</v>
      </c>
      <c r="Y5" s="20">
        <v>0</v>
      </c>
      <c r="Z5" s="20">
        <v>166500</v>
      </c>
      <c r="AA5" s="20">
        <v>0</v>
      </c>
      <c r="AB5" s="20">
        <v>0</v>
      </c>
      <c r="AC5" s="20">
        <v>40000</v>
      </c>
      <c r="AD5" s="20">
        <v>0</v>
      </c>
      <c r="AE5" s="20">
        <v>0</v>
      </c>
      <c r="AF5" s="20">
        <v>0</v>
      </c>
      <c r="AG5" s="20">
        <v>0</v>
      </c>
      <c r="AH5" s="21">
        <v>1.0209999999999999</v>
      </c>
      <c r="AI5" s="21">
        <v>0</v>
      </c>
      <c r="AJ5" s="21">
        <v>0</v>
      </c>
      <c r="AK5" s="21">
        <v>0</v>
      </c>
      <c r="AL5" s="21">
        <v>0</v>
      </c>
      <c r="AM5" s="21">
        <v>0</v>
      </c>
      <c r="AN5" s="21">
        <v>0</v>
      </c>
      <c r="AO5" s="21">
        <v>0</v>
      </c>
      <c r="AP5" s="22">
        <v>0</v>
      </c>
      <c r="AQ5" s="22">
        <v>0</v>
      </c>
      <c r="AR5" s="22">
        <v>0</v>
      </c>
      <c r="AS5" s="20">
        <v>0</v>
      </c>
      <c r="AT5" s="20">
        <v>206500</v>
      </c>
      <c r="AU5" s="20">
        <v>0</v>
      </c>
      <c r="AV5" s="20">
        <v>206500</v>
      </c>
      <c r="AW5" s="20">
        <v>206500</v>
      </c>
      <c r="AX5" s="20">
        <v>40000</v>
      </c>
      <c r="AY5" s="20">
        <v>0</v>
      </c>
      <c r="AZ5" s="20">
        <v>0</v>
      </c>
      <c r="BA5" s="20">
        <v>0</v>
      </c>
      <c r="BB5" s="20">
        <v>0</v>
      </c>
      <c r="BC5" s="20">
        <v>0</v>
      </c>
      <c r="BD5" s="20">
        <v>0</v>
      </c>
    </row>
    <row r="6" spans="1:57" x14ac:dyDescent="0.2">
      <c r="A6" s="20" t="s">
        <v>97</v>
      </c>
      <c r="B6" s="20" t="s">
        <v>98</v>
      </c>
      <c r="C6" s="20" t="s">
        <v>228</v>
      </c>
      <c r="D6" s="20" t="s">
        <v>246</v>
      </c>
      <c r="E6" s="20" t="s">
        <v>247</v>
      </c>
      <c r="H6" s="20">
        <v>2269</v>
      </c>
      <c r="I6" s="20">
        <v>0</v>
      </c>
      <c r="J6" s="20">
        <v>0</v>
      </c>
      <c r="K6" s="20">
        <v>0</v>
      </c>
      <c r="L6" s="20">
        <v>0</v>
      </c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>
        <v>176600</v>
      </c>
      <c r="S6" s="20">
        <v>0</v>
      </c>
      <c r="T6" s="20">
        <v>0</v>
      </c>
      <c r="U6" s="20">
        <v>40000</v>
      </c>
      <c r="V6" s="20">
        <v>0</v>
      </c>
      <c r="W6" s="20">
        <v>0</v>
      </c>
      <c r="X6" s="20">
        <v>0</v>
      </c>
      <c r="Y6" s="20">
        <v>0</v>
      </c>
      <c r="Z6" s="20">
        <v>354400</v>
      </c>
      <c r="AA6" s="20">
        <v>4300</v>
      </c>
      <c r="AB6" s="20">
        <v>0</v>
      </c>
      <c r="AC6" s="20">
        <v>80000</v>
      </c>
      <c r="AD6" s="20">
        <v>0</v>
      </c>
      <c r="AE6" s="20">
        <v>0</v>
      </c>
      <c r="AF6" s="20">
        <v>0</v>
      </c>
      <c r="AG6" s="20">
        <v>0</v>
      </c>
      <c r="AH6" s="21">
        <v>1.083</v>
      </c>
      <c r="AI6" s="21">
        <v>0</v>
      </c>
      <c r="AJ6" s="21">
        <v>0</v>
      </c>
      <c r="AK6" s="21">
        <v>0</v>
      </c>
      <c r="AL6" s="21">
        <v>0</v>
      </c>
      <c r="AM6" s="21">
        <v>0</v>
      </c>
      <c r="AN6" s="21">
        <v>0</v>
      </c>
      <c r="AO6" s="21">
        <v>0</v>
      </c>
      <c r="AP6" s="22">
        <v>0</v>
      </c>
      <c r="AQ6" s="22">
        <v>0</v>
      </c>
      <c r="AR6" s="22">
        <v>0</v>
      </c>
      <c r="AS6" s="20">
        <v>0</v>
      </c>
      <c r="AT6" s="20">
        <v>216600</v>
      </c>
      <c r="AU6" s="20">
        <v>0</v>
      </c>
      <c r="AV6" s="20">
        <v>438700</v>
      </c>
      <c r="AW6" s="20">
        <v>216600</v>
      </c>
      <c r="AX6" s="20">
        <v>40000</v>
      </c>
      <c r="AY6" s="20">
        <v>0</v>
      </c>
      <c r="AZ6" s="20">
        <v>0</v>
      </c>
      <c r="BA6" s="20">
        <v>0</v>
      </c>
      <c r="BB6" s="20">
        <v>0</v>
      </c>
      <c r="BC6" s="20">
        <v>0</v>
      </c>
      <c r="BD6" s="20">
        <v>0</v>
      </c>
    </row>
    <row r="7" spans="1:57" x14ac:dyDescent="0.2">
      <c r="A7" s="20" t="s">
        <v>97</v>
      </c>
      <c r="B7" s="20" t="s">
        <v>98</v>
      </c>
      <c r="C7" s="20" t="s">
        <v>228</v>
      </c>
      <c r="D7" s="20" t="s">
        <v>249</v>
      </c>
      <c r="E7" s="20" t="s">
        <v>250</v>
      </c>
      <c r="H7" s="20">
        <v>2270</v>
      </c>
      <c r="I7" s="20">
        <v>2</v>
      </c>
      <c r="J7" s="20">
        <v>383800</v>
      </c>
      <c r="K7" s="20">
        <v>5410</v>
      </c>
      <c r="L7" s="20">
        <v>67400</v>
      </c>
      <c r="M7" s="20">
        <v>80000</v>
      </c>
      <c r="N7" s="20">
        <v>0</v>
      </c>
      <c r="O7" s="20">
        <v>0</v>
      </c>
      <c r="P7" s="20">
        <v>0</v>
      </c>
      <c r="Q7" s="20">
        <v>0</v>
      </c>
      <c r="R7" s="20">
        <v>191900</v>
      </c>
      <c r="S7" s="20">
        <v>10830</v>
      </c>
      <c r="T7" s="20">
        <v>33700</v>
      </c>
      <c r="U7" s="20">
        <v>40000</v>
      </c>
      <c r="V7" s="20">
        <v>0</v>
      </c>
      <c r="W7" s="20">
        <v>0</v>
      </c>
      <c r="X7" s="20">
        <v>0</v>
      </c>
      <c r="Y7" s="20">
        <v>0</v>
      </c>
      <c r="Z7" s="20">
        <v>0</v>
      </c>
      <c r="AA7" s="20">
        <v>0</v>
      </c>
      <c r="AB7" s="20">
        <v>0</v>
      </c>
      <c r="AC7" s="20">
        <v>0</v>
      </c>
      <c r="AD7" s="20">
        <v>0</v>
      </c>
      <c r="AE7" s="20">
        <v>0</v>
      </c>
      <c r="AF7" s="20">
        <v>0</v>
      </c>
      <c r="AG7" s="20">
        <v>0</v>
      </c>
      <c r="AH7" s="21">
        <v>1.383</v>
      </c>
      <c r="AI7" s="21">
        <v>0</v>
      </c>
      <c r="AJ7" s="21">
        <v>0</v>
      </c>
      <c r="AK7" s="21">
        <v>0</v>
      </c>
      <c r="AL7" s="21">
        <v>0</v>
      </c>
      <c r="AM7" s="21">
        <v>0</v>
      </c>
      <c r="AN7" s="21">
        <v>0</v>
      </c>
      <c r="AO7" s="21">
        <v>0</v>
      </c>
      <c r="AP7" s="22">
        <v>0</v>
      </c>
      <c r="AQ7" s="22">
        <v>0</v>
      </c>
      <c r="AR7" s="22">
        <v>0</v>
      </c>
      <c r="AS7" s="20">
        <v>0</v>
      </c>
      <c r="AT7" s="20">
        <v>813040</v>
      </c>
      <c r="AU7" s="20">
        <v>0</v>
      </c>
      <c r="AV7" s="20">
        <v>0</v>
      </c>
      <c r="AW7" s="20">
        <v>813040</v>
      </c>
      <c r="AX7" s="20">
        <v>40000</v>
      </c>
      <c r="AY7" s="20">
        <v>0</v>
      </c>
      <c r="AZ7" s="20">
        <v>0</v>
      </c>
      <c r="BA7" s="20">
        <v>33700</v>
      </c>
      <c r="BB7" s="20">
        <v>0</v>
      </c>
      <c r="BC7" s="20">
        <v>0</v>
      </c>
      <c r="BD7" s="20">
        <v>0</v>
      </c>
    </row>
    <row r="8" spans="1:57" x14ac:dyDescent="0.2">
      <c r="A8" s="20" t="s">
        <v>97</v>
      </c>
      <c r="B8" s="20" t="s">
        <v>98</v>
      </c>
      <c r="C8" s="20" t="s">
        <v>228</v>
      </c>
      <c r="D8" s="20" t="s">
        <v>252</v>
      </c>
      <c r="E8" s="20" t="s">
        <v>253</v>
      </c>
      <c r="H8" s="20">
        <v>2271</v>
      </c>
      <c r="I8" s="20">
        <v>10</v>
      </c>
      <c r="J8" s="20">
        <v>1464722</v>
      </c>
      <c r="K8" s="20">
        <v>63720</v>
      </c>
      <c r="L8" s="20">
        <v>113650</v>
      </c>
      <c r="M8" s="20">
        <v>120000</v>
      </c>
      <c r="N8" s="20">
        <v>25770</v>
      </c>
      <c r="O8" s="20">
        <v>0</v>
      </c>
      <c r="P8" s="20">
        <v>0</v>
      </c>
      <c r="Q8" s="20">
        <v>0</v>
      </c>
      <c r="R8" s="20">
        <v>140100</v>
      </c>
      <c r="S8" s="20">
        <v>37880</v>
      </c>
      <c r="T8" s="20">
        <v>33700</v>
      </c>
      <c r="U8" s="20">
        <v>40000</v>
      </c>
      <c r="V8" s="20">
        <v>0</v>
      </c>
      <c r="W8" s="20">
        <v>0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0</v>
      </c>
      <c r="AE8" s="20">
        <v>0</v>
      </c>
      <c r="AF8" s="20">
        <v>0</v>
      </c>
      <c r="AG8" s="20">
        <v>0</v>
      </c>
      <c r="AH8" s="21">
        <v>1.0660000000000001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0</v>
      </c>
      <c r="AP8" s="22">
        <v>0</v>
      </c>
      <c r="AQ8" s="22">
        <v>0</v>
      </c>
      <c r="AR8" s="22">
        <v>0</v>
      </c>
      <c r="AS8" s="20">
        <v>0</v>
      </c>
      <c r="AT8" s="20">
        <v>2039542</v>
      </c>
      <c r="AU8" s="20">
        <v>0</v>
      </c>
      <c r="AV8" s="20">
        <v>0</v>
      </c>
      <c r="AW8" s="20">
        <v>2039542</v>
      </c>
      <c r="AX8" s="20">
        <v>40000</v>
      </c>
      <c r="AY8" s="20">
        <v>0</v>
      </c>
      <c r="AZ8" s="20">
        <v>0</v>
      </c>
      <c r="BA8" s="20">
        <v>33700</v>
      </c>
      <c r="BB8" s="20">
        <v>0</v>
      </c>
      <c r="BC8" s="20">
        <v>0</v>
      </c>
      <c r="BD8" s="20">
        <v>0</v>
      </c>
    </row>
    <row r="9" spans="1:57" x14ac:dyDescent="0.2">
      <c r="A9" s="20" t="s">
        <v>97</v>
      </c>
      <c r="B9" s="20" t="s">
        <v>98</v>
      </c>
      <c r="C9" s="20" t="s">
        <v>228</v>
      </c>
      <c r="D9" s="20" t="s">
        <v>255</v>
      </c>
      <c r="E9" s="20" t="s">
        <v>256</v>
      </c>
      <c r="H9" s="20">
        <v>2272</v>
      </c>
      <c r="I9" s="20">
        <v>0</v>
      </c>
      <c r="J9" s="20">
        <v>0</v>
      </c>
      <c r="K9" s="20">
        <v>0</v>
      </c>
      <c r="L9" s="20">
        <v>0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166500</v>
      </c>
      <c r="S9" s="20">
        <v>0</v>
      </c>
      <c r="T9" s="20">
        <v>0</v>
      </c>
      <c r="U9" s="20">
        <v>40000</v>
      </c>
      <c r="V9" s="20">
        <v>0</v>
      </c>
      <c r="W9" s="20">
        <v>0</v>
      </c>
      <c r="X9" s="20">
        <v>0</v>
      </c>
      <c r="Y9" s="20">
        <v>0</v>
      </c>
      <c r="Z9" s="20">
        <v>166500</v>
      </c>
      <c r="AA9" s="20">
        <v>0</v>
      </c>
      <c r="AB9" s="20">
        <v>0</v>
      </c>
      <c r="AC9" s="20">
        <v>40000</v>
      </c>
      <c r="AD9" s="20">
        <v>0</v>
      </c>
      <c r="AE9" s="20">
        <v>0</v>
      </c>
      <c r="AF9" s="20">
        <v>0</v>
      </c>
      <c r="AG9" s="20">
        <v>0</v>
      </c>
      <c r="AH9" s="21">
        <v>1.0209999999999999</v>
      </c>
      <c r="AI9" s="21">
        <v>0</v>
      </c>
      <c r="AJ9" s="21">
        <v>0</v>
      </c>
      <c r="AK9" s="21">
        <v>0</v>
      </c>
      <c r="AL9" s="21">
        <v>0</v>
      </c>
      <c r="AM9" s="21">
        <v>0</v>
      </c>
      <c r="AN9" s="21">
        <v>0</v>
      </c>
      <c r="AO9" s="21">
        <v>0</v>
      </c>
      <c r="AP9" s="22">
        <v>0</v>
      </c>
      <c r="AQ9" s="22">
        <v>0</v>
      </c>
      <c r="AR9" s="22">
        <v>0</v>
      </c>
      <c r="AS9" s="20">
        <v>0</v>
      </c>
      <c r="AT9" s="20">
        <v>206500</v>
      </c>
      <c r="AU9" s="20">
        <v>0</v>
      </c>
      <c r="AV9" s="20">
        <v>206500</v>
      </c>
      <c r="AW9" s="20">
        <v>206500</v>
      </c>
      <c r="AX9" s="20">
        <v>40000</v>
      </c>
      <c r="AY9" s="20">
        <v>0</v>
      </c>
      <c r="AZ9" s="20">
        <v>0</v>
      </c>
      <c r="BA9" s="20">
        <v>0</v>
      </c>
      <c r="BB9" s="20">
        <v>0</v>
      </c>
      <c r="BC9" s="20">
        <v>0</v>
      </c>
      <c r="BD9" s="20">
        <v>0</v>
      </c>
    </row>
    <row r="10" spans="1:57" x14ac:dyDescent="0.2">
      <c r="A10" s="20" t="s">
        <v>97</v>
      </c>
      <c r="B10" s="20" t="s">
        <v>98</v>
      </c>
      <c r="C10" s="20" t="s">
        <v>228</v>
      </c>
      <c r="D10" s="20" t="s">
        <v>258</v>
      </c>
      <c r="E10" s="20" t="s">
        <v>259</v>
      </c>
      <c r="H10" s="20">
        <v>2273</v>
      </c>
      <c r="I10" s="20">
        <v>0</v>
      </c>
      <c r="J10" s="20">
        <v>600</v>
      </c>
      <c r="K10" s="20">
        <v>0</v>
      </c>
      <c r="L10" s="20">
        <v>0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0">
        <v>176600</v>
      </c>
      <c r="S10" s="20">
        <v>10</v>
      </c>
      <c r="T10" s="20">
        <v>0</v>
      </c>
      <c r="U10" s="20">
        <v>40000</v>
      </c>
      <c r="V10" s="20">
        <v>0</v>
      </c>
      <c r="W10" s="20">
        <v>0</v>
      </c>
      <c r="X10" s="20">
        <v>0</v>
      </c>
      <c r="Y10" s="20">
        <v>0</v>
      </c>
      <c r="Z10" s="20">
        <v>176000</v>
      </c>
      <c r="AA10" s="20">
        <v>0</v>
      </c>
      <c r="AB10" s="20">
        <v>0</v>
      </c>
      <c r="AC10" s="20">
        <v>40000</v>
      </c>
      <c r="AD10" s="20">
        <v>0</v>
      </c>
      <c r="AE10" s="20">
        <v>0</v>
      </c>
      <c r="AF10" s="20">
        <v>0</v>
      </c>
      <c r="AG10" s="20">
        <v>0</v>
      </c>
      <c r="AH10" s="21">
        <v>1.083</v>
      </c>
      <c r="AI10" s="21">
        <v>0</v>
      </c>
      <c r="AJ10" s="21">
        <v>0</v>
      </c>
      <c r="AK10" s="21">
        <v>0</v>
      </c>
      <c r="AL10" s="21">
        <v>0</v>
      </c>
      <c r="AM10" s="21">
        <v>0</v>
      </c>
      <c r="AN10" s="21">
        <v>0</v>
      </c>
      <c r="AO10" s="21">
        <v>0</v>
      </c>
      <c r="AP10" s="22">
        <v>0</v>
      </c>
      <c r="AQ10" s="22">
        <v>0</v>
      </c>
      <c r="AR10" s="22">
        <v>0</v>
      </c>
      <c r="AS10" s="20">
        <v>0</v>
      </c>
      <c r="AT10" s="20">
        <v>217210</v>
      </c>
      <c r="AU10" s="20">
        <v>0</v>
      </c>
      <c r="AV10" s="20">
        <v>216000</v>
      </c>
      <c r="AW10" s="20">
        <v>217210</v>
      </c>
      <c r="AX10" s="20">
        <v>40000</v>
      </c>
      <c r="AY10" s="20">
        <v>0</v>
      </c>
      <c r="AZ10" s="20">
        <v>0</v>
      </c>
      <c r="BA10" s="20">
        <v>0</v>
      </c>
      <c r="BB10" s="20">
        <v>0</v>
      </c>
      <c r="BC10" s="20">
        <v>0</v>
      </c>
      <c r="BD10" s="20">
        <v>0</v>
      </c>
    </row>
    <row r="11" spans="1:57" x14ac:dyDescent="0.2">
      <c r="A11" s="20" t="s">
        <v>97</v>
      </c>
      <c r="B11" s="20" t="s">
        <v>98</v>
      </c>
      <c r="C11" s="20" t="s">
        <v>228</v>
      </c>
      <c r="D11" s="20" t="s">
        <v>261</v>
      </c>
      <c r="E11" s="20" t="s">
        <v>262</v>
      </c>
      <c r="H11" s="20">
        <v>2274</v>
      </c>
      <c r="I11" s="20">
        <v>0</v>
      </c>
      <c r="J11" s="20">
        <v>-400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0</v>
      </c>
      <c r="Q11" s="20">
        <v>0</v>
      </c>
      <c r="R11" s="20">
        <v>191900</v>
      </c>
      <c r="S11" s="20">
        <v>0</v>
      </c>
      <c r="T11" s="20">
        <v>33700</v>
      </c>
      <c r="U11" s="20">
        <v>40000</v>
      </c>
      <c r="V11" s="20">
        <v>0</v>
      </c>
      <c r="W11" s="20">
        <v>0</v>
      </c>
      <c r="X11" s="20">
        <v>0</v>
      </c>
      <c r="Y11" s="20">
        <v>0</v>
      </c>
      <c r="Z11" s="20">
        <v>192300</v>
      </c>
      <c r="AA11" s="20">
        <v>0</v>
      </c>
      <c r="AB11" s="20">
        <v>33700</v>
      </c>
      <c r="AC11" s="20">
        <v>40000</v>
      </c>
      <c r="AD11" s="20">
        <v>0</v>
      </c>
      <c r="AE11" s="20">
        <v>0</v>
      </c>
      <c r="AF11" s="20">
        <v>0</v>
      </c>
      <c r="AG11" s="20">
        <v>0</v>
      </c>
      <c r="AH11" s="21">
        <v>1.383</v>
      </c>
      <c r="AI11" s="21">
        <v>0</v>
      </c>
      <c r="AJ11" s="21">
        <v>0</v>
      </c>
      <c r="AK11" s="21">
        <v>0</v>
      </c>
      <c r="AL11" s="21">
        <v>0</v>
      </c>
      <c r="AM11" s="21">
        <v>0</v>
      </c>
      <c r="AN11" s="21">
        <v>0</v>
      </c>
      <c r="AO11" s="21">
        <v>0</v>
      </c>
      <c r="AP11" s="22">
        <v>0</v>
      </c>
      <c r="AQ11" s="22">
        <v>0</v>
      </c>
      <c r="AR11" s="22">
        <v>0</v>
      </c>
      <c r="AS11" s="20">
        <v>0</v>
      </c>
      <c r="AT11" s="20">
        <v>265200</v>
      </c>
      <c r="AU11" s="20">
        <v>0</v>
      </c>
      <c r="AV11" s="20">
        <v>266000</v>
      </c>
      <c r="AW11" s="20">
        <v>265200</v>
      </c>
      <c r="AX11" s="20">
        <v>40000</v>
      </c>
      <c r="AY11" s="20">
        <v>0</v>
      </c>
      <c r="AZ11" s="20">
        <v>0</v>
      </c>
      <c r="BA11" s="20">
        <v>33700</v>
      </c>
      <c r="BB11" s="20">
        <v>0</v>
      </c>
      <c r="BC11" s="20">
        <v>0</v>
      </c>
      <c r="BD11" s="20">
        <v>0</v>
      </c>
    </row>
    <row r="12" spans="1:57" x14ac:dyDescent="0.2">
      <c r="A12" s="20" t="s">
        <v>97</v>
      </c>
      <c r="B12" s="20" t="s">
        <v>98</v>
      </c>
      <c r="C12" s="20" t="s">
        <v>228</v>
      </c>
      <c r="D12" s="20" t="s">
        <v>332</v>
      </c>
      <c r="E12" s="20" t="s">
        <v>456</v>
      </c>
      <c r="H12" s="20">
        <v>2275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0</v>
      </c>
      <c r="Q12" s="20">
        <v>0</v>
      </c>
      <c r="R12" s="20">
        <v>140100</v>
      </c>
      <c r="S12" s="20">
        <v>0</v>
      </c>
      <c r="T12" s="20">
        <v>0</v>
      </c>
      <c r="U12" s="20">
        <v>40000</v>
      </c>
      <c r="V12" s="20">
        <v>0</v>
      </c>
      <c r="W12" s="20">
        <v>0</v>
      </c>
      <c r="X12" s="20">
        <v>0</v>
      </c>
      <c r="Y12" s="20">
        <v>0</v>
      </c>
      <c r="Z12" s="20">
        <v>140100</v>
      </c>
      <c r="AA12" s="20">
        <v>0</v>
      </c>
      <c r="AB12" s="20">
        <v>0</v>
      </c>
      <c r="AC12" s="20">
        <v>40000</v>
      </c>
      <c r="AD12" s="20">
        <v>0</v>
      </c>
      <c r="AE12" s="20">
        <v>0</v>
      </c>
      <c r="AF12" s="20">
        <v>0</v>
      </c>
      <c r="AG12" s="20">
        <v>0</v>
      </c>
      <c r="AH12" s="21">
        <v>0.85899999999999999</v>
      </c>
      <c r="AI12" s="21">
        <v>0</v>
      </c>
      <c r="AJ12" s="21">
        <v>0</v>
      </c>
      <c r="AK12" s="21">
        <v>0</v>
      </c>
      <c r="AL12" s="21">
        <v>0</v>
      </c>
      <c r="AM12" s="21">
        <v>0</v>
      </c>
      <c r="AN12" s="21">
        <v>0</v>
      </c>
      <c r="AO12" s="21">
        <v>0</v>
      </c>
      <c r="AP12" s="22">
        <v>0</v>
      </c>
      <c r="AQ12" s="22">
        <v>0</v>
      </c>
      <c r="AR12" s="22">
        <v>0</v>
      </c>
      <c r="AS12" s="20">
        <v>0</v>
      </c>
      <c r="AT12" s="20">
        <v>180100</v>
      </c>
      <c r="AU12" s="20">
        <v>0</v>
      </c>
      <c r="AV12" s="20">
        <v>180100</v>
      </c>
      <c r="AW12" s="20">
        <v>180100</v>
      </c>
      <c r="AX12" s="20">
        <v>40000</v>
      </c>
      <c r="AY12" s="20">
        <v>0</v>
      </c>
      <c r="AZ12" s="20">
        <v>0</v>
      </c>
      <c r="BA12" s="20">
        <v>0</v>
      </c>
      <c r="BB12" s="20">
        <v>0</v>
      </c>
      <c r="BC12" s="20">
        <v>0</v>
      </c>
      <c r="BD12" s="20">
        <v>0</v>
      </c>
    </row>
    <row r="13" spans="1:57" x14ac:dyDescent="0.2">
      <c r="A13" s="20" t="s">
        <v>97</v>
      </c>
      <c r="B13" s="20" t="s">
        <v>98</v>
      </c>
      <c r="C13" s="20" t="s">
        <v>228</v>
      </c>
      <c r="D13" s="20" t="s">
        <v>265</v>
      </c>
      <c r="E13" s="20" t="s">
        <v>266</v>
      </c>
      <c r="H13" s="20">
        <v>2276</v>
      </c>
      <c r="I13" s="20">
        <v>9</v>
      </c>
      <c r="J13" s="20">
        <v>1436350</v>
      </c>
      <c r="K13" s="20">
        <v>54840</v>
      </c>
      <c r="L13" s="20">
        <v>0</v>
      </c>
      <c r="M13" s="20">
        <v>120000</v>
      </c>
      <c r="N13" s="20">
        <v>83250</v>
      </c>
      <c r="O13" s="20">
        <v>0</v>
      </c>
      <c r="P13" s="20">
        <v>0</v>
      </c>
      <c r="Q13" s="20">
        <v>0</v>
      </c>
      <c r="R13" s="20">
        <v>166500</v>
      </c>
      <c r="S13" s="20">
        <v>34470</v>
      </c>
      <c r="T13" s="20">
        <v>0</v>
      </c>
      <c r="U13" s="20">
        <v>40000</v>
      </c>
      <c r="V13" s="20">
        <v>0</v>
      </c>
      <c r="W13" s="20">
        <v>0</v>
      </c>
      <c r="X13" s="20">
        <v>0</v>
      </c>
      <c r="Y13" s="20">
        <v>0</v>
      </c>
      <c r="Z13" s="20">
        <v>0</v>
      </c>
      <c r="AA13" s="20">
        <v>0</v>
      </c>
      <c r="AB13" s="20">
        <v>0</v>
      </c>
      <c r="AC13" s="20">
        <v>0</v>
      </c>
      <c r="AD13" s="20">
        <v>0</v>
      </c>
      <c r="AE13" s="20">
        <v>0</v>
      </c>
      <c r="AF13" s="20">
        <v>0</v>
      </c>
      <c r="AG13" s="20">
        <v>0</v>
      </c>
      <c r="AH13" s="21">
        <v>1.0209999999999999</v>
      </c>
      <c r="AI13" s="21">
        <v>0</v>
      </c>
      <c r="AJ13" s="21">
        <v>0</v>
      </c>
      <c r="AK13" s="21">
        <v>0</v>
      </c>
      <c r="AL13" s="21">
        <v>0</v>
      </c>
      <c r="AM13" s="21">
        <v>0</v>
      </c>
      <c r="AN13" s="21">
        <v>0</v>
      </c>
      <c r="AO13" s="21">
        <v>0</v>
      </c>
      <c r="AP13" s="22">
        <v>0</v>
      </c>
      <c r="AQ13" s="22">
        <v>0</v>
      </c>
      <c r="AR13" s="22">
        <v>0</v>
      </c>
      <c r="AS13" s="20">
        <v>0</v>
      </c>
      <c r="AT13" s="20">
        <v>1935410</v>
      </c>
      <c r="AU13" s="20">
        <v>0</v>
      </c>
      <c r="AV13" s="20">
        <v>0</v>
      </c>
      <c r="AW13" s="20">
        <v>1935410</v>
      </c>
      <c r="AX13" s="20">
        <v>40000</v>
      </c>
      <c r="AY13" s="20">
        <v>0</v>
      </c>
      <c r="AZ13" s="20">
        <v>0</v>
      </c>
      <c r="BA13" s="20">
        <v>0</v>
      </c>
      <c r="BB13" s="20">
        <v>0</v>
      </c>
      <c r="BC13" s="20">
        <v>0</v>
      </c>
      <c r="BD13" s="20">
        <v>0</v>
      </c>
    </row>
    <row r="14" spans="1:57" x14ac:dyDescent="0.2">
      <c r="A14" s="20" t="s">
        <v>97</v>
      </c>
      <c r="B14" s="20" t="s">
        <v>98</v>
      </c>
      <c r="C14" s="20" t="s">
        <v>228</v>
      </c>
      <c r="D14" s="20" t="s">
        <v>268</v>
      </c>
      <c r="E14" s="20" t="s">
        <v>269</v>
      </c>
      <c r="H14" s="20">
        <v>2277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176600</v>
      </c>
      <c r="S14" s="20">
        <v>0</v>
      </c>
      <c r="T14" s="20">
        <v>0</v>
      </c>
      <c r="U14" s="20">
        <v>40000</v>
      </c>
      <c r="V14" s="20">
        <v>0</v>
      </c>
      <c r="W14" s="20">
        <v>0</v>
      </c>
      <c r="X14" s="20">
        <v>0</v>
      </c>
      <c r="Y14" s="20">
        <v>0</v>
      </c>
      <c r="Z14" s="20">
        <v>176600</v>
      </c>
      <c r="AA14" s="20">
        <v>0</v>
      </c>
      <c r="AB14" s="20">
        <v>0</v>
      </c>
      <c r="AC14" s="20">
        <v>40000</v>
      </c>
      <c r="AD14" s="20">
        <v>0</v>
      </c>
      <c r="AE14" s="20">
        <v>0</v>
      </c>
      <c r="AF14" s="20">
        <v>0</v>
      </c>
      <c r="AG14" s="20">
        <v>0</v>
      </c>
      <c r="AH14" s="21">
        <v>1.083</v>
      </c>
      <c r="AI14" s="21">
        <v>0</v>
      </c>
      <c r="AJ14" s="21">
        <v>0</v>
      </c>
      <c r="AK14" s="21">
        <v>0</v>
      </c>
      <c r="AL14" s="21">
        <v>0</v>
      </c>
      <c r="AM14" s="21">
        <v>0</v>
      </c>
      <c r="AN14" s="21">
        <v>0</v>
      </c>
      <c r="AO14" s="21">
        <v>0</v>
      </c>
      <c r="AP14" s="22">
        <v>0</v>
      </c>
      <c r="AQ14" s="22">
        <v>0</v>
      </c>
      <c r="AR14" s="22">
        <v>0</v>
      </c>
      <c r="AS14" s="20">
        <v>0</v>
      </c>
      <c r="AT14" s="20">
        <v>216600</v>
      </c>
      <c r="AU14" s="20">
        <v>0</v>
      </c>
      <c r="AV14" s="20">
        <v>216600</v>
      </c>
      <c r="AW14" s="20">
        <v>216600</v>
      </c>
      <c r="AX14" s="20">
        <v>40000</v>
      </c>
      <c r="AY14" s="20">
        <v>0</v>
      </c>
      <c r="AZ14" s="20">
        <v>0</v>
      </c>
      <c r="BA14" s="20">
        <v>0</v>
      </c>
      <c r="BB14" s="20">
        <v>0</v>
      </c>
      <c r="BC14" s="20">
        <v>0</v>
      </c>
      <c r="BD14" s="20">
        <v>0</v>
      </c>
    </row>
    <row r="15" spans="1:57" x14ac:dyDescent="0.2">
      <c r="A15" s="20" t="s">
        <v>97</v>
      </c>
      <c r="B15" s="20" t="s">
        <v>98</v>
      </c>
      <c r="C15" s="20" t="s">
        <v>228</v>
      </c>
      <c r="D15" s="20" t="s">
        <v>271</v>
      </c>
      <c r="E15" s="20" t="s">
        <v>272</v>
      </c>
      <c r="H15" s="20">
        <v>2278</v>
      </c>
      <c r="I15" s="20">
        <v>11</v>
      </c>
      <c r="J15" s="20">
        <v>2175036</v>
      </c>
      <c r="K15" s="20">
        <v>219160</v>
      </c>
      <c r="L15" s="20">
        <v>0</v>
      </c>
      <c r="M15" s="20">
        <v>120000</v>
      </c>
      <c r="N15" s="20">
        <v>0</v>
      </c>
      <c r="O15" s="20">
        <v>0</v>
      </c>
      <c r="P15" s="20">
        <v>0</v>
      </c>
      <c r="Q15" s="20">
        <v>0</v>
      </c>
      <c r="R15" s="20">
        <v>191900</v>
      </c>
      <c r="S15" s="20">
        <v>52200</v>
      </c>
      <c r="T15" s="20">
        <v>0</v>
      </c>
      <c r="U15" s="20">
        <v>40000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</v>
      </c>
      <c r="AC15" s="20">
        <v>0</v>
      </c>
      <c r="AD15" s="20">
        <v>0</v>
      </c>
      <c r="AE15" s="20">
        <v>0</v>
      </c>
      <c r="AF15" s="20">
        <v>0</v>
      </c>
      <c r="AG15" s="20">
        <v>0</v>
      </c>
      <c r="AH15" s="21">
        <v>1.1759999999999999</v>
      </c>
      <c r="AI15" s="21">
        <v>0</v>
      </c>
      <c r="AJ15" s="21">
        <v>0</v>
      </c>
      <c r="AK15" s="21">
        <v>0</v>
      </c>
      <c r="AL15" s="21">
        <v>0</v>
      </c>
      <c r="AM15" s="21">
        <v>0</v>
      </c>
      <c r="AN15" s="21">
        <v>0</v>
      </c>
      <c r="AO15" s="21">
        <v>0</v>
      </c>
      <c r="AP15" s="22">
        <v>0</v>
      </c>
      <c r="AQ15" s="22">
        <v>0</v>
      </c>
      <c r="AR15" s="22">
        <v>0</v>
      </c>
      <c r="AS15" s="20">
        <v>0</v>
      </c>
      <c r="AT15" s="20">
        <v>2798296</v>
      </c>
      <c r="AU15" s="20">
        <v>0</v>
      </c>
      <c r="AV15" s="20">
        <v>0</v>
      </c>
      <c r="AW15" s="20">
        <v>2798296</v>
      </c>
      <c r="AX15" s="20">
        <v>40000</v>
      </c>
      <c r="AY15" s="20">
        <v>0</v>
      </c>
      <c r="AZ15" s="20">
        <v>0</v>
      </c>
      <c r="BA15" s="20">
        <v>0</v>
      </c>
      <c r="BB15" s="20">
        <v>0</v>
      </c>
      <c r="BC15" s="20">
        <v>0</v>
      </c>
      <c r="BD15" s="20">
        <v>0</v>
      </c>
    </row>
    <row r="16" spans="1:57" x14ac:dyDescent="0.2">
      <c r="A16" s="20" t="s">
        <v>97</v>
      </c>
      <c r="B16" s="20" t="s">
        <v>98</v>
      </c>
      <c r="C16" s="20" t="s">
        <v>228</v>
      </c>
      <c r="D16" s="20" t="s">
        <v>274</v>
      </c>
      <c r="E16" s="20" t="s">
        <v>275</v>
      </c>
      <c r="H16" s="20">
        <v>2279</v>
      </c>
      <c r="I16" s="20">
        <v>4</v>
      </c>
      <c r="J16" s="20">
        <v>577700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0</v>
      </c>
      <c r="Q16" s="20">
        <v>0</v>
      </c>
      <c r="R16" s="20">
        <v>140100</v>
      </c>
      <c r="S16" s="20">
        <v>13860</v>
      </c>
      <c r="T16" s="20">
        <v>0</v>
      </c>
      <c r="U16" s="20">
        <v>40000</v>
      </c>
      <c r="V16" s="20">
        <v>0</v>
      </c>
      <c r="W16" s="20">
        <v>0</v>
      </c>
      <c r="X16" s="20">
        <v>0</v>
      </c>
      <c r="Y16" s="20">
        <v>0</v>
      </c>
      <c r="Z16" s="20">
        <v>243650</v>
      </c>
      <c r="AA16" s="20">
        <v>16350</v>
      </c>
      <c r="AB16" s="20">
        <v>0</v>
      </c>
      <c r="AC16" s="20">
        <v>40000</v>
      </c>
      <c r="AD16" s="20">
        <v>0</v>
      </c>
      <c r="AE16" s="20">
        <v>0</v>
      </c>
      <c r="AF16" s="20">
        <v>0</v>
      </c>
      <c r="AG16" s="20">
        <v>0</v>
      </c>
      <c r="AH16" s="21">
        <v>0.85899999999999999</v>
      </c>
      <c r="AI16" s="21">
        <v>0</v>
      </c>
      <c r="AJ16" s="21">
        <v>0</v>
      </c>
      <c r="AK16" s="21">
        <v>0</v>
      </c>
      <c r="AL16" s="21">
        <v>0</v>
      </c>
      <c r="AM16" s="21">
        <v>0</v>
      </c>
      <c r="AN16" s="21">
        <v>0</v>
      </c>
      <c r="AO16" s="21">
        <v>0</v>
      </c>
      <c r="AP16" s="22">
        <v>0</v>
      </c>
      <c r="AQ16" s="22">
        <v>0</v>
      </c>
      <c r="AR16" s="22">
        <v>0</v>
      </c>
      <c r="AS16" s="20">
        <v>0</v>
      </c>
      <c r="AT16" s="20">
        <v>771660</v>
      </c>
      <c r="AU16" s="20">
        <v>0</v>
      </c>
      <c r="AV16" s="20">
        <v>300000</v>
      </c>
      <c r="AW16" s="20">
        <v>771660</v>
      </c>
      <c r="AX16" s="20">
        <v>40000</v>
      </c>
      <c r="AY16" s="20">
        <v>0</v>
      </c>
      <c r="AZ16" s="20">
        <v>0</v>
      </c>
      <c r="BA16" s="20">
        <v>0</v>
      </c>
      <c r="BB16" s="20">
        <v>0</v>
      </c>
      <c r="BC16" s="20">
        <v>0</v>
      </c>
      <c r="BD16" s="20">
        <v>0</v>
      </c>
    </row>
    <row r="17" spans="1:56" x14ac:dyDescent="0.2">
      <c r="A17" s="20" t="s">
        <v>97</v>
      </c>
      <c r="B17" s="20" t="s">
        <v>98</v>
      </c>
      <c r="C17" s="20" t="s">
        <v>228</v>
      </c>
      <c r="D17" s="20" t="s">
        <v>277</v>
      </c>
      <c r="E17" s="20" t="s">
        <v>278</v>
      </c>
      <c r="H17" s="20">
        <v>2280</v>
      </c>
      <c r="I17" s="20">
        <v>0</v>
      </c>
      <c r="J17" s="20">
        <v>-8765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166500</v>
      </c>
      <c r="S17" s="20">
        <v>0</v>
      </c>
      <c r="T17" s="20">
        <v>0</v>
      </c>
      <c r="U17" s="20">
        <v>40000</v>
      </c>
      <c r="V17" s="20">
        <v>0</v>
      </c>
      <c r="W17" s="20">
        <v>0</v>
      </c>
      <c r="X17" s="20">
        <v>0</v>
      </c>
      <c r="Y17" s="20">
        <v>0</v>
      </c>
      <c r="Z17" s="20">
        <v>1029990</v>
      </c>
      <c r="AA17" s="20">
        <v>50010</v>
      </c>
      <c r="AB17" s="20">
        <v>0</v>
      </c>
      <c r="AC17" s="20">
        <v>120000</v>
      </c>
      <c r="AD17" s="20">
        <v>0</v>
      </c>
      <c r="AE17" s="20">
        <v>0</v>
      </c>
      <c r="AF17" s="20">
        <v>0</v>
      </c>
      <c r="AG17" s="20">
        <v>0</v>
      </c>
      <c r="AH17" s="21">
        <v>1.0209999999999999</v>
      </c>
      <c r="AI17" s="21">
        <v>0</v>
      </c>
      <c r="AJ17" s="21">
        <v>0</v>
      </c>
      <c r="AK17" s="21">
        <v>0</v>
      </c>
      <c r="AL17" s="21">
        <v>0</v>
      </c>
      <c r="AM17" s="21">
        <v>0</v>
      </c>
      <c r="AN17" s="21">
        <v>0</v>
      </c>
      <c r="AO17" s="21">
        <v>0</v>
      </c>
      <c r="AP17" s="22">
        <v>0</v>
      </c>
      <c r="AQ17" s="22">
        <v>0</v>
      </c>
      <c r="AR17" s="22">
        <v>0</v>
      </c>
      <c r="AS17" s="20">
        <v>0</v>
      </c>
      <c r="AT17" s="20">
        <v>197735</v>
      </c>
      <c r="AU17" s="20">
        <v>0</v>
      </c>
      <c r="AV17" s="20">
        <v>1200000</v>
      </c>
      <c r="AW17" s="20">
        <v>197735</v>
      </c>
      <c r="AX17" s="20">
        <v>40000</v>
      </c>
      <c r="AY17" s="20">
        <v>0</v>
      </c>
      <c r="AZ17" s="20">
        <v>0</v>
      </c>
      <c r="BA17" s="20">
        <v>0</v>
      </c>
      <c r="BB17" s="20">
        <v>0</v>
      </c>
      <c r="BC17" s="20">
        <v>0</v>
      </c>
      <c r="BD17" s="20">
        <v>0</v>
      </c>
    </row>
    <row r="18" spans="1:56" x14ac:dyDescent="0.2">
      <c r="A18" s="20" t="s">
        <v>97</v>
      </c>
      <c r="B18" s="20" t="s">
        <v>98</v>
      </c>
      <c r="C18" s="20" t="s">
        <v>228</v>
      </c>
      <c r="D18" s="20" t="s">
        <v>280</v>
      </c>
      <c r="E18" s="20" t="s">
        <v>281</v>
      </c>
      <c r="H18" s="20">
        <v>2281</v>
      </c>
      <c r="I18" s="20">
        <v>0</v>
      </c>
      <c r="J18" s="20">
        <v>8980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176600</v>
      </c>
      <c r="S18" s="20">
        <v>220</v>
      </c>
      <c r="T18" s="20">
        <v>0</v>
      </c>
      <c r="U18" s="20">
        <v>40000</v>
      </c>
      <c r="V18" s="20">
        <v>0</v>
      </c>
      <c r="W18" s="20">
        <v>0</v>
      </c>
      <c r="X18" s="20">
        <v>0</v>
      </c>
      <c r="Y18" s="20">
        <v>0</v>
      </c>
      <c r="Z18" s="20">
        <v>174830</v>
      </c>
      <c r="AA18" s="20">
        <v>170</v>
      </c>
      <c r="AB18" s="20">
        <v>0</v>
      </c>
      <c r="AC18" s="20">
        <v>40000</v>
      </c>
      <c r="AD18" s="20">
        <v>0</v>
      </c>
      <c r="AE18" s="20">
        <v>0</v>
      </c>
      <c r="AF18" s="20">
        <v>0</v>
      </c>
      <c r="AG18" s="20">
        <v>0</v>
      </c>
      <c r="AH18" s="21">
        <v>1.083</v>
      </c>
      <c r="AI18" s="21">
        <v>0</v>
      </c>
      <c r="AJ18" s="21">
        <v>0</v>
      </c>
      <c r="AK18" s="21">
        <v>0</v>
      </c>
      <c r="AL18" s="21">
        <v>0</v>
      </c>
      <c r="AM18" s="21">
        <v>0</v>
      </c>
      <c r="AN18" s="21">
        <v>0</v>
      </c>
      <c r="AO18" s="21">
        <v>0</v>
      </c>
      <c r="AP18" s="22">
        <v>0</v>
      </c>
      <c r="AQ18" s="22">
        <v>0</v>
      </c>
      <c r="AR18" s="22">
        <v>0</v>
      </c>
      <c r="AS18" s="20">
        <v>0</v>
      </c>
      <c r="AT18" s="20">
        <v>225800</v>
      </c>
      <c r="AU18" s="20">
        <v>0</v>
      </c>
      <c r="AV18" s="20">
        <v>215000</v>
      </c>
      <c r="AW18" s="20">
        <v>225800</v>
      </c>
      <c r="AX18" s="20">
        <v>40000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</row>
    <row r="19" spans="1:56" x14ac:dyDescent="0.2">
      <c r="A19" s="20" t="s">
        <v>97</v>
      </c>
      <c r="B19" s="20" t="s">
        <v>98</v>
      </c>
      <c r="C19" s="20" t="s">
        <v>228</v>
      </c>
      <c r="D19" s="20" t="s">
        <v>283</v>
      </c>
      <c r="E19" s="20" t="s">
        <v>284</v>
      </c>
      <c r="H19" s="20">
        <v>2282</v>
      </c>
      <c r="I19" s="20">
        <v>4</v>
      </c>
      <c r="J19" s="20">
        <v>673180</v>
      </c>
      <c r="K19" s="20">
        <v>11550</v>
      </c>
      <c r="L19" s="20">
        <v>0</v>
      </c>
      <c r="M19" s="20">
        <v>40000</v>
      </c>
      <c r="N19" s="20">
        <v>0</v>
      </c>
      <c r="O19" s="20">
        <v>0</v>
      </c>
      <c r="P19" s="20">
        <v>0</v>
      </c>
      <c r="Q19" s="20">
        <v>0</v>
      </c>
      <c r="R19" s="20">
        <v>191900</v>
      </c>
      <c r="S19" s="20">
        <v>16160</v>
      </c>
      <c r="T19" s="20">
        <v>0</v>
      </c>
      <c r="U19" s="20">
        <v>40000</v>
      </c>
      <c r="V19" s="20">
        <v>0</v>
      </c>
      <c r="W19" s="20">
        <v>0</v>
      </c>
      <c r="X19" s="20">
        <v>0</v>
      </c>
      <c r="Y19" s="20">
        <v>0</v>
      </c>
      <c r="Z19" s="20">
        <v>0</v>
      </c>
      <c r="AA19" s="20">
        <v>0</v>
      </c>
      <c r="AB19" s="20">
        <v>0</v>
      </c>
      <c r="AC19" s="20">
        <v>0</v>
      </c>
      <c r="AD19" s="20">
        <v>0</v>
      </c>
      <c r="AE19" s="20">
        <v>0</v>
      </c>
      <c r="AF19" s="20">
        <v>0</v>
      </c>
      <c r="AG19" s="20">
        <v>0</v>
      </c>
      <c r="AH19" s="21">
        <v>1.1759999999999999</v>
      </c>
      <c r="AI19" s="21">
        <v>0</v>
      </c>
      <c r="AJ19" s="21">
        <v>0</v>
      </c>
      <c r="AK19" s="21">
        <v>0</v>
      </c>
      <c r="AL19" s="21">
        <v>0</v>
      </c>
      <c r="AM19" s="21">
        <v>0</v>
      </c>
      <c r="AN19" s="21">
        <v>0</v>
      </c>
      <c r="AO19" s="21">
        <v>0</v>
      </c>
      <c r="AP19" s="22">
        <v>0</v>
      </c>
      <c r="AQ19" s="22">
        <v>0</v>
      </c>
      <c r="AR19" s="22">
        <v>0</v>
      </c>
      <c r="AS19" s="20">
        <v>0</v>
      </c>
      <c r="AT19" s="20">
        <v>972790</v>
      </c>
      <c r="AU19" s="20">
        <v>0</v>
      </c>
      <c r="AV19" s="20">
        <v>0</v>
      </c>
      <c r="AW19" s="20">
        <v>972790</v>
      </c>
      <c r="AX19" s="20">
        <v>40000</v>
      </c>
      <c r="AY19" s="20">
        <v>0</v>
      </c>
      <c r="AZ19" s="20">
        <v>0</v>
      </c>
      <c r="BA19" s="20">
        <v>0</v>
      </c>
      <c r="BB19" s="20">
        <v>0</v>
      </c>
      <c r="BC19" s="20">
        <v>0</v>
      </c>
      <c r="BD19" s="20">
        <v>0</v>
      </c>
    </row>
    <row r="20" spans="1:56" x14ac:dyDescent="0.2">
      <c r="A20" s="20" t="s">
        <v>97</v>
      </c>
      <c r="B20" s="20" t="s">
        <v>98</v>
      </c>
      <c r="C20" s="20" t="s">
        <v>228</v>
      </c>
      <c r="D20" s="20" t="s">
        <v>286</v>
      </c>
      <c r="E20" s="20" t="s">
        <v>287</v>
      </c>
      <c r="H20" s="20">
        <v>2283</v>
      </c>
      <c r="I20" s="20">
        <v>0</v>
      </c>
      <c r="J20" s="20">
        <v>-900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140100</v>
      </c>
      <c r="S20" s="20">
        <v>0</v>
      </c>
      <c r="T20" s="20">
        <v>0</v>
      </c>
      <c r="U20" s="20">
        <v>40000</v>
      </c>
      <c r="V20" s="20">
        <v>0</v>
      </c>
      <c r="W20" s="20">
        <v>0</v>
      </c>
      <c r="X20" s="20">
        <v>0</v>
      </c>
      <c r="Y20" s="20">
        <v>0</v>
      </c>
      <c r="Z20" s="20">
        <v>141000</v>
      </c>
      <c r="AA20" s="20">
        <v>0</v>
      </c>
      <c r="AB20" s="20">
        <v>0</v>
      </c>
      <c r="AC20" s="20">
        <v>40000</v>
      </c>
      <c r="AD20" s="20">
        <v>0</v>
      </c>
      <c r="AE20" s="20">
        <v>0</v>
      </c>
      <c r="AF20" s="20">
        <v>0</v>
      </c>
      <c r="AG20" s="20">
        <v>0</v>
      </c>
      <c r="AH20" s="21">
        <v>0.85899999999999999</v>
      </c>
      <c r="AI20" s="21">
        <v>0</v>
      </c>
      <c r="AJ20" s="21">
        <v>0</v>
      </c>
      <c r="AK20" s="21">
        <v>0</v>
      </c>
      <c r="AL20" s="21">
        <v>0</v>
      </c>
      <c r="AM20" s="21">
        <v>0</v>
      </c>
      <c r="AN20" s="21">
        <v>0</v>
      </c>
      <c r="AO20" s="21">
        <v>0</v>
      </c>
      <c r="AP20" s="22">
        <v>0</v>
      </c>
      <c r="AQ20" s="22">
        <v>0</v>
      </c>
      <c r="AR20" s="22">
        <v>0</v>
      </c>
      <c r="AS20" s="20">
        <v>0</v>
      </c>
      <c r="AT20" s="20">
        <v>179200</v>
      </c>
      <c r="AU20" s="20">
        <v>0</v>
      </c>
      <c r="AV20" s="20">
        <v>181000</v>
      </c>
      <c r="AW20" s="20">
        <v>179200</v>
      </c>
      <c r="AX20" s="20">
        <v>40000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</row>
    <row r="21" spans="1:56" x14ac:dyDescent="0.2">
      <c r="A21" s="20" t="s">
        <v>97</v>
      </c>
      <c r="B21" s="20" t="s">
        <v>98</v>
      </c>
      <c r="C21" s="20" t="s">
        <v>228</v>
      </c>
      <c r="D21" s="20" t="s">
        <v>289</v>
      </c>
      <c r="E21" s="20" t="s">
        <v>290</v>
      </c>
      <c r="H21" s="20">
        <v>2284</v>
      </c>
      <c r="I21" s="20">
        <v>1</v>
      </c>
      <c r="J21" s="20">
        <v>240163</v>
      </c>
      <c r="K21" s="20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>
        <v>0</v>
      </c>
      <c r="R21" s="20">
        <v>166500</v>
      </c>
      <c r="S21" s="20">
        <v>5760</v>
      </c>
      <c r="T21" s="20">
        <v>33700</v>
      </c>
      <c r="U21" s="20">
        <v>40000</v>
      </c>
      <c r="V21" s="20">
        <v>0</v>
      </c>
      <c r="W21" s="20">
        <v>0</v>
      </c>
      <c r="X21" s="20">
        <v>0</v>
      </c>
      <c r="Y21" s="20">
        <v>0</v>
      </c>
      <c r="Z21" s="20">
        <v>87910</v>
      </c>
      <c r="AA21" s="20">
        <v>4690</v>
      </c>
      <c r="AB21" s="20">
        <v>67400</v>
      </c>
      <c r="AC21" s="20">
        <v>80000</v>
      </c>
      <c r="AD21" s="20">
        <v>0</v>
      </c>
      <c r="AE21" s="20">
        <v>0</v>
      </c>
      <c r="AF21" s="20">
        <v>0</v>
      </c>
      <c r="AG21" s="20">
        <v>0</v>
      </c>
      <c r="AH21" s="21">
        <v>1.228</v>
      </c>
      <c r="AI21" s="21">
        <v>0</v>
      </c>
      <c r="AJ21" s="21">
        <v>0</v>
      </c>
      <c r="AK21" s="21">
        <v>0</v>
      </c>
      <c r="AL21" s="21">
        <v>0</v>
      </c>
      <c r="AM21" s="21">
        <v>0</v>
      </c>
      <c r="AN21" s="21">
        <v>0</v>
      </c>
      <c r="AO21" s="21">
        <v>0</v>
      </c>
      <c r="AP21" s="22">
        <v>0</v>
      </c>
      <c r="AQ21" s="22">
        <v>0</v>
      </c>
      <c r="AR21" s="22">
        <v>0</v>
      </c>
      <c r="AS21" s="20">
        <v>0</v>
      </c>
      <c r="AT21" s="20">
        <v>486123</v>
      </c>
      <c r="AU21" s="20">
        <v>0</v>
      </c>
      <c r="AV21" s="20">
        <v>240000</v>
      </c>
      <c r="AW21" s="20">
        <v>486123</v>
      </c>
      <c r="AX21" s="20">
        <v>40000</v>
      </c>
      <c r="AY21" s="20">
        <v>0</v>
      </c>
      <c r="AZ21" s="20">
        <v>0</v>
      </c>
      <c r="BA21" s="20">
        <v>33700</v>
      </c>
      <c r="BB21" s="20">
        <v>0</v>
      </c>
      <c r="BC21" s="20">
        <v>0</v>
      </c>
      <c r="BD21" s="20">
        <v>0</v>
      </c>
    </row>
    <row r="22" spans="1:56" x14ac:dyDescent="0.2">
      <c r="A22" s="20" t="s">
        <v>97</v>
      </c>
      <c r="B22" s="20" t="s">
        <v>98</v>
      </c>
      <c r="C22" s="20" t="s">
        <v>230</v>
      </c>
      <c r="D22" s="20" t="s">
        <v>234</v>
      </c>
      <c r="E22" s="20" t="s">
        <v>292</v>
      </c>
      <c r="H22" s="20">
        <v>2285</v>
      </c>
      <c r="I22" s="20">
        <v>0</v>
      </c>
      <c r="J22" s="20">
        <v>10</v>
      </c>
      <c r="K22" s="20">
        <v>0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>
        <v>0</v>
      </c>
      <c r="R22" s="20">
        <v>176600</v>
      </c>
      <c r="S22" s="20">
        <v>0</v>
      </c>
      <c r="T22" s="20">
        <v>0</v>
      </c>
      <c r="U22" s="20">
        <v>40000</v>
      </c>
      <c r="V22" s="20">
        <v>0</v>
      </c>
      <c r="W22" s="20">
        <v>62900</v>
      </c>
      <c r="X22" s="20">
        <v>0</v>
      </c>
      <c r="Y22" s="20">
        <v>0</v>
      </c>
      <c r="Z22" s="20">
        <v>176890</v>
      </c>
      <c r="AA22" s="20">
        <v>10</v>
      </c>
      <c r="AB22" s="20">
        <v>0</v>
      </c>
      <c r="AC22" s="20">
        <v>40000</v>
      </c>
      <c r="AD22" s="20">
        <v>0</v>
      </c>
      <c r="AE22" s="20">
        <v>62900</v>
      </c>
      <c r="AF22" s="20">
        <v>0</v>
      </c>
      <c r="AG22" s="20">
        <v>0</v>
      </c>
      <c r="AH22" s="21">
        <v>1.083</v>
      </c>
      <c r="AI22" s="21">
        <v>0</v>
      </c>
      <c r="AJ22" s="21">
        <v>0</v>
      </c>
      <c r="AK22" s="21">
        <v>0</v>
      </c>
      <c r="AL22" s="21">
        <v>0</v>
      </c>
      <c r="AM22" s="21">
        <v>0</v>
      </c>
      <c r="AN22" s="21">
        <v>0</v>
      </c>
      <c r="AO22" s="21">
        <v>0</v>
      </c>
      <c r="AP22" s="22">
        <v>0</v>
      </c>
      <c r="AQ22" s="22">
        <v>0</v>
      </c>
      <c r="AR22" s="22">
        <v>0</v>
      </c>
      <c r="AS22" s="20">
        <v>0</v>
      </c>
      <c r="AT22" s="20">
        <v>279510</v>
      </c>
      <c r="AU22" s="20">
        <v>0</v>
      </c>
      <c r="AV22" s="20">
        <v>279800</v>
      </c>
      <c r="AW22" s="20">
        <v>279510</v>
      </c>
      <c r="AX22" s="20">
        <v>40000</v>
      </c>
      <c r="AY22" s="20">
        <v>0</v>
      </c>
      <c r="AZ22" s="20">
        <v>62900</v>
      </c>
      <c r="BA22" s="20">
        <v>0</v>
      </c>
      <c r="BB22" s="20">
        <v>0</v>
      </c>
      <c r="BC22" s="20">
        <v>0</v>
      </c>
      <c r="BD22" s="20">
        <v>0</v>
      </c>
    </row>
    <row r="23" spans="1:56" x14ac:dyDescent="0.2">
      <c r="A23" s="20" t="s">
        <v>97</v>
      </c>
      <c r="B23" s="20" t="s">
        <v>98</v>
      </c>
      <c r="C23" s="20" t="s">
        <v>230</v>
      </c>
      <c r="D23" s="20" t="s">
        <v>237</v>
      </c>
      <c r="E23" s="20" t="s">
        <v>294</v>
      </c>
      <c r="H23" s="20">
        <v>2286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191900</v>
      </c>
      <c r="S23" s="20">
        <v>0</v>
      </c>
      <c r="T23" s="20">
        <v>33700</v>
      </c>
      <c r="U23" s="20">
        <v>40000</v>
      </c>
      <c r="V23" s="20">
        <v>0</v>
      </c>
      <c r="W23" s="20">
        <v>0</v>
      </c>
      <c r="X23" s="20">
        <v>0</v>
      </c>
      <c r="Y23" s="20">
        <v>0</v>
      </c>
      <c r="Z23" s="20">
        <v>191900</v>
      </c>
      <c r="AA23" s="20">
        <v>0</v>
      </c>
      <c r="AB23" s="20">
        <v>33700</v>
      </c>
      <c r="AC23" s="20">
        <v>40000</v>
      </c>
      <c r="AD23" s="20">
        <v>0</v>
      </c>
      <c r="AE23" s="20">
        <v>0</v>
      </c>
      <c r="AF23" s="20">
        <v>0</v>
      </c>
      <c r="AG23" s="20">
        <v>0</v>
      </c>
      <c r="AH23" s="21">
        <v>1.383</v>
      </c>
      <c r="AI23" s="21">
        <v>0</v>
      </c>
      <c r="AJ23" s="21">
        <v>0</v>
      </c>
      <c r="AK23" s="21">
        <v>0</v>
      </c>
      <c r="AL23" s="21">
        <v>0</v>
      </c>
      <c r="AM23" s="21">
        <v>0</v>
      </c>
      <c r="AN23" s="21">
        <v>0</v>
      </c>
      <c r="AO23" s="21">
        <v>0</v>
      </c>
      <c r="AP23" s="22">
        <v>0</v>
      </c>
      <c r="AQ23" s="22">
        <v>0</v>
      </c>
      <c r="AR23" s="22">
        <v>0</v>
      </c>
      <c r="AS23" s="20">
        <v>0</v>
      </c>
      <c r="AT23" s="20">
        <v>265600</v>
      </c>
      <c r="AU23" s="20">
        <v>0</v>
      </c>
      <c r="AV23" s="20">
        <v>265600</v>
      </c>
      <c r="AW23" s="20">
        <v>265600</v>
      </c>
      <c r="AX23" s="20">
        <v>40000</v>
      </c>
      <c r="AY23" s="20">
        <v>0</v>
      </c>
      <c r="AZ23" s="20">
        <v>0</v>
      </c>
      <c r="BA23" s="20">
        <v>33700</v>
      </c>
      <c r="BB23" s="20">
        <v>0</v>
      </c>
      <c r="BC23" s="20">
        <v>0</v>
      </c>
      <c r="BD23" s="20">
        <v>0</v>
      </c>
    </row>
    <row r="24" spans="1:56" x14ac:dyDescent="0.2">
      <c r="A24" s="20" t="s">
        <v>97</v>
      </c>
      <c r="B24" s="20" t="s">
        <v>98</v>
      </c>
      <c r="C24" s="20" t="s">
        <v>230</v>
      </c>
      <c r="D24" s="20" t="s">
        <v>246</v>
      </c>
      <c r="E24" s="20" t="s">
        <v>296</v>
      </c>
      <c r="H24" s="20">
        <v>2287</v>
      </c>
      <c r="I24" s="20">
        <v>0</v>
      </c>
      <c r="J24" s="20">
        <v>29190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176600</v>
      </c>
      <c r="S24" s="20">
        <v>700</v>
      </c>
      <c r="T24" s="20">
        <v>0</v>
      </c>
      <c r="U24" s="20">
        <v>40000</v>
      </c>
      <c r="V24" s="20">
        <v>0</v>
      </c>
      <c r="W24" s="20">
        <v>62900</v>
      </c>
      <c r="X24" s="20">
        <v>0</v>
      </c>
      <c r="Y24" s="20">
        <v>0</v>
      </c>
      <c r="Z24" s="20">
        <v>166640</v>
      </c>
      <c r="AA24" s="20">
        <v>460</v>
      </c>
      <c r="AB24" s="20">
        <v>0</v>
      </c>
      <c r="AC24" s="20">
        <v>40000</v>
      </c>
      <c r="AD24" s="20">
        <v>0</v>
      </c>
      <c r="AE24" s="20">
        <v>62900</v>
      </c>
      <c r="AF24" s="20">
        <v>0</v>
      </c>
      <c r="AG24" s="20">
        <v>0</v>
      </c>
      <c r="AH24" s="21">
        <v>1.083</v>
      </c>
      <c r="AI24" s="21">
        <v>0</v>
      </c>
      <c r="AJ24" s="21">
        <v>0</v>
      </c>
      <c r="AK24" s="21">
        <v>0</v>
      </c>
      <c r="AL24" s="21">
        <v>0</v>
      </c>
      <c r="AM24" s="21">
        <v>0</v>
      </c>
      <c r="AN24" s="21">
        <v>0</v>
      </c>
      <c r="AO24" s="21">
        <v>0</v>
      </c>
      <c r="AP24" s="22">
        <v>0</v>
      </c>
      <c r="AQ24" s="22">
        <v>0</v>
      </c>
      <c r="AR24" s="22">
        <v>0</v>
      </c>
      <c r="AS24" s="20">
        <v>0</v>
      </c>
      <c r="AT24" s="20">
        <v>309390</v>
      </c>
      <c r="AU24" s="20">
        <v>0</v>
      </c>
      <c r="AV24" s="20">
        <v>270000</v>
      </c>
      <c r="AW24" s="20">
        <v>309390</v>
      </c>
      <c r="AX24" s="20">
        <v>40000</v>
      </c>
      <c r="AY24" s="20">
        <v>0</v>
      </c>
      <c r="AZ24" s="20">
        <v>62900</v>
      </c>
      <c r="BA24" s="20">
        <v>0</v>
      </c>
      <c r="BB24" s="20">
        <v>0</v>
      </c>
      <c r="BC24" s="20">
        <v>0</v>
      </c>
      <c r="BD24" s="20">
        <v>0</v>
      </c>
    </row>
    <row r="25" spans="1:56" x14ac:dyDescent="0.2">
      <c r="A25" s="20" t="s">
        <v>97</v>
      </c>
      <c r="B25" s="20" t="s">
        <v>98</v>
      </c>
      <c r="C25" s="20" t="s">
        <v>230</v>
      </c>
      <c r="D25" s="20" t="s">
        <v>249</v>
      </c>
      <c r="E25" s="20" t="s">
        <v>298</v>
      </c>
      <c r="H25" s="20">
        <v>2288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191900</v>
      </c>
      <c r="S25" s="20">
        <v>0</v>
      </c>
      <c r="T25" s="20">
        <v>0</v>
      </c>
      <c r="U25" s="20">
        <v>40000</v>
      </c>
      <c r="V25" s="20">
        <v>0</v>
      </c>
      <c r="W25" s="20">
        <v>0</v>
      </c>
      <c r="X25" s="20">
        <v>0</v>
      </c>
      <c r="Y25" s="20">
        <v>0</v>
      </c>
      <c r="Z25" s="20">
        <v>191900</v>
      </c>
      <c r="AA25" s="20">
        <v>0</v>
      </c>
      <c r="AB25" s="20">
        <v>0</v>
      </c>
      <c r="AC25" s="20">
        <v>40000</v>
      </c>
      <c r="AD25" s="20">
        <v>0</v>
      </c>
      <c r="AE25" s="20">
        <v>0</v>
      </c>
      <c r="AF25" s="20">
        <v>0</v>
      </c>
      <c r="AG25" s="20">
        <v>0</v>
      </c>
      <c r="AH25" s="21">
        <v>1.1759999999999999</v>
      </c>
      <c r="AI25" s="21">
        <v>0</v>
      </c>
      <c r="AJ25" s="21">
        <v>0</v>
      </c>
      <c r="AK25" s="21">
        <v>0</v>
      </c>
      <c r="AL25" s="21">
        <v>0</v>
      </c>
      <c r="AM25" s="21">
        <v>0</v>
      </c>
      <c r="AN25" s="21">
        <v>0</v>
      </c>
      <c r="AO25" s="21">
        <v>0</v>
      </c>
      <c r="AP25" s="22">
        <v>0</v>
      </c>
      <c r="AQ25" s="22">
        <v>0</v>
      </c>
      <c r="AR25" s="22">
        <v>0</v>
      </c>
      <c r="AS25" s="20">
        <v>0</v>
      </c>
      <c r="AT25" s="20">
        <v>231900</v>
      </c>
      <c r="AU25" s="20">
        <v>0</v>
      </c>
      <c r="AV25" s="20">
        <v>231900</v>
      </c>
      <c r="AW25" s="20">
        <v>231900</v>
      </c>
      <c r="AX25" s="20">
        <v>40000</v>
      </c>
      <c r="AY25" s="20">
        <v>0</v>
      </c>
      <c r="AZ25" s="20">
        <v>0</v>
      </c>
      <c r="BA25" s="20">
        <v>0</v>
      </c>
      <c r="BB25" s="20">
        <v>0</v>
      </c>
      <c r="BC25" s="20">
        <v>0</v>
      </c>
      <c r="BD25" s="20">
        <v>0</v>
      </c>
    </row>
    <row r="26" spans="1:56" x14ac:dyDescent="0.2">
      <c r="A26" s="20" t="s">
        <v>97</v>
      </c>
      <c r="B26" s="20" t="s">
        <v>98</v>
      </c>
      <c r="C26" s="20" t="s">
        <v>230</v>
      </c>
      <c r="D26" s="20" t="s">
        <v>258</v>
      </c>
      <c r="E26" s="20" t="s">
        <v>300</v>
      </c>
      <c r="H26" s="20">
        <v>2289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0</v>
      </c>
      <c r="Q26" s="20">
        <v>0</v>
      </c>
      <c r="R26" s="20">
        <v>176600</v>
      </c>
      <c r="S26" s="20">
        <v>0</v>
      </c>
      <c r="T26" s="20">
        <v>0</v>
      </c>
      <c r="U26" s="20">
        <v>40000</v>
      </c>
      <c r="V26" s="20">
        <v>0</v>
      </c>
      <c r="W26" s="20">
        <v>62900</v>
      </c>
      <c r="X26" s="20">
        <v>0</v>
      </c>
      <c r="Y26" s="20">
        <v>0</v>
      </c>
      <c r="Z26" s="20">
        <v>176600</v>
      </c>
      <c r="AA26" s="20">
        <v>0</v>
      </c>
      <c r="AB26" s="20">
        <v>0</v>
      </c>
      <c r="AC26" s="20">
        <v>40000</v>
      </c>
      <c r="AD26" s="20">
        <v>0</v>
      </c>
      <c r="AE26" s="20">
        <v>62900</v>
      </c>
      <c r="AF26" s="20">
        <v>0</v>
      </c>
      <c r="AG26" s="20">
        <v>0</v>
      </c>
      <c r="AH26" s="21">
        <v>1.083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21">
        <v>0</v>
      </c>
      <c r="AO26" s="21">
        <v>0</v>
      </c>
      <c r="AP26" s="22">
        <v>0</v>
      </c>
      <c r="AQ26" s="22">
        <v>0</v>
      </c>
      <c r="AR26" s="22">
        <v>0</v>
      </c>
      <c r="AS26" s="20">
        <v>0</v>
      </c>
      <c r="AT26" s="20">
        <v>279500</v>
      </c>
      <c r="AU26" s="20">
        <v>0</v>
      </c>
      <c r="AV26" s="20">
        <v>279500</v>
      </c>
      <c r="AW26" s="20">
        <v>279500</v>
      </c>
      <c r="AX26" s="20">
        <v>40000</v>
      </c>
      <c r="AY26" s="20">
        <v>0</v>
      </c>
      <c r="AZ26" s="20">
        <v>62900</v>
      </c>
      <c r="BA26" s="20">
        <v>0</v>
      </c>
      <c r="BB26" s="20">
        <v>0</v>
      </c>
      <c r="BC26" s="20">
        <v>0</v>
      </c>
      <c r="BD26" s="20">
        <v>0</v>
      </c>
    </row>
    <row r="27" spans="1:56" x14ac:dyDescent="0.2">
      <c r="A27" s="20" t="s">
        <v>97</v>
      </c>
      <c r="B27" s="20" t="s">
        <v>98</v>
      </c>
      <c r="C27" s="20" t="s">
        <v>230</v>
      </c>
      <c r="D27" s="20" t="s">
        <v>261</v>
      </c>
      <c r="E27" s="20" t="s">
        <v>302</v>
      </c>
      <c r="H27" s="20">
        <v>2290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0</v>
      </c>
      <c r="Q27" s="20">
        <v>0</v>
      </c>
      <c r="R27" s="20">
        <v>191900</v>
      </c>
      <c r="S27" s="20">
        <v>0</v>
      </c>
      <c r="T27" s="20">
        <v>0</v>
      </c>
      <c r="U27" s="20">
        <v>40000</v>
      </c>
      <c r="V27" s="20">
        <v>0</v>
      </c>
      <c r="W27" s="20">
        <v>62900</v>
      </c>
      <c r="X27" s="20">
        <v>0</v>
      </c>
      <c r="Y27" s="20">
        <v>0</v>
      </c>
      <c r="Z27" s="20">
        <v>191900</v>
      </c>
      <c r="AA27" s="20">
        <v>0</v>
      </c>
      <c r="AB27" s="20">
        <v>0</v>
      </c>
      <c r="AC27" s="20">
        <v>40000</v>
      </c>
      <c r="AD27" s="20">
        <v>0</v>
      </c>
      <c r="AE27" s="20">
        <v>62900</v>
      </c>
      <c r="AF27" s="20">
        <v>0</v>
      </c>
      <c r="AG27" s="20">
        <v>0</v>
      </c>
      <c r="AH27" s="21">
        <v>1.1759999999999999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21">
        <v>0</v>
      </c>
      <c r="AO27" s="21">
        <v>0</v>
      </c>
      <c r="AP27" s="22">
        <v>0</v>
      </c>
      <c r="AQ27" s="22">
        <v>0</v>
      </c>
      <c r="AR27" s="22">
        <v>0</v>
      </c>
      <c r="AS27" s="20">
        <v>0</v>
      </c>
      <c r="AT27" s="20">
        <v>294800</v>
      </c>
      <c r="AU27" s="20">
        <v>0</v>
      </c>
      <c r="AV27" s="20">
        <v>294800</v>
      </c>
      <c r="AW27" s="20">
        <v>294800</v>
      </c>
      <c r="AX27" s="20">
        <v>40000</v>
      </c>
      <c r="AY27" s="20">
        <v>0</v>
      </c>
      <c r="AZ27" s="20">
        <v>62900</v>
      </c>
      <c r="BA27" s="20">
        <v>0</v>
      </c>
      <c r="BB27" s="20">
        <v>0</v>
      </c>
      <c r="BC27" s="20">
        <v>0</v>
      </c>
      <c r="BD27" s="20">
        <v>0</v>
      </c>
    </row>
    <row r="28" spans="1:56" x14ac:dyDescent="0.2">
      <c r="A28" s="20" t="s">
        <v>97</v>
      </c>
      <c r="B28" s="20" t="s">
        <v>98</v>
      </c>
      <c r="C28" s="20" t="s">
        <v>230</v>
      </c>
      <c r="D28" s="20" t="s">
        <v>268</v>
      </c>
      <c r="E28" s="20" t="s">
        <v>304</v>
      </c>
      <c r="H28" s="20">
        <v>2291</v>
      </c>
      <c r="I28" s="20">
        <v>4</v>
      </c>
      <c r="J28" s="20">
        <v>634472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176600</v>
      </c>
      <c r="S28" s="20">
        <v>15230</v>
      </c>
      <c r="T28" s="20">
        <v>0</v>
      </c>
      <c r="U28" s="20">
        <v>40000</v>
      </c>
      <c r="V28" s="20">
        <v>0</v>
      </c>
      <c r="W28" s="20">
        <v>0</v>
      </c>
      <c r="X28" s="20">
        <v>0</v>
      </c>
      <c r="Y28" s="20">
        <v>0</v>
      </c>
      <c r="Z28" s="20">
        <v>173750</v>
      </c>
      <c r="AA28" s="20">
        <v>26250</v>
      </c>
      <c r="AB28" s="20">
        <v>0</v>
      </c>
      <c r="AC28" s="20">
        <v>80000</v>
      </c>
      <c r="AD28" s="20">
        <v>0</v>
      </c>
      <c r="AE28" s="20">
        <v>0</v>
      </c>
      <c r="AF28" s="20">
        <v>0</v>
      </c>
      <c r="AG28" s="20">
        <v>0</v>
      </c>
      <c r="AH28" s="21">
        <v>1.083</v>
      </c>
      <c r="AI28" s="21">
        <v>0</v>
      </c>
      <c r="AJ28" s="21">
        <v>0</v>
      </c>
      <c r="AK28" s="21">
        <v>0</v>
      </c>
      <c r="AL28" s="21">
        <v>0</v>
      </c>
      <c r="AM28" s="21">
        <v>0</v>
      </c>
      <c r="AN28" s="21">
        <v>0</v>
      </c>
      <c r="AO28" s="21">
        <v>0</v>
      </c>
      <c r="AP28" s="22">
        <v>0</v>
      </c>
      <c r="AQ28" s="22">
        <v>0</v>
      </c>
      <c r="AR28" s="22">
        <v>0</v>
      </c>
      <c r="AS28" s="20">
        <v>0</v>
      </c>
      <c r="AT28" s="20">
        <v>866302</v>
      </c>
      <c r="AU28" s="20">
        <v>0</v>
      </c>
      <c r="AV28" s="20">
        <v>280000</v>
      </c>
      <c r="AW28" s="20">
        <v>866302</v>
      </c>
      <c r="AX28" s="20">
        <v>40000</v>
      </c>
      <c r="AY28" s="20">
        <v>0</v>
      </c>
      <c r="AZ28" s="20">
        <v>0</v>
      </c>
      <c r="BA28" s="20">
        <v>0</v>
      </c>
      <c r="BB28" s="20">
        <v>0</v>
      </c>
      <c r="BC28" s="20">
        <v>0</v>
      </c>
      <c r="BD28" s="20">
        <v>0</v>
      </c>
    </row>
    <row r="29" spans="1:56" x14ac:dyDescent="0.2">
      <c r="A29" s="20" t="s">
        <v>97</v>
      </c>
      <c r="B29" s="20" t="s">
        <v>98</v>
      </c>
      <c r="C29" s="20" t="s">
        <v>230</v>
      </c>
      <c r="D29" s="20" t="s">
        <v>271</v>
      </c>
      <c r="E29" s="20" t="s">
        <v>306</v>
      </c>
      <c r="H29" s="20">
        <v>2292</v>
      </c>
      <c r="I29" s="20">
        <v>0</v>
      </c>
      <c r="J29" s="20">
        <v>81580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191900</v>
      </c>
      <c r="S29" s="20">
        <v>1960</v>
      </c>
      <c r="T29" s="20">
        <v>0</v>
      </c>
      <c r="U29" s="20">
        <v>40000</v>
      </c>
      <c r="V29" s="20">
        <v>0</v>
      </c>
      <c r="W29" s="20">
        <v>0</v>
      </c>
      <c r="X29" s="20">
        <v>0</v>
      </c>
      <c r="Y29" s="20">
        <v>0</v>
      </c>
      <c r="Z29" s="20">
        <v>110000</v>
      </c>
      <c r="AA29" s="20">
        <v>0</v>
      </c>
      <c r="AB29" s="20">
        <v>0</v>
      </c>
      <c r="AC29" s="20">
        <v>40000</v>
      </c>
      <c r="AD29" s="20">
        <v>0</v>
      </c>
      <c r="AE29" s="20">
        <v>0</v>
      </c>
      <c r="AF29" s="20">
        <v>0</v>
      </c>
      <c r="AG29" s="20">
        <v>0</v>
      </c>
      <c r="AH29" s="21">
        <v>1.1759999999999999</v>
      </c>
      <c r="AI29" s="21">
        <v>0</v>
      </c>
      <c r="AJ29" s="21">
        <v>0</v>
      </c>
      <c r="AK29" s="21">
        <v>0</v>
      </c>
      <c r="AL29" s="21">
        <v>0</v>
      </c>
      <c r="AM29" s="21">
        <v>0</v>
      </c>
      <c r="AN29" s="21">
        <v>0</v>
      </c>
      <c r="AO29" s="21">
        <v>0</v>
      </c>
      <c r="AP29" s="22">
        <v>0</v>
      </c>
      <c r="AQ29" s="22">
        <v>0</v>
      </c>
      <c r="AR29" s="22">
        <v>0</v>
      </c>
      <c r="AS29" s="20">
        <v>0</v>
      </c>
      <c r="AT29" s="20">
        <v>315440</v>
      </c>
      <c r="AU29" s="20">
        <v>0</v>
      </c>
      <c r="AV29" s="20">
        <v>150000</v>
      </c>
      <c r="AW29" s="20">
        <v>315440</v>
      </c>
      <c r="AX29" s="20">
        <v>40000</v>
      </c>
      <c r="AY29" s="20">
        <v>0</v>
      </c>
      <c r="AZ29" s="20">
        <v>0</v>
      </c>
      <c r="BA29" s="20">
        <v>0</v>
      </c>
      <c r="BB29" s="20">
        <v>0</v>
      </c>
      <c r="BC29" s="20">
        <v>0</v>
      </c>
      <c r="BD29" s="20">
        <v>0</v>
      </c>
    </row>
    <row r="30" spans="1:56" x14ac:dyDescent="0.2">
      <c r="A30" s="20" t="s">
        <v>97</v>
      </c>
      <c r="B30" s="20" t="s">
        <v>98</v>
      </c>
      <c r="C30" s="20" t="s">
        <v>230</v>
      </c>
      <c r="D30" s="20" t="s">
        <v>280</v>
      </c>
      <c r="E30" s="20" t="s">
        <v>308</v>
      </c>
      <c r="H30" s="20">
        <v>2293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176600</v>
      </c>
      <c r="S30" s="20">
        <v>0</v>
      </c>
      <c r="T30" s="20">
        <v>0</v>
      </c>
      <c r="U30" s="20">
        <v>40000</v>
      </c>
      <c r="V30" s="20">
        <v>0</v>
      </c>
      <c r="W30" s="20">
        <v>0</v>
      </c>
      <c r="X30" s="20">
        <v>0</v>
      </c>
      <c r="Y30" s="20">
        <v>0</v>
      </c>
      <c r="Z30" s="20">
        <v>176600</v>
      </c>
      <c r="AA30" s="20">
        <v>0</v>
      </c>
      <c r="AB30" s="20">
        <v>0</v>
      </c>
      <c r="AC30" s="20">
        <v>40000</v>
      </c>
      <c r="AD30" s="20">
        <v>0</v>
      </c>
      <c r="AE30" s="20">
        <v>0</v>
      </c>
      <c r="AF30" s="20">
        <v>0</v>
      </c>
      <c r="AG30" s="20">
        <v>0</v>
      </c>
      <c r="AH30" s="21">
        <v>1.083</v>
      </c>
      <c r="AI30" s="21">
        <v>0</v>
      </c>
      <c r="AJ30" s="21">
        <v>0</v>
      </c>
      <c r="AK30" s="21">
        <v>0</v>
      </c>
      <c r="AL30" s="21">
        <v>0</v>
      </c>
      <c r="AM30" s="21">
        <v>0</v>
      </c>
      <c r="AN30" s="21">
        <v>0</v>
      </c>
      <c r="AO30" s="21">
        <v>0</v>
      </c>
      <c r="AP30" s="22">
        <v>0</v>
      </c>
      <c r="AQ30" s="22">
        <v>0</v>
      </c>
      <c r="AR30" s="22">
        <v>0</v>
      </c>
      <c r="AS30" s="20">
        <v>0</v>
      </c>
      <c r="AT30" s="20">
        <v>216600</v>
      </c>
      <c r="AU30" s="20">
        <v>0</v>
      </c>
      <c r="AV30" s="20">
        <v>216600</v>
      </c>
      <c r="AW30" s="20">
        <v>216600</v>
      </c>
      <c r="AX30" s="20">
        <v>40000</v>
      </c>
      <c r="AY30" s="20">
        <v>0</v>
      </c>
      <c r="AZ30" s="20">
        <v>0</v>
      </c>
      <c r="BA30" s="20">
        <v>0</v>
      </c>
      <c r="BB30" s="20">
        <v>0</v>
      </c>
      <c r="BC30" s="20">
        <v>0</v>
      </c>
      <c r="BD30" s="20">
        <v>0</v>
      </c>
    </row>
    <row r="31" spans="1:56" x14ac:dyDescent="0.2">
      <c r="A31" s="20" t="s">
        <v>97</v>
      </c>
      <c r="B31" s="20" t="s">
        <v>98</v>
      </c>
      <c r="C31" s="20" t="s">
        <v>230</v>
      </c>
      <c r="D31" s="20" t="s">
        <v>283</v>
      </c>
      <c r="E31" s="20" t="s">
        <v>310</v>
      </c>
      <c r="H31" s="20">
        <v>2294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0</v>
      </c>
      <c r="Q31" s="20">
        <v>0</v>
      </c>
      <c r="R31" s="20">
        <v>191900</v>
      </c>
      <c r="S31" s="20">
        <v>0</v>
      </c>
      <c r="T31" s="20">
        <v>0</v>
      </c>
      <c r="U31" s="20">
        <v>40000</v>
      </c>
      <c r="V31" s="20">
        <v>0</v>
      </c>
      <c r="W31" s="20">
        <v>0</v>
      </c>
      <c r="X31" s="20">
        <v>0</v>
      </c>
      <c r="Y31" s="20">
        <v>0</v>
      </c>
      <c r="Z31" s="20">
        <v>191900</v>
      </c>
      <c r="AA31" s="20">
        <v>0</v>
      </c>
      <c r="AB31" s="20">
        <v>0</v>
      </c>
      <c r="AC31" s="20">
        <v>40000</v>
      </c>
      <c r="AD31" s="20">
        <v>0</v>
      </c>
      <c r="AE31" s="20">
        <v>0</v>
      </c>
      <c r="AF31" s="20">
        <v>0</v>
      </c>
      <c r="AG31" s="20">
        <v>0</v>
      </c>
      <c r="AH31" s="21">
        <v>1.1759999999999999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1">
        <v>0</v>
      </c>
      <c r="AO31" s="21">
        <v>0</v>
      </c>
      <c r="AP31" s="22">
        <v>0</v>
      </c>
      <c r="AQ31" s="22">
        <v>0</v>
      </c>
      <c r="AR31" s="22">
        <v>0</v>
      </c>
      <c r="AS31" s="20">
        <v>0</v>
      </c>
      <c r="AT31" s="20">
        <v>231900</v>
      </c>
      <c r="AU31" s="20">
        <v>0</v>
      </c>
      <c r="AV31" s="20">
        <v>231900</v>
      </c>
      <c r="AW31" s="20">
        <v>231900</v>
      </c>
      <c r="AX31" s="20">
        <v>40000</v>
      </c>
      <c r="AY31" s="20">
        <v>0</v>
      </c>
      <c r="AZ31" s="20">
        <v>0</v>
      </c>
      <c r="BA31" s="20">
        <v>0</v>
      </c>
      <c r="BB31" s="20">
        <v>0</v>
      </c>
      <c r="BC31" s="20">
        <v>0</v>
      </c>
      <c r="BD31" s="20">
        <v>0</v>
      </c>
    </row>
    <row r="32" spans="1:56" x14ac:dyDescent="0.2">
      <c r="A32" s="20" t="s">
        <v>97</v>
      </c>
      <c r="B32" s="20" t="s">
        <v>98</v>
      </c>
      <c r="C32" s="20" t="s">
        <v>231</v>
      </c>
      <c r="D32" s="20" t="s">
        <v>234</v>
      </c>
      <c r="E32" s="20" t="s">
        <v>312</v>
      </c>
      <c r="H32" s="20">
        <v>2295</v>
      </c>
      <c r="I32" s="20">
        <v>1</v>
      </c>
      <c r="J32" s="20">
        <v>176600</v>
      </c>
      <c r="K32" s="20">
        <v>0</v>
      </c>
      <c r="L32" s="20">
        <v>0</v>
      </c>
      <c r="M32" s="20">
        <v>40000</v>
      </c>
      <c r="N32" s="20">
        <v>0</v>
      </c>
      <c r="O32" s="20">
        <v>62900</v>
      </c>
      <c r="P32" s="20">
        <v>8500</v>
      </c>
      <c r="Q32" s="20">
        <v>0</v>
      </c>
      <c r="R32" s="20">
        <v>176600</v>
      </c>
      <c r="S32" s="20">
        <v>5950</v>
      </c>
      <c r="T32" s="20">
        <v>0</v>
      </c>
      <c r="U32" s="20">
        <v>40000</v>
      </c>
      <c r="V32" s="20">
        <v>0</v>
      </c>
      <c r="W32" s="20">
        <v>62900</v>
      </c>
      <c r="X32" s="20">
        <v>8500</v>
      </c>
      <c r="Y32" s="20">
        <v>0</v>
      </c>
      <c r="Z32" s="20">
        <v>0</v>
      </c>
      <c r="AA32" s="20">
        <v>0</v>
      </c>
      <c r="AB32" s="20">
        <v>0</v>
      </c>
      <c r="AC32" s="20">
        <v>0</v>
      </c>
      <c r="AD32" s="20">
        <v>0</v>
      </c>
      <c r="AE32" s="20">
        <v>0</v>
      </c>
      <c r="AF32" s="20">
        <v>0</v>
      </c>
      <c r="AG32" s="20">
        <v>0</v>
      </c>
      <c r="AH32" s="21">
        <v>1.083</v>
      </c>
      <c r="AI32" s="21">
        <v>0</v>
      </c>
      <c r="AJ32" s="21">
        <v>0</v>
      </c>
      <c r="AK32" s="21">
        <v>0</v>
      </c>
      <c r="AL32" s="21">
        <v>0</v>
      </c>
      <c r="AM32" s="21">
        <v>0</v>
      </c>
      <c r="AN32" s="21">
        <v>0</v>
      </c>
      <c r="AO32" s="21">
        <v>0</v>
      </c>
      <c r="AP32" s="22">
        <v>0</v>
      </c>
      <c r="AQ32" s="22">
        <v>0</v>
      </c>
      <c r="AR32" s="22">
        <v>0</v>
      </c>
      <c r="AS32" s="20">
        <v>0</v>
      </c>
      <c r="AT32" s="20">
        <v>581950</v>
      </c>
      <c r="AU32" s="20">
        <v>0</v>
      </c>
      <c r="AV32" s="20">
        <v>0</v>
      </c>
      <c r="AW32" s="20">
        <v>581950</v>
      </c>
      <c r="AX32" s="20">
        <v>40000</v>
      </c>
      <c r="AY32" s="20">
        <v>0</v>
      </c>
      <c r="AZ32" s="20">
        <v>62900</v>
      </c>
      <c r="BA32" s="20">
        <v>0</v>
      </c>
      <c r="BB32" s="20">
        <v>8500</v>
      </c>
      <c r="BC32" s="20">
        <v>0</v>
      </c>
      <c r="BD32" s="20">
        <v>0</v>
      </c>
    </row>
    <row r="33" spans="1:56" x14ac:dyDescent="0.2">
      <c r="A33" s="20" t="s">
        <v>97</v>
      </c>
      <c r="B33" s="20" t="s">
        <v>98</v>
      </c>
      <c r="C33" s="20" t="s">
        <v>231</v>
      </c>
      <c r="D33" s="20" t="s">
        <v>237</v>
      </c>
      <c r="E33" s="20" t="s">
        <v>314</v>
      </c>
      <c r="H33" s="20">
        <v>2296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191900</v>
      </c>
      <c r="S33" s="20">
        <v>0</v>
      </c>
      <c r="T33" s="20">
        <v>0</v>
      </c>
      <c r="U33" s="20">
        <v>40000</v>
      </c>
      <c r="V33" s="20">
        <v>0</v>
      </c>
      <c r="W33" s="20">
        <v>62900</v>
      </c>
      <c r="X33" s="20">
        <v>0</v>
      </c>
      <c r="Y33" s="20">
        <v>0</v>
      </c>
      <c r="Z33" s="20">
        <v>191560</v>
      </c>
      <c r="AA33" s="20">
        <v>0</v>
      </c>
      <c r="AB33" s="20">
        <v>0</v>
      </c>
      <c r="AC33" s="20">
        <v>40000</v>
      </c>
      <c r="AD33" s="20">
        <v>0</v>
      </c>
      <c r="AE33" s="20">
        <v>62900</v>
      </c>
      <c r="AF33" s="20">
        <v>0</v>
      </c>
      <c r="AG33" s="20">
        <v>0</v>
      </c>
      <c r="AH33" s="21">
        <v>1.1759999999999999</v>
      </c>
      <c r="AI33" s="21">
        <v>0</v>
      </c>
      <c r="AJ33" s="21">
        <v>0</v>
      </c>
      <c r="AK33" s="21">
        <v>0</v>
      </c>
      <c r="AL33" s="21">
        <v>0</v>
      </c>
      <c r="AM33" s="21">
        <v>0</v>
      </c>
      <c r="AN33" s="21">
        <v>0</v>
      </c>
      <c r="AO33" s="21">
        <v>0</v>
      </c>
      <c r="AP33" s="22">
        <v>0</v>
      </c>
      <c r="AQ33" s="22">
        <v>0</v>
      </c>
      <c r="AR33" s="22">
        <v>0</v>
      </c>
      <c r="AS33" s="20">
        <v>0</v>
      </c>
      <c r="AT33" s="20">
        <v>294800</v>
      </c>
      <c r="AU33" s="20">
        <v>0</v>
      </c>
      <c r="AV33" s="20">
        <v>294460</v>
      </c>
      <c r="AW33" s="20">
        <v>294800</v>
      </c>
      <c r="AX33" s="20">
        <v>40000</v>
      </c>
      <c r="AY33" s="20">
        <v>0</v>
      </c>
      <c r="AZ33" s="20">
        <v>62900</v>
      </c>
      <c r="BA33" s="20">
        <v>0</v>
      </c>
      <c r="BB33" s="20">
        <v>0</v>
      </c>
      <c r="BC33" s="20">
        <v>0</v>
      </c>
      <c r="BD33" s="20">
        <v>0</v>
      </c>
    </row>
    <row r="34" spans="1:56" x14ac:dyDescent="0.2">
      <c r="A34" s="20" t="s">
        <v>97</v>
      </c>
      <c r="B34" s="20" t="s">
        <v>98</v>
      </c>
      <c r="C34" s="20" t="s">
        <v>231</v>
      </c>
      <c r="D34" s="20" t="s">
        <v>240</v>
      </c>
      <c r="E34" s="20" t="s">
        <v>316</v>
      </c>
      <c r="H34" s="20">
        <v>2297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140100</v>
      </c>
      <c r="S34" s="20">
        <v>0</v>
      </c>
      <c r="T34" s="20">
        <v>0</v>
      </c>
      <c r="U34" s="20">
        <v>40000</v>
      </c>
      <c r="V34" s="20">
        <v>0</v>
      </c>
      <c r="W34" s="20">
        <v>0</v>
      </c>
      <c r="X34" s="20">
        <v>0</v>
      </c>
      <c r="Y34" s="20">
        <v>0</v>
      </c>
      <c r="Z34" s="20">
        <v>140100</v>
      </c>
      <c r="AA34" s="20">
        <v>0</v>
      </c>
      <c r="AB34" s="20">
        <v>0</v>
      </c>
      <c r="AC34" s="20">
        <v>40000</v>
      </c>
      <c r="AD34" s="20">
        <v>0</v>
      </c>
      <c r="AE34" s="20">
        <v>0</v>
      </c>
      <c r="AF34" s="20">
        <v>0</v>
      </c>
      <c r="AG34" s="20">
        <v>0</v>
      </c>
      <c r="AH34" s="21">
        <v>0.85899999999999999</v>
      </c>
      <c r="AI34" s="21">
        <v>0</v>
      </c>
      <c r="AJ34" s="21">
        <v>0</v>
      </c>
      <c r="AK34" s="21">
        <v>0</v>
      </c>
      <c r="AL34" s="21">
        <v>0</v>
      </c>
      <c r="AM34" s="21">
        <v>0</v>
      </c>
      <c r="AN34" s="21">
        <v>0</v>
      </c>
      <c r="AO34" s="21">
        <v>0</v>
      </c>
      <c r="AP34" s="22">
        <v>0</v>
      </c>
      <c r="AQ34" s="22">
        <v>0</v>
      </c>
      <c r="AR34" s="22">
        <v>0</v>
      </c>
      <c r="AS34" s="20">
        <v>0</v>
      </c>
      <c r="AT34" s="20">
        <v>180100</v>
      </c>
      <c r="AU34" s="20">
        <v>0</v>
      </c>
      <c r="AV34" s="20">
        <v>180100</v>
      </c>
      <c r="AW34" s="20">
        <v>180100</v>
      </c>
      <c r="AX34" s="20">
        <v>40000</v>
      </c>
      <c r="AY34" s="20">
        <v>0</v>
      </c>
      <c r="AZ34" s="20">
        <v>0</v>
      </c>
      <c r="BA34" s="20">
        <v>0</v>
      </c>
      <c r="BB34" s="20">
        <v>0</v>
      </c>
      <c r="BC34" s="20">
        <v>0</v>
      </c>
      <c r="BD34" s="20">
        <v>0</v>
      </c>
    </row>
    <row r="35" spans="1:56" x14ac:dyDescent="0.2">
      <c r="A35" s="20" t="s">
        <v>97</v>
      </c>
      <c r="B35" s="20" t="s">
        <v>98</v>
      </c>
      <c r="C35" s="20" t="s">
        <v>231</v>
      </c>
      <c r="D35" s="20" t="s">
        <v>243</v>
      </c>
      <c r="E35" s="20" t="s">
        <v>318</v>
      </c>
      <c r="H35" s="20">
        <v>2298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166500</v>
      </c>
      <c r="S35" s="20">
        <v>0</v>
      </c>
      <c r="T35" s="20">
        <v>33700</v>
      </c>
      <c r="U35" s="20">
        <v>40000</v>
      </c>
      <c r="V35" s="20">
        <v>0</v>
      </c>
      <c r="W35" s="20">
        <v>62900</v>
      </c>
      <c r="X35" s="20">
        <v>0</v>
      </c>
      <c r="Y35" s="20">
        <v>0</v>
      </c>
      <c r="Z35" s="20">
        <v>166500</v>
      </c>
      <c r="AA35" s="20">
        <v>0</v>
      </c>
      <c r="AB35" s="20">
        <v>33700</v>
      </c>
      <c r="AC35" s="20">
        <v>40000</v>
      </c>
      <c r="AD35" s="20">
        <v>0</v>
      </c>
      <c r="AE35" s="20">
        <v>62900</v>
      </c>
      <c r="AF35" s="20">
        <v>0</v>
      </c>
      <c r="AG35" s="20">
        <v>0</v>
      </c>
      <c r="AH35" s="21">
        <v>1.228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0</v>
      </c>
      <c r="AP35" s="22">
        <v>0</v>
      </c>
      <c r="AQ35" s="22">
        <v>0</v>
      </c>
      <c r="AR35" s="22">
        <v>0</v>
      </c>
      <c r="AS35" s="20">
        <v>0</v>
      </c>
      <c r="AT35" s="20">
        <v>303100</v>
      </c>
      <c r="AU35" s="20">
        <v>0</v>
      </c>
      <c r="AV35" s="20">
        <v>303100</v>
      </c>
      <c r="AW35" s="20">
        <v>303100</v>
      </c>
      <c r="AX35" s="20">
        <v>40000</v>
      </c>
      <c r="AY35" s="20">
        <v>0</v>
      </c>
      <c r="AZ35" s="20">
        <v>62900</v>
      </c>
      <c r="BA35" s="20">
        <v>33700</v>
      </c>
      <c r="BB35" s="20">
        <v>0</v>
      </c>
      <c r="BC35" s="20">
        <v>0</v>
      </c>
      <c r="BD35" s="20">
        <v>0</v>
      </c>
    </row>
    <row r="36" spans="1:56" x14ac:dyDescent="0.2">
      <c r="A36" s="20" t="s">
        <v>97</v>
      </c>
      <c r="B36" s="20" t="s">
        <v>98</v>
      </c>
      <c r="C36" s="20" t="s">
        <v>231</v>
      </c>
      <c r="D36" s="20" t="s">
        <v>246</v>
      </c>
      <c r="E36" s="20" t="s">
        <v>320</v>
      </c>
      <c r="H36" s="20">
        <v>2299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176600</v>
      </c>
      <c r="S36" s="20">
        <v>0</v>
      </c>
      <c r="T36" s="20">
        <v>0</v>
      </c>
      <c r="U36" s="20">
        <v>40000</v>
      </c>
      <c r="V36" s="20">
        <v>0</v>
      </c>
      <c r="W36" s="20">
        <v>0</v>
      </c>
      <c r="X36" s="20">
        <v>0</v>
      </c>
      <c r="Y36" s="20">
        <v>0</v>
      </c>
      <c r="Z36" s="20">
        <v>176600</v>
      </c>
      <c r="AA36" s="20">
        <v>0</v>
      </c>
      <c r="AB36" s="20">
        <v>0</v>
      </c>
      <c r="AC36" s="20">
        <v>40000</v>
      </c>
      <c r="AD36" s="20">
        <v>0</v>
      </c>
      <c r="AE36" s="20">
        <v>0</v>
      </c>
      <c r="AF36" s="20">
        <v>0</v>
      </c>
      <c r="AG36" s="20">
        <v>0</v>
      </c>
      <c r="AH36" s="21">
        <v>1.083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0</v>
      </c>
      <c r="AP36" s="22">
        <v>0</v>
      </c>
      <c r="AQ36" s="22">
        <v>0</v>
      </c>
      <c r="AR36" s="22">
        <v>0</v>
      </c>
      <c r="AS36" s="20">
        <v>0</v>
      </c>
      <c r="AT36" s="20">
        <v>216600</v>
      </c>
      <c r="AU36" s="20">
        <v>0</v>
      </c>
      <c r="AV36" s="20">
        <v>216600</v>
      </c>
      <c r="AW36" s="20">
        <v>216600</v>
      </c>
      <c r="AX36" s="20">
        <v>40000</v>
      </c>
      <c r="AY36" s="20">
        <v>0</v>
      </c>
      <c r="AZ36" s="20">
        <v>0</v>
      </c>
      <c r="BA36" s="20">
        <v>0</v>
      </c>
      <c r="BB36" s="20">
        <v>0</v>
      </c>
      <c r="BC36" s="20">
        <v>0</v>
      </c>
      <c r="BD36" s="20">
        <v>0</v>
      </c>
    </row>
    <row r="37" spans="1:56" x14ac:dyDescent="0.2">
      <c r="A37" s="20" t="s">
        <v>97</v>
      </c>
      <c r="B37" s="20" t="s">
        <v>98</v>
      </c>
      <c r="C37" s="20" t="s">
        <v>231</v>
      </c>
      <c r="D37" s="20" t="s">
        <v>249</v>
      </c>
      <c r="E37" s="20" t="s">
        <v>322</v>
      </c>
      <c r="H37" s="20">
        <v>2300</v>
      </c>
      <c r="I37" s="20">
        <v>0</v>
      </c>
      <c r="J37" s="20">
        <v>47940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191900</v>
      </c>
      <c r="S37" s="20">
        <v>1150</v>
      </c>
      <c r="T37" s="20">
        <v>33700</v>
      </c>
      <c r="U37" s="20">
        <v>40000</v>
      </c>
      <c r="V37" s="20">
        <v>0</v>
      </c>
      <c r="W37" s="20">
        <v>0</v>
      </c>
      <c r="X37" s="20">
        <v>0</v>
      </c>
      <c r="Y37" s="20">
        <v>0</v>
      </c>
      <c r="Z37" s="20">
        <v>719660</v>
      </c>
      <c r="AA37" s="20">
        <v>27240</v>
      </c>
      <c r="AB37" s="20">
        <v>134800</v>
      </c>
      <c r="AC37" s="20">
        <v>120000</v>
      </c>
      <c r="AD37" s="20">
        <v>118300</v>
      </c>
      <c r="AE37" s="20">
        <v>0</v>
      </c>
      <c r="AF37" s="20">
        <v>0</v>
      </c>
      <c r="AG37" s="20">
        <v>0</v>
      </c>
      <c r="AH37" s="21">
        <v>1.383</v>
      </c>
      <c r="AI37" s="21">
        <v>0</v>
      </c>
      <c r="AJ37" s="21">
        <v>0</v>
      </c>
      <c r="AK37" s="21">
        <v>0</v>
      </c>
      <c r="AL37" s="21">
        <v>0</v>
      </c>
      <c r="AM37" s="21">
        <v>0</v>
      </c>
      <c r="AN37" s="21">
        <v>0</v>
      </c>
      <c r="AO37" s="21">
        <v>0</v>
      </c>
      <c r="AP37" s="22">
        <v>0</v>
      </c>
      <c r="AQ37" s="22">
        <v>0</v>
      </c>
      <c r="AR37" s="22">
        <v>0</v>
      </c>
      <c r="AS37" s="20">
        <v>0</v>
      </c>
      <c r="AT37" s="20">
        <v>314690</v>
      </c>
      <c r="AU37" s="20">
        <v>0</v>
      </c>
      <c r="AV37" s="20">
        <v>1120000</v>
      </c>
      <c r="AW37" s="20">
        <v>314690</v>
      </c>
      <c r="AX37" s="20">
        <v>40000</v>
      </c>
      <c r="AY37" s="20">
        <v>0</v>
      </c>
      <c r="AZ37" s="20">
        <v>0</v>
      </c>
      <c r="BA37" s="20">
        <v>33700</v>
      </c>
      <c r="BB37" s="20">
        <v>0</v>
      </c>
      <c r="BC37" s="20">
        <v>0</v>
      </c>
      <c r="BD37" s="20">
        <v>0</v>
      </c>
    </row>
    <row r="38" spans="1:56" x14ac:dyDescent="0.2">
      <c r="A38" s="20" t="s">
        <v>97</v>
      </c>
      <c r="B38" s="20" t="s">
        <v>98</v>
      </c>
      <c r="C38" s="20" t="s">
        <v>231</v>
      </c>
      <c r="D38" s="20" t="s">
        <v>252</v>
      </c>
      <c r="E38" s="20" t="s">
        <v>324</v>
      </c>
      <c r="H38" s="20">
        <v>2301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140100</v>
      </c>
      <c r="S38" s="20">
        <v>0</v>
      </c>
      <c r="T38" s="20">
        <v>0</v>
      </c>
      <c r="U38" s="20">
        <v>40000</v>
      </c>
      <c r="V38" s="20">
        <v>0</v>
      </c>
      <c r="W38" s="20">
        <v>0</v>
      </c>
      <c r="X38" s="20">
        <v>0</v>
      </c>
      <c r="Y38" s="20">
        <v>0</v>
      </c>
      <c r="Z38" s="20">
        <v>140100</v>
      </c>
      <c r="AA38" s="20">
        <v>0</v>
      </c>
      <c r="AB38" s="20">
        <v>0</v>
      </c>
      <c r="AC38" s="20">
        <v>40000</v>
      </c>
      <c r="AD38" s="20">
        <v>0</v>
      </c>
      <c r="AE38" s="20">
        <v>0</v>
      </c>
      <c r="AF38" s="20">
        <v>0</v>
      </c>
      <c r="AG38" s="20">
        <v>0</v>
      </c>
      <c r="AH38" s="21">
        <v>0.85899999999999999</v>
      </c>
      <c r="AI38" s="21">
        <v>0</v>
      </c>
      <c r="AJ38" s="21">
        <v>0</v>
      </c>
      <c r="AK38" s="21">
        <v>0</v>
      </c>
      <c r="AL38" s="21">
        <v>0</v>
      </c>
      <c r="AM38" s="21">
        <v>0</v>
      </c>
      <c r="AN38" s="21">
        <v>0</v>
      </c>
      <c r="AO38" s="21">
        <v>0</v>
      </c>
      <c r="AP38" s="22">
        <v>0</v>
      </c>
      <c r="AQ38" s="22">
        <v>0</v>
      </c>
      <c r="AR38" s="22">
        <v>0</v>
      </c>
      <c r="AS38" s="20">
        <v>0</v>
      </c>
      <c r="AT38" s="20">
        <v>180100</v>
      </c>
      <c r="AU38" s="20">
        <v>0</v>
      </c>
      <c r="AV38" s="20">
        <v>180100</v>
      </c>
      <c r="AW38" s="20">
        <v>180100</v>
      </c>
      <c r="AX38" s="20">
        <v>40000</v>
      </c>
      <c r="AY38" s="20">
        <v>0</v>
      </c>
      <c r="AZ38" s="20">
        <v>0</v>
      </c>
      <c r="BA38" s="20">
        <v>0</v>
      </c>
      <c r="BB38" s="20">
        <v>0</v>
      </c>
      <c r="BC38" s="20">
        <v>0</v>
      </c>
      <c r="BD38" s="20">
        <v>0</v>
      </c>
    </row>
    <row r="39" spans="1:56" x14ac:dyDescent="0.2">
      <c r="A39" s="20" t="s">
        <v>97</v>
      </c>
      <c r="B39" s="20" t="s">
        <v>98</v>
      </c>
      <c r="C39" s="20" t="s">
        <v>231</v>
      </c>
      <c r="D39" s="20" t="s">
        <v>255</v>
      </c>
      <c r="E39" s="20" t="s">
        <v>326</v>
      </c>
      <c r="H39" s="20">
        <v>2302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166500</v>
      </c>
      <c r="S39" s="20">
        <v>0</v>
      </c>
      <c r="T39" s="20">
        <v>0</v>
      </c>
      <c r="U39" s="20">
        <v>40000</v>
      </c>
      <c r="V39" s="20">
        <v>0</v>
      </c>
      <c r="W39" s="20">
        <v>0</v>
      </c>
      <c r="X39" s="20">
        <v>0</v>
      </c>
      <c r="Y39" s="20">
        <v>0</v>
      </c>
      <c r="Z39" s="20">
        <v>166500</v>
      </c>
      <c r="AA39" s="20">
        <v>0</v>
      </c>
      <c r="AB39" s="20">
        <v>0</v>
      </c>
      <c r="AC39" s="20">
        <v>40000</v>
      </c>
      <c r="AD39" s="20">
        <v>0</v>
      </c>
      <c r="AE39" s="20">
        <v>0</v>
      </c>
      <c r="AF39" s="20">
        <v>0</v>
      </c>
      <c r="AG39" s="20">
        <v>0</v>
      </c>
      <c r="AH39" s="21">
        <v>1.0209999999999999</v>
      </c>
      <c r="AI39" s="21">
        <v>0</v>
      </c>
      <c r="AJ39" s="21">
        <v>0</v>
      </c>
      <c r="AK39" s="21">
        <v>0</v>
      </c>
      <c r="AL39" s="21">
        <v>0</v>
      </c>
      <c r="AM39" s="21">
        <v>0</v>
      </c>
      <c r="AN39" s="21">
        <v>0</v>
      </c>
      <c r="AO39" s="21">
        <v>0</v>
      </c>
      <c r="AP39" s="22">
        <v>0</v>
      </c>
      <c r="AQ39" s="22">
        <v>0</v>
      </c>
      <c r="AR39" s="22">
        <v>0</v>
      </c>
      <c r="AS39" s="20">
        <v>0</v>
      </c>
      <c r="AT39" s="20">
        <v>206500</v>
      </c>
      <c r="AU39" s="20">
        <v>0</v>
      </c>
      <c r="AV39" s="20">
        <v>206500</v>
      </c>
      <c r="AW39" s="20">
        <v>206500</v>
      </c>
      <c r="AX39" s="20">
        <v>40000</v>
      </c>
      <c r="AY39" s="20">
        <v>0</v>
      </c>
      <c r="AZ39" s="20">
        <v>0</v>
      </c>
      <c r="BA39" s="20">
        <v>0</v>
      </c>
      <c r="BB39" s="20">
        <v>0</v>
      </c>
      <c r="BC39" s="20">
        <v>0</v>
      </c>
      <c r="BD39" s="20">
        <v>0</v>
      </c>
    </row>
    <row r="40" spans="1:56" x14ac:dyDescent="0.2">
      <c r="A40" s="20" t="s">
        <v>97</v>
      </c>
      <c r="B40" s="20" t="s">
        <v>98</v>
      </c>
      <c r="C40" s="20" t="s">
        <v>231</v>
      </c>
      <c r="D40" s="20" t="s">
        <v>258</v>
      </c>
      <c r="E40" s="20" t="s">
        <v>328</v>
      </c>
      <c r="H40" s="20">
        <v>2303</v>
      </c>
      <c r="I40" s="20">
        <v>17</v>
      </c>
      <c r="J40" s="20">
        <v>2984221</v>
      </c>
      <c r="K40" s="20">
        <v>158590</v>
      </c>
      <c r="L40" s="20">
        <v>0</v>
      </c>
      <c r="M40" s="20">
        <v>120000</v>
      </c>
      <c r="N40" s="20">
        <v>176600</v>
      </c>
      <c r="O40" s="20">
        <v>0</v>
      </c>
      <c r="P40" s="20">
        <v>0</v>
      </c>
      <c r="Q40" s="20">
        <v>0</v>
      </c>
      <c r="R40" s="20">
        <v>176600</v>
      </c>
      <c r="S40" s="20">
        <v>71620</v>
      </c>
      <c r="T40" s="20">
        <v>0</v>
      </c>
      <c r="U40" s="20">
        <v>40000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0</v>
      </c>
      <c r="AB40" s="20">
        <v>0</v>
      </c>
      <c r="AC40" s="20">
        <v>0</v>
      </c>
      <c r="AD40" s="20">
        <v>0</v>
      </c>
      <c r="AE40" s="20">
        <v>0</v>
      </c>
      <c r="AF40" s="20">
        <v>0</v>
      </c>
      <c r="AG40" s="20">
        <v>0</v>
      </c>
      <c r="AH40" s="21">
        <v>1.083</v>
      </c>
      <c r="AI40" s="21">
        <v>0</v>
      </c>
      <c r="AJ40" s="21">
        <v>0</v>
      </c>
      <c r="AK40" s="21">
        <v>0</v>
      </c>
      <c r="AL40" s="21">
        <v>0</v>
      </c>
      <c r="AM40" s="21">
        <v>0</v>
      </c>
      <c r="AN40" s="21">
        <v>0</v>
      </c>
      <c r="AO40" s="21">
        <v>0</v>
      </c>
      <c r="AP40" s="22">
        <v>0</v>
      </c>
      <c r="AQ40" s="22">
        <v>0</v>
      </c>
      <c r="AR40" s="22">
        <v>0</v>
      </c>
      <c r="AS40" s="20">
        <v>0</v>
      </c>
      <c r="AT40" s="20">
        <v>3727631</v>
      </c>
      <c r="AU40" s="20">
        <v>0</v>
      </c>
      <c r="AV40" s="20">
        <v>0</v>
      </c>
      <c r="AW40" s="20">
        <v>3727631</v>
      </c>
      <c r="AX40" s="20">
        <v>40000</v>
      </c>
      <c r="AY40" s="20">
        <v>0</v>
      </c>
      <c r="AZ40" s="20">
        <v>0</v>
      </c>
      <c r="BA40" s="20">
        <v>0</v>
      </c>
      <c r="BB40" s="20">
        <v>0</v>
      </c>
      <c r="BC40" s="20">
        <v>0</v>
      </c>
      <c r="BD40" s="20">
        <v>0</v>
      </c>
    </row>
    <row r="41" spans="1:56" x14ac:dyDescent="0.2">
      <c r="A41" s="20" t="s">
        <v>97</v>
      </c>
      <c r="B41" s="20" t="s">
        <v>98</v>
      </c>
      <c r="C41" s="20" t="s">
        <v>231</v>
      </c>
      <c r="D41" s="20" t="s">
        <v>261</v>
      </c>
      <c r="E41" s="20" t="s">
        <v>330</v>
      </c>
      <c r="H41" s="20">
        <v>2304</v>
      </c>
      <c r="I41" s="20">
        <v>19</v>
      </c>
      <c r="J41" s="20">
        <v>3713400</v>
      </c>
      <c r="K41" s="20">
        <v>900350</v>
      </c>
      <c r="L41" s="20">
        <v>731900</v>
      </c>
      <c r="M41" s="20">
        <v>120000</v>
      </c>
      <c r="N41" s="20">
        <v>225600</v>
      </c>
      <c r="O41" s="20">
        <v>0</v>
      </c>
      <c r="P41" s="20">
        <v>0</v>
      </c>
      <c r="Q41" s="20">
        <v>0</v>
      </c>
      <c r="R41" s="20">
        <v>191900</v>
      </c>
      <c r="S41" s="20">
        <v>106690</v>
      </c>
      <c r="T41" s="20">
        <v>33700</v>
      </c>
      <c r="U41" s="20">
        <v>40000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0</v>
      </c>
      <c r="AB41" s="20">
        <v>0</v>
      </c>
      <c r="AC41" s="20">
        <v>0</v>
      </c>
      <c r="AD41" s="20">
        <v>0</v>
      </c>
      <c r="AE41" s="20">
        <v>0</v>
      </c>
      <c r="AF41" s="20">
        <v>0</v>
      </c>
      <c r="AG41" s="20">
        <v>0</v>
      </c>
      <c r="AH41" s="21">
        <v>1.383</v>
      </c>
      <c r="AI41" s="21">
        <v>0</v>
      </c>
      <c r="AJ41" s="21">
        <v>0</v>
      </c>
      <c r="AK41" s="21">
        <v>0</v>
      </c>
      <c r="AL41" s="21">
        <v>0</v>
      </c>
      <c r="AM41" s="21">
        <v>0</v>
      </c>
      <c r="AN41" s="21">
        <v>0</v>
      </c>
      <c r="AO41" s="21">
        <v>0</v>
      </c>
      <c r="AP41" s="22">
        <v>0</v>
      </c>
      <c r="AQ41" s="22">
        <v>0</v>
      </c>
      <c r="AR41" s="22">
        <v>0</v>
      </c>
      <c r="AS41" s="20">
        <v>0</v>
      </c>
      <c r="AT41" s="20">
        <v>6063540</v>
      </c>
      <c r="AU41" s="20">
        <v>0</v>
      </c>
      <c r="AV41" s="20">
        <v>0</v>
      </c>
      <c r="AW41" s="20">
        <v>6063540</v>
      </c>
      <c r="AX41" s="20">
        <v>40000</v>
      </c>
      <c r="AY41" s="20">
        <v>0</v>
      </c>
      <c r="AZ41" s="20">
        <v>0</v>
      </c>
      <c r="BA41" s="20">
        <v>33700</v>
      </c>
      <c r="BB41" s="20">
        <v>0</v>
      </c>
      <c r="BC41" s="20">
        <v>0</v>
      </c>
      <c r="BD41" s="20">
        <v>0</v>
      </c>
    </row>
    <row r="42" spans="1:56" x14ac:dyDescent="0.2">
      <c r="A42" s="20" t="s">
        <v>97</v>
      </c>
      <c r="B42" s="20" t="s">
        <v>98</v>
      </c>
      <c r="C42" s="20" t="s">
        <v>231</v>
      </c>
      <c r="D42" s="20" t="s">
        <v>332</v>
      </c>
      <c r="E42" s="20" t="s">
        <v>333</v>
      </c>
      <c r="H42" s="20">
        <v>2305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140100</v>
      </c>
      <c r="S42" s="20">
        <v>0</v>
      </c>
      <c r="T42" s="20">
        <v>0</v>
      </c>
      <c r="U42" s="20">
        <v>40000</v>
      </c>
      <c r="V42" s="20">
        <v>0</v>
      </c>
      <c r="W42" s="20">
        <v>62900</v>
      </c>
      <c r="X42" s="20">
        <v>0</v>
      </c>
      <c r="Y42" s="20">
        <v>0</v>
      </c>
      <c r="Z42" s="20">
        <v>140100</v>
      </c>
      <c r="AA42" s="20">
        <v>0</v>
      </c>
      <c r="AB42" s="20">
        <v>0</v>
      </c>
      <c r="AC42" s="20">
        <v>40000</v>
      </c>
      <c r="AD42" s="20">
        <v>0</v>
      </c>
      <c r="AE42" s="20">
        <v>62900</v>
      </c>
      <c r="AF42" s="20">
        <v>0</v>
      </c>
      <c r="AG42" s="20">
        <v>0</v>
      </c>
      <c r="AH42" s="21">
        <v>0.85899999999999999</v>
      </c>
      <c r="AI42" s="21">
        <v>0</v>
      </c>
      <c r="AJ42" s="21">
        <v>0</v>
      </c>
      <c r="AK42" s="21">
        <v>0</v>
      </c>
      <c r="AL42" s="21">
        <v>0</v>
      </c>
      <c r="AM42" s="21">
        <v>0</v>
      </c>
      <c r="AN42" s="21">
        <v>0</v>
      </c>
      <c r="AO42" s="21">
        <v>0</v>
      </c>
      <c r="AP42" s="22">
        <v>0</v>
      </c>
      <c r="AQ42" s="22">
        <v>0</v>
      </c>
      <c r="AR42" s="22">
        <v>0</v>
      </c>
      <c r="AS42" s="20">
        <v>0</v>
      </c>
      <c r="AT42" s="20">
        <v>243000</v>
      </c>
      <c r="AU42" s="20">
        <v>0</v>
      </c>
      <c r="AV42" s="20">
        <v>243000</v>
      </c>
      <c r="AW42" s="20">
        <v>243000</v>
      </c>
      <c r="AX42" s="20">
        <v>40000</v>
      </c>
      <c r="AY42" s="20">
        <v>0</v>
      </c>
      <c r="AZ42" s="20">
        <v>62900</v>
      </c>
      <c r="BA42" s="20">
        <v>0</v>
      </c>
      <c r="BB42" s="20">
        <v>0</v>
      </c>
      <c r="BC42" s="20">
        <v>0</v>
      </c>
      <c r="BD42" s="20">
        <v>0</v>
      </c>
    </row>
    <row r="43" spans="1:56" x14ac:dyDescent="0.2">
      <c r="A43" s="20" t="s">
        <v>97</v>
      </c>
      <c r="B43" s="20" t="s">
        <v>98</v>
      </c>
      <c r="C43" s="20" t="s">
        <v>231</v>
      </c>
      <c r="D43" s="20" t="s">
        <v>265</v>
      </c>
      <c r="E43" s="20" t="s">
        <v>335</v>
      </c>
      <c r="H43" s="20">
        <v>2306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0</v>
      </c>
      <c r="P43" s="20">
        <v>0</v>
      </c>
      <c r="Q43" s="20">
        <v>0</v>
      </c>
      <c r="R43" s="20">
        <v>166500</v>
      </c>
      <c r="S43" s="20">
        <v>0</v>
      </c>
      <c r="T43" s="20">
        <v>33700</v>
      </c>
      <c r="U43" s="20">
        <v>40000</v>
      </c>
      <c r="V43" s="20">
        <v>0</v>
      </c>
      <c r="W43" s="20">
        <v>0</v>
      </c>
      <c r="X43" s="20">
        <v>0</v>
      </c>
      <c r="Y43" s="20">
        <v>0</v>
      </c>
      <c r="Z43" s="20">
        <v>166500</v>
      </c>
      <c r="AA43" s="20">
        <v>0</v>
      </c>
      <c r="AB43" s="20">
        <v>33700</v>
      </c>
      <c r="AC43" s="20">
        <v>40000</v>
      </c>
      <c r="AD43" s="20">
        <v>0</v>
      </c>
      <c r="AE43" s="20">
        <v>0</v>
      </c>
      <c r="AF43" s="20">
        <v>0</v>
      </c>
      <c r="AG43" s="20">
        <v>0</v>
      </c>
      <c r="AH43" s="21">
        <v>1.228</v>
      </c>
      <c r="AI43" s="21">
        <v>0</v>
      </c>
      <c r="AJ43" s="21">
        <v>0</v>
      </c>
      <c r="AK43" s="21">
        <v>0</v>
      </c>
      <c r="AL43" s="21">
        <v>0</v>
      </c>
      <c r="AM43" s="21">
        <v>0</v>
      </c>
      <c r="AN43" s="21">
        <v>0</v>
      </c>
      <c r="AO43" s="21">
        <v>0</v>
      </c>
      <c r="AP43" s="22">
        <v>0</v>
      </c>
      <c r="AQ43" s="22">
        <v>0</v>
      </c>
      <c r="AR43" s="22">
        <v>0</v>
      </c>
      <c r="AS43" s="20">
        <v>0</v>
      </c>
      <c r="AT43" s="20">
        <v>240200</v>
      </c>
      <c r="AU43" s="20">
        <v>0</v>
      </c>
      <c r="AV43" s="20">
        <v>240200</v>
      </c>
      <c r="AW43" s="20">
        <v>240200</v>
      </c>
      <c r="AX43" s="20">
        <v>40000</v>
      </c>
      <c r="AY43" s="20">
        <v>0</v>
      </c>
      <c r="AZ43" s="20">
        <v>0</v>
      </c>
      <c r="BA43" s="20">
        <v>33700</v>
      </c>
      <c r="BB43" s="20">
        <v>0</v>
      </c>
      <c r="BC43" s="20">
        <v>0</v>
      </c>
      <c r="BD43" s="20">
        <v>0</v>
      </c>
    </row>
    <row r="44" spans="1:56" x14ac:dyDescent="0.2">
      <c r="A44" s="20" t="s">
        <v>97</v>
      </c>
      <c r="B44" s="20" t="s">
        <v>98</v>
      </c>
      <c r="C44" s="20" t="s">
        <v>231</v>
      </c>
      <c r="D44" s="20" t="s">
        <v>268</v>
      </c>
      <c r="E44" s="20" t="s">
        <v>337</v>
      </c>
      <c r="H44" s="20">
        <v>2307</v>
      </c>
      <c r="I44" s="20">
        <v>0</v>
      </c>
      <c r="J44" s="20">
        <v>12360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176600</v>
      </c>
      <c r="S44" s="20">
        <v>300</v>
      </c>
      <c r="T44" s="20">
        <v>33700</v>
      </c>
      <c r="U44" s="20">
        <v>40000</v>
      </c>
      <c r="V44" s="20">
        <v>0</v>
      </c>
      <c r="W44" s="20">
        <v>0</v>
      </c>
      <c r="X44" s="20">
        <v>0</v>
      </c>
      <c r="Y44" s="20">
        <v>0</v>
      </c>
      <c r="Z44" s="20">
        <v>385970</v>
      </c>
      <c r="AA44" s="20">
        <v>7230</v>
      </c>
      <c r="AB44" s="20">
        <v>67400</v>
      </c>
      <c r="AC44" s="20">
        <v>80000</v>
      </c>
      <c r="AD44" s="20">
        <v>0</v>
      </c>
      <c r="AE44" s="20">
        <v>0</v>
      </c>
      <c r="AF44" s="20">
        <v>0</v>
      </c>
      <c r="AG44" s="20">
        <v>0</v>
      </c>
      <c r="AH44" s="21">
        <v>1.29</v>
      </c>
      <c r="AI44" s="21">
        <v>0</v>
      </c>
      <c r="AJ44" s="21">
        <v>0</v>
      </c>
      <c r="AK44" s="21">
        <v>0</v>
      </c>
      <c r="AL44" s="21">
        <v>0</v>
      </c>
      <c r="AM44" s="21">
        <v>0</v>
      </c>
      <c r="AN44" s="21">
        <v>0</v>
      </c>
      <c r="AO44" s="21">
        <v>0</v>
      </c>
      <c r="AP44" s="22">
        <v>0</v>
      </c>
      <c r="AQ44" s="22">
        <v>0</v>
      </c>
      <c r="AR44" s="22">
        <v>0</v>
      </c>
      <c r="AS44" s="20">
        <v>0</v>
      </c>
      <c r="AT44" s="20">
        <v>262960</v>
      </c>
      <c r="AU44" s="20">
        <v>0</v>
      </c>
      <c r="AV44" s="20">
        <v>540600</v>
      </c>
      <c r="AW44" s="20">
        <v>262960</v>
      </c>
      <c r="AX44" s="20">
        <v>40000</v>
      </c>
      <c r="AY44" s="20">
        <v>0</v>
      </c>
      <c r="AZ44" s="20">
        <v>0</v>
      </c>
      <c r="BA44" s="20">
        <v>33700</v>
      </c>
      <c r="BB44" s="20">
        <v>0</v>
      </c>
      <c r="BC44" s="20">
        <v>0</v>
      </c>
      <c r="BD44" s="20">
        <v>0</v>
      </c>
    </row>
    <row r="45" spans="1:56" x14ac:dyDescent="0.2">
      <c r="A45" s="20" t="s">
        <v>97</v>
      </c>
      <c r="B45" s="20" t="s">
        <v>98</v>
      </c>
      <c r="C45" s="20" t="s">
        <v>231</v>
      </c>
      <c r="D45" s="20" t="s">
        <v>271</v>
      </c>
      <c r="E45" s="20" t="s">
        <v>339</v>
      </c>
      <c r="H45" s="20">
        <v>2308</v>
      </c>
      <c r="I45" s="20">
        <v>4</v>
      </c>
      <c r="J45" s="20">
        <v>763152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191900</v>
      </c>
      <c r="S45" s="20">
        <v>18320</v>
      </c>
      <c r="T45" s="20">
        <v>33700</v>
      </c>
      <c r="U45" s="20">
        <v>40000</v>
      </c>
      <c r="V45" s="20">
        <v>0</v>
      </c>
      <c r="W45" s="20">
        <v>0</v>
      </c>
      <c r="X45" s="20">
        <v>0</v>
      </c>
      <c r="Y45" s="20">
        <v>0</v>
      </c>
      <c r="Z45" s="20">
        <v>122890</v>
      </c>
      <c r="AA45" s="20">
        <v>29710</v>
      </c>
      <c r="AB45" s="20">
        <v>67400</v>
      </c>
      <c r="AC45" s="20">
        <v>80000</v>
      </c>
      <c r="AD45" s="20">
        <v>0</v>
      </c>
      <c r="AE45" s="20">
        <v>0</v>
      </c>
      <c r="AF45" s="20">
        <v>0</v>
      </c>
      <c r="AG45" s="20">
        <v>0</v>
      </c>
      <c r="AH45" s="21">
        <v>1.383</v>
      </c>
      <c r="AI45" s="21">
        <v>0</v>
      </c>
      <c r="AJ45" s="21">
        <v>0</v>
      </c>
      <c r="AK45" s="21">
        <v>0</v>
      </c>
      <c r="AL45" s="21">
        <v>0</v>
      </c>
      <c r="AM45" s="21">
        <v>0</v>
      </c>
      <c r="AN45" s="21">
        <v>0</v>
      </c>
      <c r="AO45" s="21">
        <v>0</v>
      </c>
      <c r="AP45" s="22">
        <v>0</v>
      </c>
      <c r="AQ45" s="22">
        <v>0</v>
      </c>
      <c r="AR45" s="22">
        <v>0</v>
      </c>
      <c r="AS45" s="20">
        <v>0</v>
      </c>
      <c r="AT45" s="20">
        <v>1047072</v>
      </c>
      <c r="AU45" s="20">
        <v>0</v>
      </c>
      <c r="AV45" s="20">
        <v>300000</v>
      </c>
      <c r="AW45" s="20">
        <v>1047072</v>
      </c>
      <c r="AX45" s="20">
        <v>40000</v>
      </c>
      <c r="AY45" s="20">
        <v>0</v>
      </c>
      <c r="AZ45" s="20">
        <v>0</v>
      </c>
      <c r="BA45" s="20">
        <v>33700</v>
      </c>
      <c r="BB45" s="20">
        <v>0</v>
      </c>
      <c r="BC45" s="20">
        <v>0</v>
      </c>
      <c r="BD45" s="20">
        <v>0</v>
      </c>
    </row>
    <row r="46" spans="1:56" x14ac:dyDescent="0.2">
      <c r="A46" s="20" t="s">
        <v>97</v>
      </c>
      <c r="B46" s="20" t="s">
        <v>98</v>
      </c>
      <c r="C46" s="20" t="s">
        <v>231</v>
      </c>
      <c r="D46" s="20" t="s">
        <v>274</v>
      </c>
      <c r="E46" s="20" t="s">
        <v>341</v>
      </c>
      <c r="H46" s="20">
        <v>2309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20">
        <v>0</v>
      </c>
      <c r="O46" s="20">
        <v>0</v>
      </c>
      <c r="P46" s="20">
        <v>0</v>
      </c>
      <c r="Q46" s="20">
        <v>0</v>
      </c>
      <c r="R46" s="20">
        <v>140100</v>
      </c>
      <c r="S46" s="20">
        <v>0</v>
      </c>
      <c r="T46" s="20">
        <v>0</v>
      </c>
      <c r="U46" s="20">
        <v>40000</v>
      </c>
      <c r="V46" s="20">
        <v>0</v>
      </c>
      <c r="W46" s="20">
        <v>0</v>
      </c>
      <c r="X46" s="20">
        <v>4300</v>
      </c>
      <c r="Y46" s="20">
        <v>0</v>
      </c>
      <c r="Z46" s="20">
        <v>139700</v>
      </c>
      <c r="AA46" s="20">
        <v>0</v>
      </c>
      <c r="AB46" s="20">
        <v>0</v>
      </c>
      <c r="AC46" s="20">
        <v>40000</v>
      </c>
      <c r="AD46" s="20">
        <v>0</v>
      </c>
      <c r="AE46" s="20">
        <v>0</v>
      </c>
      <c r="AF46" s="20">
        <v>4300</v>
      </c>
      <c r="AG46" s="20">
        <v>0</v>
      </c>
      <c r="AH46" s="21">
        <v>0.85899999999999999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1">
        <v>0</v>
      </c>
      <c r="AO46" s="21">
        <v>0</v>
      </c>
      <c r="AP46" s="22">
        <v>0</v>
      </c>
      <c r="AQ46" s="22">
        <v>0</v>
      </c>
      <c r="AR46" s="22">
        <v>0</v>
      </c>
      <c r="AS46" s="20">
        <v>0</v>
      </c>
      <c r="AT46" s="20">
        <v>184400</v>
      </c>
      <c r="AU46" s="20">
        <v>0</v>
      </c>
      <c r="AV46" s="20">
        <v>184000</v>
      </c>
      <c r="AW46" s="20">
        <v>184400</v>
      </c>
      <c r="AX46" s="20">
        <v>40000</v>
      </c>
      <c r="AY46" s="20">
        <v>0</v>
      </c>
      <c r="AZ46" s="20">
        <v>0</v>
      </c>
      <c r="BA46" s="20">
        <v>0</v>
      </c>
      <c r="BB46" s="20">
        <v>4300</v>
      </c>
      <c r="BC46" s="20">
        <v>0</v>
      </c>
      <c r="BD46" s="20">
        <v>0</v>
      </c>
    </row>
    <row r="47" spans="1:56" x14ac:dyDescent="0.2">
      <c r="A47" s="20" t="s">
        <v>97</v>
      </c>
      <c r="B47" s="20" t="s">
        <v>98</v>
      </c>
      <c r="C47" s="20" t="s">
        <v>231</v>
      </c>
      <c r="D47" s="20" t="s">
        <v>277</v>
      </c>
      <c r="E47" s="20" t="s">
        <v>342</v>
      </c>
      <c r="H47" s="20">
        <v>2310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166500</v>
      </c>
      <c r="S47" s="20">
        <v>0</v>
      </c>
      <c r="T47" s="20">
        <v>0</v>
      </c>
      <c r="U47" s="20">
        <v>40000</v>
      </c>
      <c r="V47" s="20">
        <v>0</v>
      </c>
      <c r="W47" s="20">
        <v>0</v>
      </c>
      <c r="X47" s="20">
        <v>0</v>
      </c>
      <c r="Y47" s="20">
        <v>0</v>
      </c>
      <c r="Z47" s="20">
        <v>33000</v>
      </c>
      <c r="AA47" s="20">
        <v>0</v>
      </c>
      <c r="AB47" s="20">
        <v>0</v>
      </c>
      <c r="AC47" s="20">
        <v>80000</v>
      </c>
      <c r="AD47" s="20">
        <v>0</v>
      </c>
      <c r="AE47" s="20">
        <v>0</v>
      </c>
      <c r="AF47" s="20">
        <v>0</v>
      </c>
      <c r="AG47" s="20">
        <v>0</v>
      </c>
      <c r="AH47" s="21">
        <v>1.0209999999999999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1">
        <v>0</v>
      </c>
      <c r="AO47" s="21">
        <v>0</v>
      </c>
      <c r="AP47" s="22">
        <v>0</v>
      </c>
      <c r="AQ47" s="22">
        <v>0</v>
      </c>
      <c r="AR47" s="22">
        <v>0</v>
      </c>
      <c r="AS47" s="20">
        <v>0</v>
      </c>
      <c r="AT47" s="20">
        <v>206500</v>
      </c>
      <c r="AU47" s="20">
        <v>0</v>
      </c>
      <c r="AV47" s="20">
        <v>113000</v>
      </c>
      <c r="AW47" s="20">
        <v>206500</v>
      </c>
      <c r="AX47" s="20">
        <v>40000</v>
      </c>
      <c r="AY47" s="20">
        <v>0</v>
      </c>
      <c r="AZ47" s="20">
        <v>0</v>
      </c>
      <c r="BA47" s="20">
        <v>0</v>
      </c>
      <c r="BB47" s="20">
        <v>0</v>
      </c>
      <c r="BC47" s="20">
        <v>0</v>
      </c>
      <c r="BD47" s="20">
        <v>0</v>
      </c>
    </row>
    <row r="48" spans="1:56" x14ac:dyDescent="0.2">
      <c r="A48" s="20" t="s">
        <v>97</v>
      </c>
      <c r="B48" s="20" t="s">
        <v>98</v>
      </c>
      <c r="C48" s="20" t="s">
        <v>231</v>
      </c>
      <c r="D48" s="20" t="s">
        <v>280</v>
      </c>
      <c r="E48" s="20" t="s">
        <v>344</v>
      </c>
      <c r="H48" s="20">
        <v>2311</v>
      </c>
      <c r="I48" s="20">
        <v>-1</v>
      </c>
      <c r="J48" s="20">
        <v>-147400</v>
      </c>
      <c r="K48" s="20">
        <v>0</v>
      </c>
      <c r="L48" s="20">
        <v>67400</v>
      </c>
      <c r="M48" s="20">
        <v>80000</v>
      </c>
      <c r="N48" s="20">
        <v>0</v>
      </c>
      <c r="O48" s="20">
        <v>0</v>
      </c>
      <c r="P48" s="20">
        <v>0</v>
      </c>
      <c r="Q48" s="20">
        <v>0</v>
      </c>
      <c r="R48" s="20">
        <v>176600</v>
      </c>
      <c r="S48" s="20">
        <v>0</v>
      </c>
      <c r="T48" s="20">
        <v>33700</v>
      </c>
      <c r="U48" s="20">
        <v>40000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0</v>
      </c>
      <c r="AB48" s="20">
        <v>0</v>
      </c>
      <c r="AC48" s="20">
        <v>0</v>
      </c>
      <c r="AD48" s="20">
        <v>0</v>
      </c>
      <c r="AE48" s="20">
        <v>0</v>
      </c>
      <c r="AF48" s="20">
        <v>0</v>
      </c>
      <c r="AG48" s="20">
        <v>0</v>
      </c>
      <c r="AH48" s="21">
        <v>1.29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1">
        <v>0</v>
      </c>
      <c r="AO48" s="21">
        <v>0</v>
      </c>
      <c r="AP48" s="22">
        <v>0</v>
      </c>
      <c r="AQ48" s="22">
        <v>0</v>
      </c>
      <c r="AR48" s="22">
        <v>0</v>
      </c>
      <c r="AS48" s="20">
        <v>0</v>
      </c>
      <c r="AT48" s="20">
        <v>250300</v>
      </c>
      <c r="AU48" s="20">
        <v>0</v>
      </c>
      <c r="AV48" s="20">
        <v>0</v>
      </c>
      <c r="AW48" s="20">
        <v>250300</v>
      </c>
      <c r="AX48" s="20">
        <v>40000</v>
      </c>
      <c r="AY48" s="20">
        <v>0</v>
      </c>
      <c r="AZ48" s="20">
        <v>0</v>
      </c>
      <c r="BA48" s="20">
        <v>33700</v>
      </c>
      <c r="BB48" s="20">
        <v>0</v>
      </c>
      <c r="BC48" s="20">
        <v>0</v>
      </c>
      <c r="BD48" s="20">
        <v>0</v>
      </c>
    </row>
    <row r="49" spans="1:56" x14ac:dyDescent="0.2">
      <c r="A49" s="20" t="s">
        <v>97</v>
      </c>
      <c r="B49" s="20" t="s">
        <v>98</v>
      </c>
      <c r="C49" s="20" t="s">
        <v>231</v>
      </c>
      <c r="D49" s="20" t="s">
        <v>283</v>
      </c>
      <c r="E49" s="20" t="s">
        <v>346</v>
      </c>
      <c r="H49" s="20">
        <v>2312</v>
      </c>
      <c r="I49" s="20">
        <v>0</v>
      </c>
      <c r="J49" s="20">
        <v>-80000</v>
      </c>
      <c r="K49" s="20">
        <v>0</v>
      </c>
      <c r="L49" s="20">
        <v>0</v>
      </c>
      <c r="M49" s="20">
        <v>80000</v>
      </c>
      <c r="N49" s="20">
        <v>0</v>
      </c>
      <c r="O49" s="20">
        <v>0</v>
      </c>
      <c r="P49" s="20">
        <v>0</v>
      </c>
      <c r="Q49" s="20">
        <v>0</v>
      </c>
      <c r="R49" s="20">
        <v>191900</v>
      </c>
      <c r="S49" s="20">
        <v>0</v>
      </c>
      <c r="T49" s="20">
        <v>0</v>
      </c>
      <c r="U49" s="20">
        <v>40000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0</v>
      </c>
      <c r="AB49" s="20">
        <v>0</v>
      </c>
      <c r="AC49" s="20">
        <v>0</v>
      </c>
      <c r="AD49" s="20">
        <v>0</v>
      </c>
      <c r="AE49" s="20">
        <v>0</v>
      </c>
      <c r="AF49" s="20">
        <v>0</v>
      </c>
      <c r="AG49" s="20">
        <v>0</v>
      </c>
      <c r="AH49" s="21">
        <v>1.1759999999999999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1">
        <v>0</v>
      </c>
      <c r="AO49" s="21">
        <v>0</v>
      </c>
      <c r="AP49" s="22">
        <v>0</v>
      </c>
      <c r="AQ49" s="22">
        <v>0</v>
      </c>
      <c r="AR49" s="22">
        <v>0</v>
      </c>
      <c r="AS49" s="20">
        <v>0</v>
      </c>
      <c r="AT49" s="20">
        <v>231900</v>
      </c>
      <c r="AU49" s="20">
        <v>0</v>
      </c>
      <c r="AV49" s="20">
        <v>0</v>
      </c>
      <c r="AW49" s="20">
        <v>231900</v>
      </c>
      <c r="AX49" s="20">
        <v>40000</v>
      </c>
      <c r="AY49" s="20">
        <v>0</v>
      </c>
      <c r="AZ49" s="20">
        <v>0</v>
      </c>
      <c r="BA49" s="20">
        <v>0</v>
      </c>
      <c r="BB49" s="20">
        <v>0</v>
      </c>
      <c r="BC49" s="20">
        <v>0</v>
      </c>
      <c r="BD49" s="20">
        <v>0</v>
      </c>
    </row>
    <row r="50" spans="1:56" x14ac:dyDescent="0.2">
      <c r="A50" s="20" t="s">
        <v>97</v>
      </c>
      <c r="B50" s="20" t="s">
        <v>98</v>
      </c>
      <c r="C50" s="20" t="s">
        <v>231</v>
      </c>
      <c r="D50" s="20" t="s">
        <v>286</v>
      </c>
      <c r="E50" s="20" t="s">
        <v>348</v>
      </c>
      <c r="H50" s="20">
        <v>2313</v>
      </c>
      <c r="I50" s="20">
        <v>1</v>
      </c>
      <c r="J50" s="20">
        <v>140100</v>
      </c>
      <c r="K50" s="20">
        <v>0</v>
      </c>
      <c r="L50" s="20">
        <v>0</v>
      </c>
      <c r="M50" s="20">
        <v>40000</v>
      </c>
      <c r="N50" s="20">
        <v>0</v>
      </c>
      <c r="O50" s="20">
        <v>0</v>
      </c>
      <c r="P50" s="20">
        <v>0</v>
      </c>
      <c r="Q50" s="20">
        <v>0</v>
      </c>
      <c r="R50" s="20">
        <v>140100</v>
      </c>
      <c r="S50" s="20">
        <v>3360</v>
      </c>
      <c r="T50" s="20">
        <v>0</v>
      </c>
      <c r="U50" s="20">
        <v>40000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0</v>
      </c>
      <c r="AB50" s="20">
        <v>0</v>
      </c>
      <c r="AC50" s="20">
        <v>0</v>
      </c>
      <c r="AD50" s="20">
        <v>0</v>
      </c>
      <c r="AE50" s="20">
        <v>0</v>
      </c>
      <c r="AF50" s="20">
        <v>0</v>
      </c>
      <c r="AG50" s="20">
        <v>0</v>
      </c>
      <c r="AH50" s="21">
        <v>0.85899999999999999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1">
        <v>0</v>
      </c>
      <c r="AO50" s="21">
        <v>0</v>
      </c>
      <c r="AP50" s="22">
        <v>0</v>
      </c>
      <c r="AQ50" s="22">
        <v>0</v>
      </c>
      <c r="AR50" s="22">
        <v>0</v>
      </c>
      <c r="AS50" s="20">
        <v>0</v>
      </c>
      <c r="AT50" s="20">
        <v>363560</v>
      </c>
      <c r="AU50" s="20">
        <v>0</v>
      </c>
      <c r="AV50" s="20">
        <v>0</v>
      </c>
      <c r="AW50" s="20">
        <v>363560</v>
      </c>
      <c r="AX50" s="20">
        <v>40000</v>
      </c>
      <c r="AY50" s="20">
        <v>0</v>
      </c>
      <c r="AZ50" s="20">
        <v>0</v>
      </c>
      <c r="BA50" s="20">
        <v>0</v>
      </c>
      <c r="BB50" s="20">
        <v>0</v>
      </c>
      <c r="BC50" s="20">
        <v>0</v>
      </c>
      <c r="BD50" s="20">
        <v>0</v>
      </c>
    </row>
    <row r="51" spans="1:56" x14ac:dyDescent="0.2">
      <c r="A51" s="20" t="s">
        <v>97</v>
      </c>
      <c r="B51" s="20" t="s">
        <v>98</v>
      </c>
      <c r="C51" s="20" t="s">
        <v>231</v>
      </c>
      <c r="D51" s="20" t="s">
        <v>289</v>
      </c>
      <c r="E51" s="20" t="s">
        <v>350</v>
      </c>
      <c r="H51" s="20">
        <v>2314</v>
      </c>
      <c r="I51" s="20">
        <v>2</v>
      </c>
      <c r="J51" s="20">
        <v>273000</v>
      </c>
      <c r="K51" s="20">
        <v>0</v>
      </c>
      <c r="L51" s="20">
        <v>0</v>
      </c>
      <c r="M51" s="20">
        <v>40000</v>
      </c>
      <c r="N51" s="20">
        <v>0</v>
      </c>
      <c r="O51" s="20">
        <v>0</v>
      </c>
      <c r="P51" s="20">
        <v>0</v>
      </c>
      <c r="Q51" s="20">
        <v>0</v>
      </c>
      <c r="R51" s="20">
        <v>166500</v>
      </c>
      <c r="S51" s="20">
        <v>0</v>
      </c>
      <c r="T51" s="20">
        <v>0</v>
      </c>
      <c r="U51" s="20">
        <v>40000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0</v>
      </c>
      <c r="AB51" s="20">
        <v>0</v>
      </c>
      <c r="AC51" s="20">
        <v>0</v>
      </c>
      <c r="AD51" s="20">
        <v>0</v>
      </c>
      <c r="AE51" s="20">
        <v>0</v>
      </c>
      <c r="AF51" s="20">
        <v>0</v>
      </c>
      <c r="AG51" s="20">
        <v>0</v>
      </c>
      <c r="AH51" s="21">
        <v>1.0209999999999999</v>
      </c>
      <c r="AI51" s="21">
        <v>0</v>
      </c>
      <c r="AJ51" s="21">
        <v>0</v>
      </c>
      <c r="AK51" s="21">
        <v>0</v>
      </c>
      <c r="AL51" s="21">
        <v>0</v>
      </c>
      <c r="AM51" s="21">
        <v>0</v>
      </c>
      <c r="AN51" s="21">
        <v>0</v>
      </c>
      <c r="AO51" s="21">
        <v>0</v>
      </c>
      <c r="AP51" s="22">
        <v>0</v>
      </c>
      <c r="AQ51" s="22">
        <v>0</v>
      </c>
      <c r="AR51" s="22">
        <v>0</v>
      </c>
      <c r="AS51" s="20">
        <v>0</v>
      </c>
      <c r="AT51" s="20">
        <v>519500</v>
      </c>
      <c r="AU51" s="20">
        <v>0</v>
      </c>
      <c r="AV51" s="20">
        <v>0</v>
      </c>
      <c r="AW51" s="20">
        <v>519500</v>
      </c>
      <c r="AX51" s="20">
        <v>40000</v>
      </c>
      <c r="AY51" s="20">
        <v>0</v>
      </c>
      <c r="AZ51" s="20">
        <v>0</v>
      </c>
      <c r="BA51" s="20">
        <v>0</v>
      </c>
      <c r="BB51" s="20">
        <v>0</v>
      </c>
      <c r="BC51" s="20">
        <v>0</v>
      </c>
      <c r="BD51" s="20">
        <v>0</v>
      </c>
    </row>
    <row r="52" spans="1:56" x14ac:dyDescent="0.2">
      <c r="A52" s="20" t="s">
        <v>97</v>
      </c>
      <c r="B52" s="20" t="s">
        <v>98</v>
      </c>
      <c r="C52" s="20" t="s">
        <v>232</v>
      </c>
      <c r="D52" s="20" t="s">
        <v>234</v>
      </c>
      <c r="E52" s="20" t="s">
        <v>352</v>
      </c>
      <c r="H52" s="20">
        <v>2315</v>
      </c>
      <c r="I52" s="20">
        <v>5</v>
      </c>
      <c r="J52" s="20">
        <v>716790</v>
      </c>
      <c r="K52" s="20">
        <v>13840</v>
      </c>
      <c r="L52" s="20">
        <v>0</v>
      </c>
      <c r="M52" s="20">
        <v>40000</v>
      </c>
      <c r="N52" s="20">
        <v>0</v>
      </c>
      <c r="O52" s="20">
        <v>0</v>
      </c>
      <c r="P52" s="20">
        <v>0</v>
      </c>
      <c r="Q52" s="20">
        <v>0</v>
      </c>
      <c r="R52" s="20">
        <v>140100</v>
      </c>
      <c r="S52" s="20">
        <v>17200</v>
      </c>
      <c r="T52" s="20">
        <v>0</v>
      </c>
      <c r="U52" s="20">
        <v>40000</v>
      </c>
      <c r="V52" s="20">
        <v>0</v>
      </c>
      <c r="W52" s="20">
        <v>0</v>
      </c>
      <c r="X52" s="20">
        <v>0</v>
      </c>
      <c r="Y52" s="20">
        <v>0</v>
      </c>
      <c r="Z52" s="20">
        <v>0</v>
      </c>
      <c r="AA52" s="20">
        <v>0</v>
      </c>
      <c r="AB52" s="20">
        <v>0</v>
      </c>
      <c r="AC52" s="20">
        <v>0</v>
      </c>
      <c r="AD52" s="20">
        <v>0</v>
      </c>
      <c r="AE52" s="20">
        <v>0</v>
      </c>
      <c r="AF52" s="20">
        <v>0</v>
      </c>
      <c r="AG52" s="20">
        <v>0</v>
      </c>
      <c r="AH52" s="21">
        <v>0.85899999999999999</v>
      </c>
      <c r="AI52" s="21">
        <v>0</v>
      </c>
      <c r="AJ52" s="21">
        <v>0</v>
      </c>
      <c r="AK52" s="21">
        <v>0</v>
      </c>
      <c r="AL52" s="21">
        <v>0</v>
      </c>
      <c r="AM52" s="21">
        <v>0</v>
      </c>
      <c r="AN52" s="21">
        <v>0</v>
      </c>
      <c r="AO52" s="21">
        <v>0</v>
      </c>
      <c r="AP52" s="22">
        <v>0</v>
      </c>
      <c r="AQ52" s="22">
        <v>0</v>
      </c>
      <c r="AR52" s="22">
        <v>0</v>
      </c>
      <c r="AS52" s="20">
        <v>0</v>
      </c>
      <c r="AT52" s="20">
        <v>967930</v>
      </c>
      <c r="AU52" s="20">
        <v>0</v>
      </c>
      <c r="AV52" s="20">
        <v>0</v>
      </c>
      <c r="AW52" s="20">
        <v>967930</v>
      </c>
      <c r="AX52" s="20">
        <v>40000</v>
      </c>
      <c r="AY52" s="20">
        <v>0</v>
      </c>
      <c r="AZ52" s="20">
        <v>0</v>
      </c>
      <c r="BA52" s="20">
        <v>0</v>
      </c>
      <c r="BB52" s="20">
        <v>0</v>
      </c>
      <c r="BC52" s="20">
        <v>0</v>
      </c>
      <c r="BD52" s="20">
        <v>0</v>
      </c>
    </row>
    <row r="53" spans="1:56" x14ac:dyDescent="0.2">
      <c r="A53" s="20" t="s">
        <v>97</v>
      </c>
      <c r="B53" s="20" t="s">
        <v>98</v>
      </c>
      <c r="C53" s="20" t="s">
        <v>232</v>
      </c>
      <c r="D53" s="20" t="s">
        <v>237</v>
      </c>
      <c r="E53" s="20" t="s">
        <v>354</v>
      </c>
      <c r="H53" s="20">
        <v>2316</v>
      </c>
      <c r="I53" s="20">
        <v>2</v>
      </c>
      <c r="J53" s="20">
        <v>250520</v>
      </c>
      <c r="K53" s="20">
        <v>2020</v>
      </c>
      <c r="L53" s="20">
        <v>0</v>
      </c>
      <c r="M53" s="20">
        <v>40000</v>
      </c>
      <c r="N53" s="20">
        <v>0</v>
      </c>
      <c r="O53" s="20">
        <v>0</v>
      </c>
      <c r="P53" s="20">
        <v>0</v>
      </c>
      <c r="Q53" s="20">
        <v>0</v>
      </c>
      <c r="R53" s="20">
        <v>166500</v>
      </c>
      <c r="S53" s="20">
        <v>6010</v>
      </c>
      <c r="T53" s="20">
        <v>0</v>
      </c>
      <c r="U53" s="20">
        <v>40000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1">
        <v>1.0209999999999999</v>
      </c>
      <c r="AI53" s="21">
        <v>0</v>
      </c>
      <c r="AJ53" s="21">
        <v>0</v>
      </c>
      <c r="AK53" s="21">
        <v>0</v>
      </c>
      <c r="AL53" s="21">
        <v>0</v>
      </c>
      <c r="AM53" s="21">
        <v>0</v>
      </c>
      <c r="AN53" s="21">
        <v>0</v>
      </c>
      <c r="AO53" s="21">
        <v>0</v>
      </c>
      <c r="AP53" s="22">
        <v>0</v>
      </c>
      <c r="AQ53" s="22">
        <v>0</v>
      </c>
      <c r="AR53" s="22">
        <v>0</v>
      </c>
      <c r="AS53" s="20">
        <v>0</v>
      </c>
      <c r="AT53" s="20">
        <v>505050</v>
      </c>
      <c r="AU53" s="20">
        <v>0</v>
      </c>
      <c r="AV53" s="20">
        <v>0</v>
      </c>
      <c r="AW53" s="20">
        <v>505050</v>
      </c>
      <c r="AX53" s="20">
        <v>40000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</row>
    <row r="54" spans="1:56" x14ac:dyDescent="0.2">
      <c r="A54" s="20" t="s">
        <v>97</v>
      </c>
      <c r="B54" s="20" t="s">
        <v>98</v>
      </c>
      <c r="C54" s="20" t="s">
        <v>232</v>
      </c>
      <c r="D54" s="20" t="s">
        <v>240</v>
      </c>
      <c r="E54" s="20" t="s">
        <v>356</v>
      </c>
      <c r="H54" s="20">
        <v>2317</v>
      </c>
      <c r="I54" s="20">
        <v>1</v>
      </c>
      <c r="J54" s="20">
        <v>122920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196300</v>
      </c>
      <c r="S54" s="20">
        <v>2950</v>
      </c>
      <c r="T54" s="20">
        <v>33700</v>
      </c>
      <c r="U54" s="20">
        <v>40000</v>
      </c>
      <c r="V54" s="20">
        <v>0</v>
      </c>
      <c r="W54" s="20">
        <v>0</v>
      </c>
      <c r="X54" s="20">
        <v>0</v>
      </c>
      <c r="Y54" s="20">
        <v>0</v>
      </c>
      <c r="Z54" s="20">
        <v>154360</v>
      </c>
      <c r="AA54" s="20">
        <v>1940</v>
      </c>
      <c r="AB54" s="20">
        <v>33700</v>
      </c>
      <c r="AC54" s="20">
        <v>40000</v>
      </c>
      <c r="AD54" s="20">
        <v>0</v>
      </c>
      <c r="AE54" s="20">
        <v>0</v>
      </c>
      <c r="AF54" s="20">
        <v>0</v>
      </c>
      <c r="AG54" s="20">
        <v>0</v>
      </c>
      <c r="AH54" s="21">
        <v>1.41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1">
        <v>0</v>
      </c>
      <c r="AO54" s="21">
        <v>0</v>
      </c>
      <c r="AP54" s="22">
        <v>0</v>
      </c>
      <c r="AQ54" s="22">
        <v>0</v>
      </c>
      <c r="AR54" s="22">
        <v>0</v>
      </c>
      <c r="AS54" s="20">
        <v>0</v>
      </c>
      <c r="AT54" s="20">
        <v>395870</v>
      </c>
      <c r="AU54" s="20">
        <v>0</v>
      </c>
      <c r="AV54" s="20">
        <v>230000</v>
      </c>
      <c r="AW54" s="20">
        <v>395870</v>
      </c>
      <c r="AX54" s="20">
        <v>40000</v>
      </c>
      <c r="AY54" s="20">
        <v>0</v>
      </c>
      <c r="AZ54" s="20">
        <v>0</v>
      </c>
      <c r="BA54" s="20">
        <v>33700</v>
      </c>
      <c r="BB54" s="20">
        <v>0</v>
      </c>
      <c r="BC54" s="20">
        <v>0</v>
      </c>
      <c r="BD54" s="20">
        <v>0</v>
      </c>
    </row>
    <row r="55" spans="1:56" x14ac:dyDescent="0.2">
      <c r="A55" s="20" t="s">
        <v>97</v>
      </c>
      <c r="B55" s="20" t="s">
        <v>98</v>
      </c>
      <c r="C55" s="20" t="s">
        <v>232</v>
      </c>
      <c r="D55" s="20" t="s">
        <v>243</v>
      </c>
      <c r="E55" s="20" t="s">
        <v>358</v>
      </c>
      <c r="H55" s="20">
        <v>2318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216500</v>
      </c>
      <c r="S55" s="20">
        <v>0</v>
      </c>
      <c r="T55" s="20">
        <v>33700</v>
      </c>
      <c r="U55" s="20">
        <v>40000</v>
      </c>
      <c r="V55" s="20">
        <v>0</v>
      </c>
      <c r="W55" s="20">
        <v>62900</v>
      </c>
      <c r="X55" s="20">
        <v>0</v>
      </c>
      <c r="Y55" s="20">
        <v>0</v>
      </c>
      <c r="Z55" s="20">
        <v>216500</v>
      </c>
      <c r="AA55" s="20">
        <v>0</v>
      </c>
      <c r="AB55" s="20">
        <v>33700</v>
      </c>
      <c r="AC55" s="20">
        <v>40000</v>
      </c>
      <c r="AD55" s="20">
        <v>0</v>
      </c>
      <c r="AE55" s="20">
        <v>62900</v>
      </c>
      <c r="AF55" s="20">
        <v>0</v>
      </c>
      <c r="AG55" s="20">
        <v>0</v>
      </c>
      <c r="AH55" s="21">
        <v>1.5349999999999999</v>
      </c>
      <c r="AI55" s="21">
        <v>0</v>
      </c>
      <c r="AJ55" s="21">
        <v>0</v>
      </c>
      <c r="AK55" s="21">
        <v>0</v>
      </c>
      <c r="AL55" s="21">
        <v>0</v>
      </c>
      <c r="AM55" s="21">
        <v>0</v>
      </c>
      <c r="AN55" s="21">
        <v>0</v>
      </c>
      <c r="AO55" s="21">
        <v>0</v>
      </c>
      <c r="AP55" s="22">
        <v>0</v>
      </c>
      <c r="AQ55" s="22">
        <v>0</v>
      </c>
      <c r="AR55" s="22">
        <v>0</v>
      </c>
      <c r="AS55" s="20">
        <v>0</v>
      </c>
      <c r="AT55" s="20">
        <v>353100</v>
      </c>
      <c r="AU55" s="20">
        <v>0</v>
      </c>
      <c r="AV55" s="20">
        <v>353100</v>
      </c>
      <c r="AW55" s="20">
        <v>353100</v>
      </c>
      <c r="AX55" s="20">
        <v>40000</v>
      </c>
      <c r="AY55" s="20">
        <v>0</v>
      </c>
      <c r="AZ55" s="20">
        <v>62900</v>
      </c>
      <c r="BA55" s="20">
        <v>33700</v>
      </c>
      <c r="BB55" s="20">
        <v>0</v>
      </c>
      <c r="BC55" s="20">
        <v>0</v>
      </c>
      <c r="BD55" s="20">
        <v>0</v>
      </c>
    </row>
    <row r="56" spans="1:56" x14ac:dyDescent="0.2">
      <c r="A56" s="20" t="s">
        <v>97</v>
      </c>
      <c r="B56" s="20" t="s">
        <v>98</v>
      </c>
      <c r="C56" s="20" t="s">
        <v>232</v>
      </c>
      <c r="D56" s="20" t="s">
        <v>360</v>
      </c>
      <c r="E56" s="20" t="s">
        <v>361</v>
      </c>
      <c r="H56" s="20">
        <v>2319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196300</v>
      </c>
      <c r="S56" s="20">
        <v>0</v>
      </c>
      <c r="T56" s="20">
        <v>0</v>
      </c>
      <c r="U56" s="20">
        <v>40000</v>
      </c>
      <c r="V56" s="20">
        <v>0</v>
      </c>
      <c r="W56" s="20">
        <v>62900</v>
      </c>
      <c r="X56" s="20">
        <v>0</v>
      </c>
      <c r="Y56" s="20">
        <v>0</v>
      </c>
      <c r="Z56" s="20">
        <v>196300</v>
      </c>
      <c r="AA56" s="20">
        <v>0</v>
      </c>
      <c r="AB56" s="20">
        <v>0</v>
      </c>
      <c r="AC56" s="20">
        <v>40000</v>
      </c>
      <c r="AD56" s="20">
        <v>0</v>
      </c>
      <c r="AE56" s="20">
        <v>62900</v>
      </c>
      <c r="AF56" s="20">
        <v>0</v>
      </c>
      <c r="AG56" s="20">
        <v>0</v>
      </c>
      <c r="AH56" s="21">
        <v>1.2030000000000001</v>
      </c>
      <c r="AI56" s="21">
        <v>0</v>
      </c>
      <c r="AJ56" s="21">
        <v>0</v>
      </c>
      <c r="AK56" s="21">
        <v>0</v>
      </c>
      <c r="AL56" s="21">
        <v>0</v>
      </c>
      <c r="AM56" s="21">
        <v>0</v>
      </c>
      <c r="AN56" s="21">
        <v>0</v>
      </c>
      <c r="AO56" s="21">
        <v>0</v>
      </c>
      <c r="AP56" s="22">
        <v>0</v>
      </c>
      <c r="AQ56" s="22">
        <v>0</v>
      </c>
      <c r="AR56" s="22">
        <v>0</v>
      </c>
      <c r="AS56" s="20">
        <v>0</v>
      </c>
      <c r="AT56" s="20">
        <v>299200</v>
      </c>
      <c r="AU56" s="20">
        <v>0</v>
      </c>
      <c r="AV56" s="20">
        <v>299200</v>
      </c>
      <c r="AW56" s="20">
        <v>299200</v>
      </c>
      <c r="AX56" s="20">
        <v>40000</v>
      </c>
      <c r="AY56" s="20">
        <v>0</v>
      </c>
      <c r="AZ56" s="20">
        <v>62900</v>
      </c>
      <c r="BA56" s="20">
        <v>0</v>
      </c>
      <c r="BB56" s="20">
        <v>0</v>
      </c>
      <c r="BC56" s="20">
        <v>0</v>
      </c>
      <c r="BD56" s="20">
        <v>0</v>
      </c>
    </row>
    <row r="57" spans="1:56" x14ac:dyDescent="0.2">
      <c r="A57" s="20" t="s">
        <v>97</v>
      </c>
      <c r="B57" s="20" t="s">
        <v>98</v>
      </c>
      <c r="C57" s="20" t="s">
        <v>232</v>
      </c>
      <c r="D57" s="20" t="s">
        <v>363</v>
      </c>
      <c r="E57" s="20" t="s">
        <v>364</v>
      </c>
      <c r="H57" s="20">
        <v>2320</v>
      </c>
      <c r="I57" s="20">
        <v>1</v>
      </c>
      <c r="J57" s="20">
        <v>216500</v>
      </c>
      <c r="K57" s="20">
        <v>0</v>
      </c>
      <c r="L57" s="20">
        <v>33700</v>
      </c>
      <c r="M57" s="20">
        <v>40000</v>
      </c>
      <c r="N57" s="20">
        <v>0</v>
      </c>
      <c r="O57" s="20">
        <v>0</v>
      </c>
      <c r="P57" s="20">
        <v>0</v>
      </c>
      <c r="Q57" s="20">
        <v>0</v>
      </c>
      <c r="R57" s="20">
        <v>216500</v>
      </c>
      <c r="S57" s="20">
        <v>6000</v>
      </c>
      <c r="T57" s="20">
        <v>33700</v>
      </c>
      <c r="U57" s="20">
        <v>40000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1">
        <v>1.534</v>
      </c>
      <c r="AI57" s="21">
        <v>0</v>
      </c>
      <c r="AJ57" s="21">
        <v>0</v>
      </c>
      <c r="AK57" s="21">
        <v>0</v>
      </c>
      <c r="AL57" s="21">
        <v>0</v>
      </c>
      <c r="AM57" s="21">
        <v>0</v>
      </c>
      <c r="AN57" s="21">
        <v>0</v>
      </c>
      <c r="AO57" s="21">
        <v>0</v>
      </c>
      <c r="AP57" s="22">
        <v>0</v>
      </c>
      <c r="AQ57" s="22">
        <v>0</v>
      </c>
      <c r="AR57" s="22">
        <v>0</v>
      </c>
      <c r="AS57" s="20">
        <v>0</v>
      </c>
      <c r="AT57" s="20">
        <v>586400</v>
      </c>
      <c r="AU57" s="20">
        <v>0</v>
      </c>
      <c r="AV57" s="20">
        <v>0</v>
      </c>
      <c r="AW57" s="20">
        <v>586400</v>
      </c>
      <c r="AX57" s="20">
        <v>40000</v>
      </c>
      <c r="AY57" s="20">
        <v>0</v>
      </c>
      <c r="AZ57" s="20">
        <v>0</v>
      </c>
      <c r="BA57" s="20">
        <v>33700</v>
      </c>
      <c r="BB57" s="20">
        <v>0</v>
      </c>
      <c r="BC57" s="20">
        <v>0</v>
      </c>
      <c r="BD57" s="20">
        <v>0</v>
      </c>
    </row>
    <row r="58" spans="1:56" x14ac:dyDescent="0.2">
      <c r="A58" s="20" t="s">
        <v>97</v>
      </c>
      <c r="B58" s="20" t="s">
        <v>98</v>
      </c>
      <c r="C58" s="20" t="s">
        <v>232</v>
      </c>
      <c r="D58" s="20" t="s">
        <v>366</v>
      </c>
      <c r="E58" s="20" t="s">
        <v>367</v>
      </c>
      <c r="H58" s="20">
        <v>2321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140100</v>
      </c>
      <c r="S58" s="20">
        <v>0</v>
      </c>
      <c r="T58" s="20">
        <v>0</v>
      </c>
      <c r="U58" s="20">
        <v>40000</v>
      </c>
      <c r="V58" s="20">
        <v>0</v>
      </c>
      <c r="W58" s="20">
        <v>62900</v>
      </c>
      <c r="X58" s="20">
        <v>0</v>
      </c>
      <c r="Y58" s="20">
        <v>0</v>
      </c>
      <c r="Z58" s="20">
        <v>140100</v>
      </c>
      <c r="AA58" s="20">
        <v>0</v>
      </c>
      <c r="AB58" s="20">
        <v>0</v>
      </c>
      <c r="AC58" s="20">
        <v>40000</v>
      </c>
      <c r="AD58" s="20">
        <v>0</v>
      </c>
      <c r="AE58" s="20">
        <v>62900</v>
      </c>
      <c r="AF58" s="20">
        <v>0</v>
      </c>
      <c r="AG58" s="20">
        <v>0</v>
      </c>
      <c r="AH58" s="21">
        <v>0.85899999999999999</v>
      </c>
      <c r="AI58" s="21">
        <v>0</v>
      </c>
      <c r="AJ58" s="21">
        <v>0</v>
      </c>
      <c r="AK58" s="21">
        <v>0</v>
      </c>
      <c r="AL58" s="21">
        <v>0</v>
      </c>
      <c r="AM58" s="21">
        <v>0</v>
      </c>
      <c r="AN58" s="21">
        <v>0</v>
      </c>
      <c r="AO58" s="21">
        <v>0</v>
      </c>
      <c r="AP58" s="22">
        <v>0</v>
      </c>
      <c r="AQ58" s="22">
        <v>0</v>
      </c>
      <c r="AR58" s="22">
        <v>0</v>
      </c>
      <c r="AS58" s="20">
        <v>0</v>
      </c>
      <c r="AT58" s="20">
        <v>243000</v>
      </c>
      <c r="AU58" s="20">
        <v>0</v>
      </c>
      <c r="AV58" s="20">
        <v>243000</v>
      </c>
      <c r="AW58" s="20">
        <v>243000</v>
      </c>
      <c r="AX58" s="20">
        <v>40000</v>
      </c>
      <c r="AY58" s="20">
        <v>0</v>
      </c>
      <c r="AZ58" s="20">
        <v>62900</v>
      </c>
      <c r="BA58" s="20">
        <v>0</v>
      </c>
      <c r="BB58" s="20">
        <v>0</v>
      </c>
      <c r="BC58" s="20">
        <v>0</v>
      </c>
      <c r="BD58" s="20">
        <v>0</v>
      </c>
    </row>
    <row r="59" spans="1:56" x14ac:dyDescent="0.2">
      <c r="A59" s="20" t="s">
        <v>97</v>
      </c>
      <c r="B59" s="20" t="s">
        <v>98</v>
      </c>
      <c r="C59" s="20" t="s">
        <v>232</v>
      </c>
      <c r="D59" s="20" t="s">
        <v>369</v>
      </c>
      <c r="E59" s="20" t="s">
        <v>370</v>
      </c>
      <c r="H59" s="20">
        <v>2322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0">
        <v>0</v>
      </c>
      <c r="P59" s="20">
        <v>0</v>
      </c>
      <c r="Q59" s="20">
        <v>0</v>
      </c>
      <c r="R59" s="20">
        <v>166500</v>
      </c>
      <c r="S59" s="20">
        <v>0</v>
      </c>
      <c r="T59" s="20">
        <v>0</v>
      </c>
      <c r="U59" s="20">
        <v>40000</v>
      </c>
      <c r="V59" s="20">
        <v>0</v>
      </c>
      <c r="W59" s="20">
        <v>62900</v>
      </c>
      <c r="X59" s="20">
        <v>0</v>
      </c>
      <c r="Y59" s="20">
        <v>0</v>
      </c>
      <c r="Z59" s="20">
        <v>166500</v>
      </c>
      <c r="AA59" s="20">
        <v>0</v>
      </c>
      <c r="AB59" s="20">
        <v>0</v>
      </c>
      <c r="AC59" s="20">
        <v>40000</v>
      </c>
      <c r="AD59" s="20">
        <v>0</v>
      </c>
      <c r="AE59" s="20">
        <v>62900</v>
      </c>
      <c r="AF59" s="20">
        <v>0</v>
      </c>
      <c r="AG59" s="20">
        <v>0</v>
      </c>
      <c r="AH59" s="21">
        <v>1.0209999999999999</v>
      </c>
      <c r="AI59" s="21">
        <v>0</v>
      </c>
      <c r="AJ59" s="21">
        <v>0</v>
      </c>
      <c r="AK59" s="21">
        <v>0</v>
      </c>
      <c r="AL59" s="21">
        <v>0</v>
      </c>
      <c r="AM59" s="21">
        <v>0</v>
      </c>
      <c r="AN59" s="21">
        <v>0</v>
      </c>
      <c r="AO59" s="21">
        <v>0</v>
      </c>
      <c r="AP59" s="22">
        <v>0</v>
      </c>
      <c r="AQ59" s="22">
        <v>0</v>
      </c>
      <c r="AR59" s="22">
        <v>0</v>
      </c>
      <c r="AS59" s="20">
        <v>0</v>
      </c>
      <c r="AT59" s="20">
        <v>269400</v>
      </c>
      <c r="AU59" s="20">
        <v>0</v>
      </c>
      <c r="AV59" s="20">
        <v>269400</v>
      </c>
      <c r="AW59" s="20">
        <v>269400</v>
      </c>
      <c r="AX59" s="20">
        <v>40000</v>
      </c>
      <c r="AY59" s="20">
        <v>0</v>
      </c>
      <c r="AZ59" s="20">
        <v>62900</v>
      </c>
      <c r="BA59" s="20">
        <v>0</v>
      </c>
      <c r="BB59" s="20">
        <v>0</v>
      </c>
      <c r="BC59" s="20">
        <v>0</v>
      </c>
      <c r="BD59" s="20">
        <v>0</v>
      </c>
    </row>
    <row r="60" spans="1:56" x14ac:dyDescent="0.2">
      <c r="A60" s="20" t="s">
        <v>97</v>
      </c>
      <c r="B60" s="20" t="s">
        <v>98</v>
      </c>
      <c r="C60" s="20" t="s">
        <v>232</v>
      </c>
      <c r="D60" s="20" t="s">
        <v>246</v>
      </c>
      <c r="E60" s="20" t="s">
        <v>372</v>
      </c>
      <c r="H60" s="20">
        <v>2323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0">
        <v>0</v>
      </c>
      <c r="P60" s="20">
        <v>0</v>
      </c>
      <c r="Q60" s="20">
        <v>0</v>
      </c>
      <c r="R60" s="20">
        <v>140100</v>
      </c>
      <c r="S60" s="20">
        <v>0</v>
      </c>
      <c r="T60" s="20">
        <v>0</v>
      </c>
      <c r="U60" s="20">
        <v>40000</v>
      </c>
      <c r="V60" s="20">
        <v>0</v>
      </c>
      <c r="W60" s="20">
        <v>0</v>
      </c>
      <c r="X60" s="20">
        <v>0</v>
      </c>
      <c r="Y60" s="20">
        <v>0</v>
      </c>
      <c r="Z60" s="20">
        <v>140100</v>
      </c>
      <c r="AA60" s="20">
        <v>0</v>
      </c>
      <c r="AB60" s="20">
        <v>0</v>
      </c>
      <c r="AC60" s="20">
        <v>40000</v>
      </c>
      <c r="AD60" s="20">
        <v>0</v>
      </c>
      <c r="AE60" s="20">
        <v>0</v>
      </c>
      <c r="AF60" s="20">
        <v>0</v>
      </c>
      <c r="AG60" s="20">
        <v>0</v>
      </c>
      <c r="AH60" s="21">
        <v>0.85899999999999999</v>
      </c>
      <c r="AI60" s="21">
        <v>0</v>
      </c>
      <c r="AJ60" s="21">
        <v>0</v>
      </c>
      <c r="AK60" s="21">
        <v>0</v>
      </c>
      <c r="AL60" s="21">
        <v>0</v>
      </c>
      <c r="AM60" s="21">
        <v>0</v>
      </c>
      <c r="AN60" s="21">
        <v>0</v>
      </c>
      <c r="AO60" s="21">
        <v>0</v>
      </c>
      <c r="AP60" s="22">
        <v>0</v>
      </c>
      <c r="AQ60" s="22">
        <v>0</v>
      </c>
      <c r="AR60" s="22">
        <v>0</v>
      </c>
      <c r="AS60" s="20">
        <v>0</v>
      </c>
      <c r="AT60" s="20">
        <v>180100</v>
      </c>
      <c r="AU60" s="20">
        <v>0</v>
      </c>
      <c r="AV60" s="20">
        <v>180100</v>
      </c>
      <c r="AW60" s="20">
        <v>180100</v>
      </c>
      <c r="AX60" s="20">
        <v>40000</v>
      </c>
      <c r="AY60" s="20">
        <v>0</v>
      </c>
      <c r="AZ60" s="20">
        <v>0</v>
      </c>
      <c r="BA60" s="20">
        <v>0</v>
      </c>
      <c r="BB60" s="20">
        <v>0</v>
      </c>
      <c r="BC60" s="20">
        <v>0</v>
      </c>
      <c r="BD60" s="20">
        <v>0</v>
      </c>
    </row>
    <row r="61" spans="1:56" x14ac:dyDescent="0.2">
      <c r="A61" s="20" t="s">
        <v>97</v>
      </c>
      <c r="B61" s="20" t="s">
        <v>98</v>
      </c>
      <c r="C61" s="20" t="s">
        <v>232</v>
      </c>
      <c r="D61" s="20" t="s">
        <v>249</v>
      </c>
      <c r="E61" s="20" t="s">
        <v>374</v>
      </c>
      <c r="H61" s="20">
        <v>2324</v>
      </c>
      <c r="I61" s="20">
        <v>0</v>
      </c>
      <c r="J61" s="20">
        <v>-8670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166500</v>
      </c>
      <c r="S61" s="20">
        <v>0</v>
      </c>
      <c r="T61" s="20">
        <v>0</v>
      </c>
      <c r="U61" s="20">
        <v>40000</v>
      </c>
      <c r="V61" s="20">
        <v>0</v>
      </c>
      <c r="W61" s="20">
        <v>0</v>
      </c>
      <c r="X61" s="20">
        <v>0</v>
      </c>
      <c r="Y61" s="20">
        <v>0</v>
      </c>
      <c r="Z61" s="20">
        <v>166500</v>
      </c>
      <c r="AA61" s="20">
        <v>0</v>
      </c>
      <c r="AB61" s="20">
        <v>0</v>
      </c>
      <c r="AC61" s="20">
        <v>40000</v>
      </c>
      <c r="AD61" s="20">
        <v>0</v>
      </c>
      <c r="AE61" s="20">
        <v>0</v>
      </c>
      <c r="AF61" s="20">
        <v>0</v>
      </c>
      <c r="AG61" s="20">
        <v>0</v>
      </c>
      <c r="AH61" s="21">
        <v>1.0209999999999999</v>
      </c>
      <c r="AI61" s="21">
        <v>0</v>
      </c>
      <c r="AJ61" s="21">
        <v>0</v>
      </c>
      <c r="AK61" s="21">
        <v>0</v>
      </c>
      <c r="AL61" s="21">
        <v>0</v>
      </c>
      <c r="AM61" s="21">
        <v>0</v>
      </c>
      <c r="AN61" s="21">
        <v>0</v>
      </c>
      <c r="AO61" s="21">
        <v>0</v>
      </c>
      <c r="AP61" s="22">
        <v>0</v>
      </c>
      <c r="AQ61" s="22">
        <v>0</v>
      </c>
      <c r="AR61" s="22">
        <v>0</v>
      </c>
      <c r="AS61" s="20">
        <v>0</v>
      </c>
      <c r="AT61" s="20">
        <v>197830</v>
      </c>
      <c r="AU61" s="20">
        <v>0</v>
      </c>
      <c r="AV61" s="20">
        <v>206500</v>
      </c>
      <c r="AW61" s="20">
        <v>197830</v>
      </c>
      <c r="AX61" s="20">
        <v>40000</v>
      </c>
      <c r="AY61" s="20">
        <v>0</v>
      </c>
      <c r="AZ61" s="20">
        <v>0</v>
      </c>
      <c r="BA61" s="20">
        <v>0</v>
      </c>
      <c r="BB61" s="20">
        <v>0</v>
      </c>
      <c r="BC61" s="20">
        <v>0</v>
      </c>
      <c r="BD61" s="20">
        <v>0</v>
      </c>
    </row>
    <row r="62" spans="1:56" x14ac:dyDescent="0.2">
      <c r="A62" s="20" t="s">
        <v>97</v>
      </c>
      <c r="B62" s="20" t="s">
        <v>98</v>
      </c>
      <c r="C62" s="20" t="s">
        <v>232</v>
      </c>
      <c r="D62" s="20" t="s">
        <v>252</v>
      </c>
      <c r="E62" s="20" t="s">
        <v>376</v>
      </c>
      <c r="H62" s="20">
        <v>2325</v>
      </c>
      <c r="I62" s="20">
        <v>30</v>
      </c>
      <c r="J62" s="20">
        <v>5379527</v>
      </c>
      <c r="K62" s="20">
        <v>0</v>
      </c>
      <c r="L62" s="20">
        <v>0</v>
      </c>
      <c r="M62" s="20">
        <v>40000</v>
      </c>
      <c r="N62" s="20">
        <v>0</v>
      </c>
      <c r="O62" s="20">
        <v>0</v>
      </c>
      <c r="P62" s="20">
        <v>0</v>
      </c>
      <c r="Q62" s="20">
        <v>0</v>
      </c>
      <c r="R62" s="20">
        <v>176600</v>
      </c>
      <c r="S62" s="20">
        <v>129110</v>
      </c>
      <c r="T62" s="20">
        <v>0</v>
      </c>
      <c r="U62" s="20">
        <v>40000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0</v>
      </c>
      <c r="AB62" s="20">
        <v>0</v>
      </c>
      <c r="AC62" s="20">
        <v>0</v>
      </c>
      <c r="AD62" s="20">
        <v>0</v>
      </c>
      <c r="AE62" s="20">
        <v>0</v>
      </c>
      <c r="AF62" s="20">
        <v>0</v>
      </c>
      <c r="AG62" s="20">
        <v>0</v>
      </c>
      <c r="AH62" s="21">
        <v>1.083</v>
      </c>
      <c r="AI62" s="21">
        <v>0</v>
      </c>
      <c r="AJ62" s="21">
        <v>0</v>
      </c>
      <c r="AK62" s="21">
        <v>0</v>
      </c>
      <c r="AL62" s="21">
        <v>0</v>
      </c>
      <c r="AM62" s="21">
        <v>0</v>
      </c>
      <c r="AN62" s="21">
        <v>0</v>
      </c>
      <c r="AO62" s="21">
        <v>0</v>
      </c>
      <c r="AP62" s="22">
        <v>0</v>
      </c>
      <c r="AQ62" s="22">
        <v>0</v>
      </c>
      <c r="AR62" s="22">
        <v>0</v>
      </c>
      <c r="AS62" s="20">
        <v>0</v>
      </c>
      <c r="AT62" s="20">
        <v>5765237</v>
      </c>
      <c r="AU62" s="20">
        <v>0</v>
      </c>
      <c r="AV62" s="20">
        <v>0</v>
      </c>
      <c r="AW62" s="20">
        <v>5765237</v>
      </c>
      <c r="AX62" s="20">
        <v>40000</v>
      </c>
      <c r="AY62" s="20">
        <v>0</v>
      </c>
      <c r="AZ62" s="20">
        <v>0</v>
      </c>
      <c r="BA62" s="20">
        <v>0</v>
      </c>
      <c r="BB62" s="20">
        <v>0</v>
      </c>
      <c r="BC62" s="20">
        <v>0</v>
      </c>
      <c r="BD62" s="20">
        <v>0</v>
      </c>
    </row>
    <row r="63" spans="1:56" x14ac:dyDescent="0.2">
      <c r="A63" s="20" t="s">
        <v>97</v>
      </c>
      <c r="B63" s="20" t="s">
        <v>98</v>
      </c>
      <c r="C63" s="20" t="s">
        <v>232</v>
      </c>
      <c r="D63" s="20" t="s">
        <v>255</v>
      </c>
      <c r="E63" s="20" t="s">
        <v>378</v>
      </c>
      <c r="H63" s="20">
        <v>2326</v>
      </c>
      <c r="I63" s="20">
        <v>1</v>
      </c>
      <c r="J63" s="20">
        <v>196402</v>
      </c>
      <c r="K63" s="20">
        <v>110</v>
      </c>
      <c r="L63" s="20">
        <v>0</v>
      </c>
      <c r="M63" s="20">
        <v>40000</v>
      </c>
      <c r="N63" s="20">
        <v>0</v>
      </c>
      <c r="O63" s="20">
        <v>62900</v>
      </c>
      <c r="P63" s="20">
        <v>0</v>
      </c>
      <c r="Q63" s="20">
        <v>0</v>
      </c>
      <c r="R63" s="20">
        <v>191900</v>
      </c>
      <c r="S63" s="20">
        <v>6220</v>
      </c>
      <c r="T63" s="20">
        <v>0</v>
      </c>
      <c r="U63" s="20">
        <v>40000</v>
      </c>
      <c r="V63" s="20">
        <v>0</v>
      </c>
      <c r="W63" s="20">
        <v>62900</v>
      </c>
      <c r="X63" s="20">
        <v>0</v>
      </c>
      <c r="Y63" s="20">
        <v>0</v>
      </c>
      <c r="Z63" s="20">
        <v>0</v>
      </c>
      <c r="AA63" s="20">
        <v>0</v>
      </c>
      <c r="AB63" s="20">
        <v>0</v>
      </c>
      <c r="AC63" s="20">
        <v>0</v>
      </c>
      <c r="AD63" s="20">
        <v>0</v>
      </c>
      <c r="AE63" s="20">
        <v>0</v>
      </c>
      <c r="AF63" s="20">
        <v>0</v>
      </c>
      <c r="AG63" s="20">
        <v>0</v>
      </c>
      <c r="AH63" s="21">
        <v>1.1759999999999999</v>
      </c>
      <c r="AI63" s="21">
        <v>0</v>
      </c>
      <c r="AJ63" s="21">
        <v>0</v>
      </c>
      <c r="AK63" s="21">
        <v>0</v>
      </c>
      <c r="AL63" s="21">
        <v>0</v>
      </c>
      <c r="AM63" s="21">
        <v>0</v>
      </c>
      <c r="AN63" s="21">
        <v>0</v>
      </c>
      <c r="AO63" s="21">
        <v>0</v>
      </c>
      <c r="AP63" s="22">
        <v>0</v>
      </c>
      <c r="AQ63" s="22">
        <v>0</v>
      </c>
      <c r="AR63" s="22">
        <v>0</v>
      </c>
      <c r="AS63" s="20">
        <v>0</v>
      </c>
      <c r="AT63" s="20">
        <v>600432</v>
      </c>
      <c r="AU63" s="20">
        <v>0</v>
      </c>
      <c r="AV63" s="20">
        <v>0</v>
      </c>
      <c r="AW63" s="20">
        <v>600432</v>
      </c>
      <c r="AX63" s="20">
        <v>40000</v>
      </c>
      <c r="AY63" s="20">
        <v>0</v>
      </c>
      <c r="AZ63" s="20">
        <v>62900</v>
      </c>
      <c r="BA63" s="20">
        <v>0</v>
      </c>
      <c r="BB63" s="20">
        <v>0</v>
      </c>
      <c r="BC63" s="20">
        <v>0</v>
      </c>
      <c r="BD63" s="20">
        <v>0</v>
      </c>
    </row>
    <row r="64" spans="1:56" x14ac:dyDescent="0.2">
      <c r="A64" s="20" t="s">
        <v>97</v>
      </c>
      <c r="B64" s="20" t="s">
        <v>98</v>
      </c>
      <c r="C64" s="20" t="s">
        <v>232</v>
      </c>
      <c r="D64" s="20" t="s">
        <v>380</v>
      </c>
      <c r="E64" s="20" t="s">
        <v>381</v>
      </c>
      <c r="H64" s="20">
        <v>2327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176600</v>
      </c>
      <c r="S64" s="20">
        <v>0</v>
      </c>
      <c r="T64" s="20">
        <v>33700</v>
      </c>
      <c r="U64" s="20">
        <v>40000</v>
      </c>
      <c r="V64" s="20">
        <v>0</v>
      </c>
      <c r="W64" s="20">
        <v>0</v>
      </c>
      <c r="X64" s="20">
        <v>0</v>
      </c>
      <c r="Y64" s="20">
        <v>0</v>
      </c>
      <c r="Z64" s="20">
        <v>257580</v>
      </c>
      <c r="AA64" s="20">
        <v>1940</v>
      </c>
      <c r="AB64" s="20">
        <v>33700</v>
      </c>
      <c r="AC64" s="20">
        <v>40000</v>
      </c>
      <c r="AD64" s="20">
        <v>0</v>
      </c>
      <c r="AE64" s="20">
        <v>0</v>
      </c>
      <c r="AF64" s="20">
        <v>0</v>
      </c>
      <c r="AG64" s="20">
        <v>0</v>
      </c>
      <c r="AH64" s="21">
        <v>1.29</v>
      </c>
      <c r="AI64" s="21">
        <v>0</v>
      </c>
      <c r="AJ64" s="21">
        <v>0</v>
      </c>
      <c r="AK64" s="21">
        <v>0</v>
      </c>
      <c r="AL64" s="21">
        <v>0</v>
      </c>
      <c r="AM64" s="21">
        <v>0</v>
      </c>
      <c r="AN64" s="21">
        <v>0</v>
      </c>
      <c r="AO64" s="21">
        <v>0</v>
      </c>
      <c r="AP64" s="22">
        <v>0</v>
      </c>
      <c r="AQ64" s="22">
        <v>0</v>
      </c>
      <c r="AR64" s="22">
        <v>0</v>
      </c>
      <c r="AS64" s="20">
        <v>0</v>
      </c>
      <c r="AT64" s="20">
        <v>250300</v>
      </c>
      <c r="AU64" s="20">
        <v>0</v>
      </c>
      <c r="AV64" s="20">
        <v>333220</v>
      </c>
      <c r="AW64" s="20">
        <v>250300</v>
      </c>
      <c r="AX64" s="20">
        <v>40000</v>
      </c>
      <c r="AY64" s="20">
        <v>0</v>
      </c>
      <c r="AZ64" s="20">
        <v>0</v>
      </c>
      <c r="BA64" s="20">
        <v>33700</v>
      </c>
      <c r="BB64" s="20">
        <v>0</v>
      </c>
      <c r="BC64" s="20">
        <v>0</v>
      </c>
      <c r="BD64" s="20">
        <v>0</v>
      </c>
    </row>
    <row r="65" spans="1:56" x14ac:dyDescent="0.2">
      <c r="A65" s="20" t="s">
        <v>97</v>
      </c>
      <c r="B65" s="20" t="s">
        <v>98</v>
      </c>
      <c r="C65" s="20" t="s">
        <v>232</v>
      </c>
      <c r="D65" s="20" t="s">
        <v>383</v>
      </c>
      <c r="E65" s="20" t="s">
        <v>384</v>
      </c>
      <c r="H65" s="20">
        <v>2328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191900</v>
      </c>
      <c r="S65" s="20">
        <v>0</v>
      </c>
      <c r="T65" s="20">
        <v>33700</v>
      </c>
      <c r="U65" s="20">
        <v>40000</v>
      </c>
      <c r="V65" s="20">
        <v>0</v>
      </c>
      <c r="W65" s="20">
        <v>0</v>
      </c>
      <c r="X65" s="20">
        <v>0</v>
      </c>
      <c r="Y65" s="20">
        <v>0</v>
      </c>
      <c r="Z65" s="20">
        <v>191900</v>
      </c>
      <c r="AA65" s="20">
        <v>0</v>
      </c>
      <c r="AB65" s="20">
        <v>33700</v>
      </c>
      <c r="AC65" s="20">
        <v>40000</v>
      </c>
      <c r="AD65" s="20">
        <v>0</v>
      </c>
      <c r="AE65" s="20">
        <v>0</v>
      </c>
      <c r="AF65" s="20">
        <v>0</v>
      </c>
      <c r="AG65" s="20">
        <v>0</v>
      </c>
      <c r="AH65" s="21">
        <v>1.383</v>
      </c>
      <c r="AI65" s="21">
        <v>0</v>
      </c>
      <c r="AJ65" s="21">
        <v>0</v>
      </c>
      <c r="AK65" s="21">
        <v>0</v>
      </c>
      <c r="AL65" s="21">
        <v>0</v>
      </c>
      <c r="AM65" s="21">
        <v>0</v>
      </c>
      <c r="AN65" s="21">
        <v>0</v>
      </c>
      <c r="AO65" s="21">
        <v>0</v>
      </c>
      <c r="AP65" s="22">
        <v>0</v>
      </c>
      <c r="AQ65" s="22">
        <v>0</v>
      </c>
      <c r="AR65" s="22">
        <v>0</v>
      </c>
      <c r="AS65" s="20">
        <v>0</v>
      </c>
      <c r="AT65" s="20">
        <v>265600</v>
      </c>
      <c r="AU65" s="20">
        <v>0</v>
      </c>
      <c r="AV65" s="20">
        <v>265600</v>
      </c>
      <c r="AW65" s="20">
        <v>265600</v>
      </c>
      <c r="AX65" s="20">
        <v>40000</v>
      </c>
      <c r="AY65" s="20">
        <v>0</v>
      </c>
      <c r="AZ65" s="20">
        <v>0</v>
      </c>
      <c r="BA65" s="20">
        <v>33700</v>
      </c>
      <c r="BB65" s="20">
        <v>0</v>
      </c>
      <c r="BC65" s="20">
        <v>0</v>
      </c>
      <c r="BD65" s="20">
        <v>0</v>
      </c>
    </row>
    <row r="66" spans="1:56" x14ac:dyDescent="0.2">
      <c r="A66" s="20" t="s">
        <v>97</v>
      </c>
      <c r="B66" s="20" t="s">
        <v>98</v>
      </c>
      <c r="C66" s="20" t="s">
        <v>232</v>
      </c>
      <c r="D66" s="20" t="s">
        <v>386</v>
      </c>
      <c r="E66" s="20" t="s">
        <v>387</v>
      </c>
      <c r="H66" s="20">
        <v>2329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0">
        <v>0</v>
      </c>
      <c r="P66" s="20">
        <v>0</v>
      </c>
      <c r="Q66" s="20">
        <v>0</v>
      </c>
      <c r="R66" s="20">
        <v>140100</v>
      </c>
      <c r="S66" s="20">
        <v>0</v>
      </c>
      <c r="T66" s="20">
        <v>0</v>
      </c>
      <c r="U66" s="20">
        <v>40000</v>
      </c>
      <c r="V66" s="20">
        <v>0</v>
      </c>
      <c r="W66" s="20">
        <v>0</v>
      </c>
      <c r="X66" s="20">
        <v>0</v>
      </c>
      <c r="Y66" s="20">
        <v>0</v>
      </c>
      <c r="Z66" s="20">
        <v>140100</v>
      </c>
      <c r="AA66" s="20">
        <v>0</v>
      </c>
      <c r="AB66" s="20">
        <v>0</v>
      </c>
      <c r="AC66" s="20">
        <v>40000</v>
      </c>
      <c r="AD66" s="20">
        <v>0</v>
      </c>
      <c r="AE66" s="20">
        <v>0</v>
      </c>
      <c r="AF66" s="20">
        <v>0</v>
      </c>
      <c r="AG66" s="20">
        <v>0</v>
      </c>
      <c r="AH66" s="21">
        <v>0.85899999999999999</v>
      </c>
      <c r="AI66" s="21">
        <v>0</v>
      </c>
      <c r="AJ66" s="21">
        <v>0</v>
      </c>
      <c r="AK66" s="21">
        <v>0</v>
      </c>
      <c r="AL66" s="21">
        <v>0</v>
      </c>
      <c r="AM66" s="21">
        <v>0</v>
      </c>
      <c r="AN66" s="21">
        <v>0</v>
      </c>
      <c r="AO66" s="21">
        <v>0</v>
      </c>
      <c r="AP66" s="22">
        <v>0</v>
      </c>
      <c r="AQ66" s="22">
        <v>0</v>
      </c>
      <c r="AR66" s="22">
        <v>0</v>
      </c>
      <c r="AS66" s="20">
        <v>0</v>
      </c>
      <c r="AT66" s="20">
        <v>180100</v>
      </c>
      <c r="AU66" s="20">
        <v>0</v>
      </c>
      <c r="AV66" s="20">
        <v>180100</v>
      </c>
      <c r="AW66" s="20">
        <v>180100</v>
      </c>
      <c r="AX66" s="20">
        <v>40000</v>
      </c>
      <c r="AY66" s="20">
        <v>0</v>
      </c>
      <c r="AZ66" s="20">
        <v>0</v>
      </c>
      <c r="BA66" s="20">
        <v>0</v>
      </c>
      <c r="BB66" s="20">
        <v>0</v>
      </c>
      <c r="BC66" s="20">
        <v>0</v>
      </c>
      <c r="BD66" s="20">
        <v>0</v>
      </c>
    </row>
    <row r="67" spans="1:56" x14ac:dyDescent="0.2">
      <c r="A67" s="20" t="s">
        <v>97</v>
      </c>
      <c r="B67" s="20" t="s">
        <v>98</v>
      </c>
      <c r="C67" s="20" t="s">
        <v>232</v>
      </c>
      <c r="D67" s="20" t="s">
        <v>389</v>
      </c>
      <c r="E67" s="20" t="s">
        <v>390</v>
      </c>
      <c r="H67" s="20">
        <v>2330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166500</v>
      </c>
      <c r="S67" s="20">
        <v>0</v>
      </c>
      <c r="T67" s="20">
        <v>0</v>
      </c>
      <c r="U67" s="20">
        <v>40000</v>
      </c>
      <c r="V67" s="20">
        <v>0</v>
      </c>
      <c r="W67" s="20">
        <v>0</v>
      </c>
      <c r="X67" s="20">
        <v>0</v>
      </c>
      <c r="Y67" s="20">
        <v>0</v>
      </c>
      <c r="Z67" s="20">
        <v>166500</v>
      </c>
      <c r="AA67" s="20">
        <v>0</v>
      </c>
      <c r="AB67" s="20">
        <v>0</v>
      </c>
      <c r="AC67" s="20">
        <v>40000</v>
      </c>
      <c r="AD67" s="20">
        <v>0</v>
      </c>
      <c r="AE67" s="20">
        <v>0</v>
      </c>
      <c r="AF67" s="20">
        <v>0</v>
      </c>
      <c r="AG67" s="20">
        <v>0</v>
      </c>
      <c r="AH67" s="21">
        <v>1.0209999999999999</v>
      </c>
      <c r="AI67" s="21">
        <v>0</v>
      </c>
      <c r="AJ67" s="21">
        <v>0</v>
      </c>
      <c r="AK67" s="21">
        <v>0</v>
      </c>
      <c r="AL67" s="21">
        <v>0</v>
      </c>
      <c r="AM67" s="21">
        <v>0</v>
      </c>
      <c r="AN67" s="21">
        <v>0</v>
      </c>
      <c r="AO67" s="21">
        <v>0</v>
      </c>
      <c r="AP67" s="22">
        <v>0</v>
      </c>
      <c r="AQ67" s="22">
        <v>0</v>
      </c>
      <c r="AR67" s="22">
        <v>0</v>
      </c>
      <c r="AS67" s="20">
        <v>0</v>
      </c>
      <c r="AT67" s="20">
        <v>206500</v>
      </c>
      <c r="AU67" s="20">
        <v>0</v>
      </c>
      <c r="AV67" s="20">
        <v>206500</v>
      </c>
      <c r="AW67" s="20">
        <v>206500</v>
      </c>
      <c r="AX67" s="20">
        <v>40000</v>
      </c>
      <c r="AY67" s="20">
        <v>0</v>
      </c>
      <c r="AZ67" s="20">
        <v>0</v>
      </c>
      <c r="BA67" s="20">
        <v>0</v>
      </c>
      <c r="BB67" s="20">
        <v>0</v>
      </c>
      <c r="BC67" s="20">
        <v>0</v>
      </c>
      <c r="BD67" s="20">
        <v>0</v>
      </c>
    </row>
    <row r="68" spans="1:56" x14ac:dyDescent="0.2">
      <c r="A68" s="20" t="s">
        <v>97</v>
      </c>
      <c r="B68" s="20" t="s">
        <v>98</v>
      </c>
      <c r="C68" s="20" t="s">
        <v>232</v>
      </c>
      <c r="D68" s="20" t="s">
        <v>258</v>
      </c>
      <c r="E68" s="20" t="s">
        <v>392</v>
      </c>
      <c r="H68" s="20">
        <v>2331</v>
      </c>
      <c r="I68" s="20">
        <v>0</v>
      </c>
      <c r="J68" s="20">
        <v>-5990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140100</v>
      </c>
      <c r="S68" s="20">
        <v>0</v>
      </c>
      <c r="T68" s="20">
        <v>0</v>
      </c>
      <c r="U68" s="20">
        <v>40000</v>
      </c>
      <c r="V68" s="20">
        <v>0</v>
      </c>
      <c r="W68" s="20">
        <v>0</v>
      </c>
      <c r="X68" s="20">
        <v>0</v>
      </c>
      <c r="Y68" s="20">
        <v>0</v>
      </c>
      <c r="Z68" s="20">
        <v>148140</v>
      </c>
      <c r="AA68" s="20">
        <v>50</v>
      </c>
      <c r="AB68" s="20">
        <v>0</v>
      </c>
      <c r="AC68" s="20">
        <v>40000</v>
      </c>
      <c r="AD68" s="20">
        <v>0</v>
      </c>
      <c r="AE68" s="20">
        <v>0</v>
      </c>
      <c r="AF68" s="20">
        <v>0</v>
      </c>
      <c r="AG68" s="20">
        <v>0</v>
      </c>
      <c r="AH68" s="21">
        <v>0.85899999999999999</v>
      </c>
      <c r="AI68" s="21">
        <v>0</v>
      </c>
      <c r="AJ68" s="21">
        <v>0</v>
      </c>
      <c r="AK68" s="21">
        <v>0</v>
      </c>
      <c r="AL68" s="21">
        <v>0</v>
      </c>
      <c r="AM68" s="21">
        <v>0</v>
      </c>
      <c r="AN68" s="21">
        <v>0</v>
      </c>
      <c r="AO68" s="21">
        <v>0</v>
      </c>
      <c r="AP68" s="22">
        <v>0</v>
      </c>
      <c r="AQ68" s="22">
        <v>0</v>
      </c>
      <c r="AR68" s="22">
        <v>0</v>
      </c>
      <c r="AS68" s="20">
        <v>0</v>
      </c>
      <c r="AT68" s="20">
        <v>174110</v>
      </c>
      <c r="AU68" s="20">
        <v>0</v>
      </c>
      <c r="AV68" s="20">
        <v>188190</v>
      </c>
      <c r="AW68" s="20">
        <v>174110</v>
      </c>
      <c r="AX68" s="20">
        <v>40000</v>
      </c>
      <c r="AY68" s="20">
        <v>0</v>
      </c>
      <c r="AZ68" s="20">
        <v>0</v>
      </c>
      <c r="BA68" s="20">
        <v>0</v>
      </c>
      <c r="BB68" s="20">
        <v>0</v>
      </c>
      <c r="BC68" s="20">
        <v>0</v>
      </c>
      <c r="BD68" s="20">
        <v>0</v>
      </c>
    </row>
    <row r="69" spans="1:56" x14ac:dyDescent="0.2">
      <c r="A69" s="20" t="s">
        <v>97</v>
      </c>
      <c r="B69" s="20" t="s">
        <v>98</v>
      </c>
      <c r="C69" s="20" t="s">
        <v>232</v>
      </c>
      <c r="D69" s="20" t="s">
        <v>261</v>
      </c>
      <c r="E69" s="20" t="s">
        <v>394</v>
      </c>
      <c r="H69" s="20">
        <v>2332</v>
      </c>
      <c r="I69" s="20">
        <v>0</v>
      </c>
      <c r="J69" s="20">
        <v>-100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166500</v>
      </c>
      <c r="S69" s="20">
        <v>0</v>
      </c>
      <c r="T69" s="20">
        <v>0</v>
      </c>
      <c r="U69" s="20">
        <v>40000</v>
      </c>
      <c r="V69" s="20">
        <v>0</v>
      </c>
      <c r="W69" s="20">
        <v>0</v>
      </c>
      <c r="X69" s="20">
        <v>0</v>
      </c>
      <c r="Y69" s="20">
        <v>0</v>
      </c>
      <c r="Z69" s="20">
        <v>166500</v>
      </c>
      <c r="AA69" s="20">
        <v>0</v>
      </c>
      <c r="AB69" s="20">
        <v>0</v>
      </c>
      <c r="AC69" s="20">
        <v>40000</v>
      </c>
      <c r="AD69" s="20">
        <v>0</v>
      </c>
      <c r="AE69" s="20">
        <v>0</v>
      </c>
      <c r="AF69" s="20">
        <v>0</v>
      </c>
      <c r="AG69" s="20">
        <v>0</v>
      </c>
      <c r="AH69" s="21">
        <v>1.0209999999999999</v>
      </c>
      <c r="AI69" s="21">
        <v>0</v>
      </c>
      <c r="AJ69" s="21">
        <v>0</v>
      </c>
      <c r="AK69" s="21">
        <v>0</v>
      </c>
      <c r="AL69" s="21">
        <v>0</v>
      </c>
      <c r="AM69" s="21">
        <v>0</v>
      </c>
      <c r="AN69" s="21">
        <v>0</v>
      </c>
      <c r="AO69" s="21">
        <v>0</v>
      </c>
      <c r="AP69" s="22">
        <v>0</v>
      </c>
      <c r="AQ69" s="22">
        <v>0</v>
      </c>
      <c r="AR69" s="22">
        <v>0</v>
      </c>
      <c r="AS69" s="20">
        <v>0</v>
      </c>
      <c r="AT69" s="20">
        <v>206400</v>
      </c>
      <c r="AU69" s="20">
        <v>0</v>
      </c>
      <c r="AV69" s="20">
        <v>206500</v>
      </c>
      <c r="AW69" s="20">
        <v>206400</v>
      </c>
      <c r="AX69" s="20">
        <v>40000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</row>
    <row r="70" spans="1:56" x14ac:dyDescent="0.2">
      <c r="A70" s="20" t="s">
        <v>97</v>
      </c>
      <c r="B70" s="20" t="s">
        <v>98</v>
      </c>
      <c r="C70" s="20" t="s">
        <v>232</v>
      </c>
      <c r="D70" s="20" t="s">
        <v>332</v>
      </c>
      <c r="E70" s="20" t="s">
        <v>396</v>
      </c>
      <c r="H70" s="20">
        <v>2333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176600</v>
      </c>
      <c r="S70" s="20">
        <v>0</v>
      </c>
      <c r="T70" s="20">
        <v>33700</v>
      </c>
      <c r="U70" s="20">
        <v>40000</v>
      </c>
      <c r="V70" s="20">
        <v>0</v>
      </c>
      <c r="W70" s="20">
        <v>0</v>
      </c>
      <c r="X70" s="20">
        <v>0</v>
      </c>
      <c r="Y70" s="20">
        <v>0</v>
      </c>
      <c r="Z70" s="20">
        <v>176600</v>
      </c>
      <c r="AA70" s="20">
        <v>0</v>
      </c>
      <c r="AB70" s="20">
        <v>33700</v>
      </c>
      <c r="AC70" s="20">
        <v>40000</v>
      </c>
      <c r="AD70" s="20">
        <v>0</v>
      </c>
      <c r="AE70" s="20">
        <v>0</v>
      </c>
      <c r="AF70" s="20">
        <v>0</v>
      </c>
      <c r="AG70" s="20">
        <v>0</v>
      </c>
      <c r="AH70" s="21">
        <v>1.29</v>
      </c>
      <c r="AI70" s="21">
        <v>0</v>
      </c>
      <c r="AJ70" s="21">
        <v>0</v>
      </c>
      <c r="AK70" s="21">
        <v>0</v>
      </c>
      <c r="AL70" s="21">
        <v>0</v>
      </c>
      <c r="AM70" s="21">
        <v>0</v>
      </c>
      <c r="AN70" s="21">
        <v>0</v>
      </c>
      <c r="AO70" s="21">
        <v>0</v>
      </c>
      <c r="AP70" s="22">
        <v>0</v>
      </c>
      <c r="AQ70" s="22">
        <v>0</v>
      </c>
      <c r="AR70" s="22">
        <v>0</v>
      </c>
      <c r="AS70" s="20">
        <v>0</v>
      </c>
      <c r="AT70" s="20">
        <v>250300</v>
      </c>
      <c r="AU70" s="20">
        <v>0</v>
      </c>
      <c r="AV70" s="20">
        <v>250300</v>
      </c>
      <c r="AW70" s="20">
        <v>250300</v>
      </c>
      <c r="AX70" s="20">
        <v>40000</v>
      </c>
      <c r="AY70" s="20">
        <v>0</v>
      </c>
      <c r="AZ70" s="20">
        <v>0</v>
      </c>
      <c r="BA70" s="20">
        <v>33700</v>
      </c>
      <c r="BB70" s="20">
        <v>0</v>
      </c>
      <c r="BC70" s="20">
        <v>0</v>
      </c>
      <c r="BD70" s="20">
        <v>0</v>
      </c>
    </row>
    <row r="71" spans="1:56" x14ac:dyDescent="0.2">
      <c r="A71" s="20" t="s">
        <v>97</v>
      </c>
      <c r="B71" s="20" t="s">
        <v>98</v>
      </c>
      <c r="C71" s="20" t="s">
        <v>232</v>
      </c>
      <c r="D71" s="20" t="s">
        <v>265</v>
      </c>
      <c r="E71" s="20" t="s">
        <v>398</v>
      </c>
      <c r="H71" s="20">
        <v>2334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191900</v>
      </c>
      <c r="S71" s="20">
        <v>0</v>
      </c>
      <c r="T71" s="20">
        <v>33700</v>
      </c>
      <c r="U71" s="20">
        <v>40000</v>
      </c>
      <c r="V71" s="20">
        <v>0</v>
      </c>
      <c r="W71" s="20">
        <v>0</v>
      </c>
      <c r="X71" s="20">
        <v>0</v>
      </c>
      <c r="Y71" s="20">
        <v>0</v>
      </c>
      <c r="Z71" s="20">
        <v>191900</v>
      </c>
      <c r="AA71" s="20">
        <v>0</v>
      </c>
      <c r="AB71" s="20">
        <v>33700</v>
      </c>
      <c r="AC71" s="20">
        <v>40000</v>
      </c>
      <c r="AD71" s="20">
        <v>0</v>
      </c>
      <c r="AE71" s="20">
        <v>0</v>
      </c>
      <c r="AF71" s="20">
        <v>0</v>
      </c>
      <c r="AG71" s="20">
        <v>0</v>
      </c>
      <c r="AH71" s="21">
        <v>1.383</v>
      </c>
      <c r="AI71" s="21">
        <v>0</v>
      </c>
      <c r="AJ71" s="21">
        <v>0</v>
      </c>
      <c r="AK71" s="21">
        <v>0</v>
      </c>
      <c r="AL71" s="21">
        <v>0</v>
      </c>
      <c r="AM71" s="21">
        <v>0</v>
      </c>
      <c r="AN71" s="21">
        <v>0</v>
      </c>
      <c r="AO71" s="21">
        <v>0</v>
      </c>
      <c r="AP71" s="22">
        <v>0</v>
      </c>
      <c r="AQ71" s="22">
        <v>0</v>
      </c>
      <c r="AR71" s="22">
        <v>0</v>
      </c>
      <c r="AS71" s="20">
        <v>0</v>
      </c>
      <c r="AT71" s="20">
        <v>265600</v>
      </c>
      <c r="AU71" s="20">
        <v>0</v>
      </c>
      <c r="AV71" s="20">
        <v>265600</v>
      </c>
      <c r="AW71" s="20">
        <v>265600</v>
      </c>
      <c r="AX71" s="20">
        <v>40000</v>
      </c>
      <c r="AY71" s="20">
        <v>0</v>
      </c>
      <c r="AZ71" s="20">
        <v>0</v>
      </c>
      <c r="BA71" s="20">
        <v>33700</v>
      </c>
      <c r="BB71" s="20">
        <v>0</v>
      </c>
      <c r="BC71" s="20">
        <v>0</v>
      </c>
      <c r="BD71" s="20">
        <v>0</v>
      </c>
    </row>
    <row r="72" spans="1:56" x14ac:dyDescent="0.2">
      <c r="A72" s="20" t="s">
        <v>97</v>
      </c>
      <c r="B72" s="20" t="s">
        <v>98</v>
      </c>
      <c r="C72" s="20" t="s">
        <v>232</v>
      </c>
      <c r="D72" s="20" t="s">
        <v>400</v>
      </c>
      <c r="E72" s="20" t="s">
        <v>401</v>
      </c>
      <c r="H72" s="20">
        <v>2335</v>
      </c>
      <c r="I72" s="20">
        <v>0</v>
      </c>
      <c r="J72" s="20">
        <v>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176600</v>
      </c>
      <c r="S72" s="20">
        <v>0</v>
      </c>
      <c r="T72" s="20">
        <v>33700</v>
      </c>
      <c r="U72" s="20">
        <v>40000</v>
      </c>
      <c r="V72" s="20">
        <v>0</v>
      </c>
      <c r="W72" s="20">
        <v>0</v>
      </c>
      <c r="X72" s="20">
        <v>0</v>
      </c>
      <c r="Y72" s="20">
        <v>0</v>
      </c>
      <c r="Z72" s="20">
        <v>176600</v>
      </c>
      <c r="AA72" s="20">
        <v>0</v>
      </c>
      <c r="AB72" s="20">
        <v>33700</v>
      </c>
      <c r="AC72" s="20">
        <v>40000</v>
      </c>
      <c r="AD72" s="20">
        <v>0</v>
      </c>
      <c r="AE72" s="20">
        <v>0</v>
      </c>
      <c r="AF72" s="20">
        <v>0</v>
      </c>
      <c r="AG72" s="20">
        <v>0</v>
      </c>
      <c r="AH72" s="21">
        <v>1.29</v>
      </c>
      <c r="AI72" s="21">
        <v>0</v>
      </c>
      <c r="AJ72" s="21">
        <v>0</v>
      </c>
      <c r="AK72" s="21">
        <v>0</v>
      </c>
      <c r="AL72" s="21">
        <v>0</v>
      </c>
      <c r="AM72" s="21">
        <v>0</v>
      </c>
      <c r="AN72" s="21">
        <v>0</v>
      </c>
      <c r="AO72" s="21">
        <v>0</v>
      </c>
      <c r="AP72" s="22">
        <v>0</v>
      </c>
      <c r="AQ72" s="22">
        <v>0</v>
      </c>
      <c r="AR72" s="22">
        <v>0</v>
      </c>
      <c r="AS72" s="20">
        <v>0</v>
      </c>
      <c r="AT72" s="20">
        <v>250300</v>
      </c>
      <c r="AU72" s="20">
        <v>0</v>
      </c>
      <c r="AV72" s="20">
        <v>250300</v>
      </c>
      <c r="AW72" s="20">
        <v>250300</v>
      </c>
      <c r="AX72" s="20">
        <v>40000</v>
      </c>
      <c r="AY72" s="20">
        <v>0</v>
      </c>
      <c r="AZ72" s="20">
        <v>0</v>
      </c>
      <c r="BA72" s="20">
        <v>33700</v>
      </c>
      <c r="BB72" s="20">
        <v>0</v>
      </c>
      <c r="BC72" s="20">
        <v>0</v>
      </c>
      <c r="BD72" s="20">
        <v>0</v>
      </c>
    </row>
    <row r="73" spans="1:56" x14ac:dyDescent="0.2">
      <c r="A73" s="20" t="s">
        <v>97</v>
      </c>
      <c r="B73" s="20" t="s">
        <v>98</v>
      </c>
      <c r="C73" s="20" t="s">
        <v>232</v>
      </c>
      <c r="D73" s="20" t="s">
        <v>403</v>
      </c>
      <c r="E73" s="20" t="s">
        <v>404</v>
      </c>
      <c r="H73" s="20">
        <v>2336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191900</v>
      </c>
      <c r="S73" s="20">
        <v>0</v>
      </c>
      <c r="T73" s="20">
        <v>33700</v>
      </c>
      <c r="U73" s="20">
        <v>40000</v>
      </c>
      <c r="V73" s="20">
        <v>0</v>
      </c>
      <c r="W73" s="20">
        <v>0</v>
      </c>
      <c r="X73" s="20">
        <v>0</v>
      </c>
      <c r="Y73" s="20">
        <v>0</v>
      </c>
      <c r="Z73" s="20">
        <v>191900</v>
      </c>
      <c r="AA73" s="20">
        <v>0</v>
      </c>
      <c r="AB73" s="20">
        <v>33700</v>
      </c>
      <c r="AC73" s="20">
        <v>40000</v>
      </c>
      <c r="AD73" s="20">
        <v>0</v>
      </c>
      <c r="AE73" s="20">
        <v>0</v>
      </c>
      <c r="AF73" s="20">
        <v>0</v>
      </c>
      <c r="AG73" s="20">
        <v>0</v>
      </c>
      <c r="AH73" s="21">
        <v>1.383</v>
      </c>
      <c r="AI73" s="21">
        <v>0</v>
      </c>
      <c r="AJ73" s="21">
        <v>0</v>
      </c>
      <c r="AK73" s="21">
        <v>0</v>
      </c>
      <c r="AL73" s="21">
        <v>0</v>
      </c>
      <c r="AM73" s="21">
        <v>0</v>
      </c>
      <c r="AN73" s="21">
        <v>0</v>
      </c>
      <c r="AO73" s="21">
        <v>0</v>
      </c>
      <c r="AP73" s="22">
        <v>0</v>
      </c>
      <c r="AQ73" s="22">
        <v>0</v>
      </c>
      <c r="AR73" s="22">
        <v>0</v>
      </c>
      <c r="AS73" s="20">
        <v>0</v>
      </c>
      <c r="AT73" s="20">
        <v>265600</v>
      </c>
      <c r="AU73" s="20">
        <v>0</v>
      </c>
      <c r="AV73" s="20">
        <v>265600</v>
      </c>
      <c r="AW73" s="20">
        <v>265600</v>
      </c>
      <c r="AX73" s="20">
        <v>40000</v>
      </c>
      <c r="AY73" s="20">
        <v>0</v>
      </c>
      <c r="AZ73" s="20">
        <v>0</v>
      </c>
      <c r="BA73" s="20">
        <v>33700</v>
      </c>
      <c r="BB73" s="20">
        <v>0</v>
      </c>
      <c r="BC73" s="20">
        <v>0</v>
      </c>
      <c r="BD73" s="20">
        <v>0</v>
      </c>
    </row>
    <row r="74" spans="1:56" x14ac:dyDescent="0.2">
      <c r="A74" s="20" t="s">
        <v>97</v>
      </c>
      <c r="B74" s="20" t="s">
        <v>98</v>
      </c>
      <c r="C74" s="20" t="s">
        <v>232</v>
      </c>
      <c r="D74" s="20" t="s">
        <v>406</v>
      </c>
      <c r="E74" s="20" t="s">
        <v>407</v>
      </c>
      <c r="H74" s="20">
        <v>2337</v>
      </c>
      <c r="I74" s="20">
        <v>2</v>
      </c>
      <c r="J74" s="20">
        <v>236200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140100</v>
      </c>
      <c r="S74" s="20">
        <v>5670</v>
      </c>
      <c r="T74" s="20">
        <v>0</v>
      </c>
      <c r="U74" s="20">
        <v>40000</v>
      </c>
      <c r="V74" s="20">
        <v>0</v>
      </c>
      <c r="W74" s="20">
        <v>0</v>
      </c>
      <c r="X74" s="20">
        <v>0</v>
      </c>
      <c r="Y74" s="20">
        <v>0</v>
      </c>
      <c r="Z74" s="20">
        <v>759070</v>
      </c>
      <c r="AA74" s="20">
        <v>37950</v>
      </c>
      <c r="AB74" s="20">
        <v>0</v>
      </c>
      <c r="AC74" s="20">
        <v>120000</v>
      </c>
      <c r="AD74" s="20">
        <v>105630</v>
      </c>
      <c r="AE74" s="20">
        <v>0</v>
      </c>
      <c r="AF74" s="20">
        <v>0</v>
      </c>
      <c r="AG74" s="20">
        <v>0</v>
      </c>
      <c r="AH74" s="21">
        <v>1.0660000000000001</v>
      </c>
      <c r="AI74" s="21">
        <v>0</v>
      </c>
      <c r="AJ74" s="21">
        <v>0</v>
      </c>
      <c r="AK74" s="21">
        <v>0</v>
      </c>
      <c r="AL74" s="21">
        <v>0</v>
      </c>
      <c r="AM74" s="21">
        <v>0</v>
      </c>
      <c r="AN74" s="21">
        <v>0</v>
      </c>
      <c r="AO74" s="21">
        <v>0</v>
      </c>
      <c r="AP74" s="22">
        <v>0</v>
      </c>
      <c r="AQ74" s="22">
        <v>0</v>
      </c>
      <c r="AR74" s="22">
        <v>0</v>
      </c>
      <c r="AS74" s="20">
        <v>0</v>
      </c>
      <c r="AT74" s="20">
        <v>421970</v>
      </c>
      <c r="AU74" s="20">
        <v>0</v>
      </c>
      <c r="AV74" s="20">
        <v>1022650</v>
      </c>
      <c r="AW74" s="20">
        <v>421970</v>
      </c>
      <c r="AX74" s="20">
        <v>40000</v>
      </c>
      <c r="AY74" s="20">
        <v>0</v>
      </c>
      <c r="AZ74" s="20">
        <v>0</v>
      </c>
      <c r="BA74" s="20">
        <v>0</v>
      </c>
      <c r="BB74" s="20">
        <v>0</v>
      </c>
      <c r="BC74" s="20">
        <v>0</v>
      </c>
      <c r="BD74" s="20">
        <v>0</v>
      </c>
    </row>
    <row r="75" spans="1:56" x14ac:dyDescent="0.2">
      <c r="A75" s="20" t="s">
        <v>97</v>
      </c>
      <c r="B75" s="20" t="s">
        <v>98</v>
      </c>
      <c r="C75" s="20" t="s">
        <v>232</v>
      </c>
      <c r="D75" s="20" t="s">
        <v>409</v>
      </c>
      <c r="E75" s="20" t="s">
        <v>410</v>
      </c>
      <c r="H75" s="20">
        <v>2338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166500</v>
      </c>
      <c r="S75" s="20">
        <v>0</v>
      </c>
      <c r="T75" s="20">
        <v>33700</v>
      </c>
      <c r="U75" s="20">
        <v>40000</v>
      </c>
      <c r="V75" s="20">
        <v>0</v>
      </c>
      <c r="W75" s="20">
        <v>0</v>
      </c>
      <c r="X75" s="20">
        <v>0</v>
      </c>
      <c r="Y75" s="20">
        <v>0</v>
      </c>
      <c r="Z75" s="20">
        <v>239530</v>
      </c>
      <c r="AA75" s="20">
        <v>1750</v>
      </c>
      <c r="AB75" s="20">
        <v>33700</v>
      </c>
      <c r="AC75" s="20">
        <v>40000</v>
      </c>
      <c r="AD75" s="20">
        <v>0</v>
      </c>
      <c r="AE75" s="20">
        <v>0</v>
      </c>
      <c r="AF75" s="20">
        <v>0</v>
      </c>
      <c r="AG75" s="20">
        <v>0</v>
      </c>
      <c r="AH75" s="21">
        <v>1.228</v>
      </c>
      <c r="AI75" s="21">
        <v>0</v>
      </c>
      <c r="AJ75" s="21">
        <v>0</v>
      </c>
      <c r="AK75" s="21">
        <v>0</v>
      </c>
      <c r="AL75" s="21">
        <v>0</v>
      </c>
      <c r="AM75" s="21">
        <v>0</v>
      </c>
      <c r="AN75" s="21">
        <v>0</v>
      </c>
      <c r="AO75" s="21">
        <v>0</v>
      </c>
      <c r="AP75" s="22">
        <v>0</v>
      </c>
      <c r="AQ75" s="22">
        <v>0</v>
      </c>
      <c r="AR75" s="22">
        <v>0</v>
      </c>
      <c r="AS75" s="20">
        <v>0</v>
      </c>
      <c r="AT75" s="20">
        <v>240200</v>
      </c>
      <c r="AU75" s="20">
        <v>0</v>
      </c>
      <c r="AV75" s="20">
        <v>314980</v>
      </c>
      <c r="AW75" s="20">
        <v>240200</v>
      </c>
      <c r="AX75" s="20">
        <v>40000</v>
      </c>
      <c r="AY75" s="20">
        <v>0</v>
      </c>
      <c r="AZ75" s="20">
        <v>0</v>
      </c>
      <c r="BA75" s="20">
        <v>33700</v>
      </c>
      <c r="BB75" s="20">
        <v>0</v>
      </c>
      <c r="BC75" s="20">
        <v>0</v>
      </c>
      <c r="BD75" s="20">
        <v>0</v>
      </c>
    </row>
    <row r="76" spans="1:56" x14ac:dyDescent="0.2">
      <c r="A76" s="20" t="s">
        <v>97</v>
      </c>
      <c r="B76" s="20" t="s">
        <v>98</v>
      </c>
      <c r="C76" s="20" t="s">
        <v>232</v>
      </c>
      <c r="D76" s="20" t="s">
        <v>268</v>
      </c>
      <c r="E76" s="20" t="s">
        <v>412</v>
      </c>
      <c r="H76" s="20">
        <v>2339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0">
        <v>0</v>
      </c>
      <c r="P76" s="20">
        <v>0</v>
      </c>
      <c r="Q76" s="20">
        <v>0</v>
      </c>
      <c r="R76" s="20">
        <v>140100</v>
      </c>
      <c r="S76" s="20">
        <v>0</v>
      </c>
      <c r="T76" s="20">
        <v>0</v>
      </c>
      <c r="U76" s="20">
        <v>40000</v>
      </c>
      <c r="V76" s="20">
        <v>0</v>
      </c>
      <c r="W76" s="20">
        <v>62900</v>
      </c>
      <c r="X76" s="20">
        <v>0</v>
      </c>
      <c r="Y76" s="20">
        <v>0</v>
      </c>
      <c r="Z76" s="20">
        <v>140100</v>
      </c>
      <c r="AA76" s="20">
        <v>0</v>
      </c>
      <c r="AB76" s="20">
        <v>0</v>
      </c>
      <c r="AC76" s="20">
        <v>40000</v>
      </c>
      <c r="AD76" s="20">
        <v>0</v>
      </c>
      <c r="AE76" s="20">
        <v>62900</v>
      </c>
      <c r="AF76" s="20">
        <v>0</v>
      </c>
      <c r="AG76" s="20">
        <v>0</v>
      </c>
      <c r="AH76" s="21">
        <v>0.85899999999999999</v>
      </c>
      <c r="AI76" s="21">
        <v>0</v>
      </c>
      <c r="AJ76" s="21">
        <v>0</v>
      </c>
      <c r="AK76" s="21">
        <v>0</v>
      </c>
      <c r="AL76" s="21">
        <v>0</v>
      </c>
      <c r="AM76" s="21">
        <v>0</v>
      </c>
      <c r="AN76" s="21">
        <v>0</v>
      </c>
      <c r="AO76" s="21">
        <v>0</v>
      </c>
      <c r="AP76" s="22">
        <v>0</v>
      </c>
      <c r="AQ76" s="22">
        <v>0</v>
      </c>
      <c r="AR76" s="22">
        <v>0</v>
      </c>
      <c r="AS76" s="20">
        <v>0</v>
      </c>
      <c r="AT76" s="20">
        <v>243000</v>
      </c>
      <c r="AU76" s="20">
        <v>0</v>
      </c>
      <c r="AV76" s="20">
        <v>243000</v>
      </c>
      <c r="AW76" s="20">
        <v>243000</v>
      </c>
      <c r="AX76" s="20">
        <v>40000</v>
      </c>
      <c r="AY76" s="20">
        <v>0</v>
      </c>
      <c r="AZ76" s="20">
        <v>62900</v>
      </c>
      <c r="BA76" s="20">
        <v>0</v>
      </c>
      <c r="BB76" s="20">
        <v>0</v>
      </c>
      <c r="BC76" s="20">
        <v>0</v>
      </c>
      <c r="BD76" s="20">
        <v>0</v>
      </c>
    </row>
    <row r="77" spans="1:56" x14ac:dyDescent="0.2">
      <c r="A77" s="20" t="s">
        <v>97</v>
      </c>
      <c r="B77" s="20" t="s">
        <v>98</v>
      </c>
      <c r="C77" s="20" t="s">
        <v>232</v>
      </c>
      <c r="D77" s="20" t="s">
        <v>271</v>
      </c>
      <c r="E77" s="20" t="s">
        <v>414</v>
      </c>
      <c r="H77" s="20">
        <v>2340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166500</v>
      </c>
      <c r="S77" s="20">
        <v>0</v>
      </c>
      <c r="T77" s="20">
        <v>0</v>
      </c>
      <c r="U77" s="20">
        <v>40000</v>
      </c>
      <c r="V77" s="20">
        <v>0</v>
      </c>
      <c r="W77" s="20">
        <v>0</v>
      </c>
      <c r="X77" s="20">
        <v>0</v>
      </c>
      <c r="Y77" s="20">
        <v>0</v>
      </c>
      <c r="Z77" s="20">
        <v>166500</v>
      </c>
      <c r="AA77" s="20">
        <v>0</v>
      </c>
      <c r="AB77" s="20">
        <v>0</v>
      </c>
      <c r="AC77" s="20">
        <v>40000</v>
      </c>
      <c r="AD77" s="20">
        <v>0</v>
      </c>
      <c r="AE77" s="20">
        <v>0</v>
      </c>
      <c r="AF77" s="20">
        <v>0</v>
      </c>
      <c r="AG77" s="20">
        <v>0</v>
      </c>
      <c r="AH77" s="21">
        <v>1.0209999999999999</v>
      </c>
      <c r="AI77" s="21">
        <v>0</v>
      </c>
      <c r="AJ77" s="21">
        <v>0</v>
      </c>
      <c r="AK77" s="21">
        <v>0</v>
      </c>
      <c r="AL77" s="21">
        <v>0</v>
      </c>
      <c r="AM77" s="21">
        <v>0</v>
      </c>
      <c r="AN77" s="21">
        <v>0</v>
      </c>
      <c r="AO77" s="21">
        <v>0</v>
      </c>
      <c r="AP77" s="22">
        <v>0</v>
      </c>
      <c r="AQ77" s="22">
        <v>0</v>
      </c>
      <c r="AR77" s="22">
        <v>0</v>
      </c>
      <c r="AS77" s="20">
        <v>0</v>
      </c>
      <c r="AT77" s="20">
        <v>206500</v>
      </c>
      <c r="AU77" s="20">
        <v>0</v>
      </c>
      <c r="AV77" s="20">
        <v>206500</v>
      </c>
      <c r="AW77" s="20">
        <v>206500</v>
      </c>
      <c r="AX77" s="20">
        <v>40000</v>
      </c>
      <c r="AY77" s="20">
        <v>0</v>
      </c>
      <c r="AZ77" s="20">
        <v>0</v>
      </c>
      <c r="BA77" s="20">
        <v>0</v>
      </c>
      <c r="BB77" s="20">
        <v>0</v>
      </c>
      <c r="BC77" s="20">
        <v>0</v>
      </c>
      <c r="BD77" s="20">
        <v>0</v>
      </c>
    </row>
    <row r="78" spans="1:56" x14ac:dyDescent="0.2">
      <c r="A78" s="20" t="s">
        <v>97</v>
      </c>
      <c r="B78" s="20" t="s">
        <v>98</v>
      </c>
      <c r="C78" s="20" t="s">
        <v>232</v>
      </c>
      <c r="D78" s="20" t="s">
        <v>274</v>
      </c>
      <c r="E78" s="20" t="s">
        <v>416</v>
      </c>
      <c r="H78" s="20">
        <v>2341</v>
      </c>
      <c r="I78" s="20">
        <v>0</v>
      </c>
      <c r="J78" s="20">
        <v>0</v>
      </c>
      <c r="K78" s="20">
        <v>0</v>
      </c>
      <c r="L78" s="20">
        <v>0</v>
      </c>
      <c r="M78" s="20">
        <v>0</v>
      </c>
      <c r="N78" s="20">
        <v>0</v>
      </c>
      <c r="O78" s="20">
        <v>0</v>
      </c>
      <c r="P78" s="20">
        <v>0</v>
      </c>
      <c r="Q78" s="20">
        <v>0</v>
      </c>
      <c r="R78" s="20">
        <v>176600</v>
      </c>
      <c r="S78" s="20">
        <v>0</v>
      </c>
      <c r="T78" s="20">
        <v>0</v>
      </c>
      <c r="U78" s="20">
        <v>40000</v>
      </c>
      <c r="V78" s="20">
        <v>0</v>
      </c>
      <c r="W78" s="20">
        <v>0</v>
      </c>
      <c r="X78" s="20">
        <v>0</v>
      </c>
      <c r="Y78" s="20">
        <v>0</v>
      </c>
      <c r="Z78" s="20">
        <v>176600</v>
      </c>
      <c r="AA78" s="20">
        <v>0</v>
      </c>
      <c r="AB78" s="20">
        <v>0</v>
      </c>
      <c r="AC78" s="20">
        <v>40000</v>
      </c>
      <c r="AD78" s="20">
        <v>0</v>
      </c>
      <c r="AE78" s="20">
        <v>0</v>
      </c>
      <c r="AF78" s="20">
        <v>0</v>
      </c>
      <c r="AG78" s="20">
        <v>0</v>
      </c>
      <c r="AH78" s="21">
        <v>1.083</v>
      </c>
      <c r="AI78" s="21">
        <v>0</v>
      </c>
      <c r="AJ78" s="21">
        <v>0</v>
      </c>
      <c r="AK78" s="21">
        <v>0</v>
      </c>
      <c r="AL78" s="21">
        <v>0</v>
      </c>
      <c r="AM78" s="21">
        <v>0</v>
      </c>
      <c r="AN78" s="21">
        <v>0</v>
      </c>
      <c r="AO78" s="21">
        <v>0</v>
      </c>
      <c r="AP78" s="22">
        <v>0</v>
      </c>
      <c r="AQ78" s="22">
        <v>0</v>
      </c>
      <c r="AR78" s="22">
        <v>0</v>
      </c>
      <c r="AS78" s="20">
        <v>0</v>
      </c>
      <c r="AT78" s="20">
        <v>216600</v>
      </c>
      <c r="AU78" s="20">
        <v>0</v>
      </c>
      <c r="AV78" s="20">
        <v>216600</v>
      </c>
      <c r="AW78" s="20">
        <v>216600</v>
      </c>
      <c r="AX78" s="20">
        <v>40000</v>
      </c>
      <c r="AY78" s="20">
        <v>0</v>
      </c>
      <c r="AZ78" s="20">
        <v>0</v>
      </c>
      <c r="BA78" s="20">
        <v>0</v>
      </c>
      <c r="BB78" s="20">
        <v>0</v>
      </c>
      <c r="BC78" s="20">
        <v>0</v>
      </c>
      <c r="BD78" s="20">
        <v>0</v>
      </c>
    </row>
    <row r="79" spans="1:56" x14ac:dyDescent="0.2">
      <c r="A79" s="20" t="s">
        <v>97</v>
      </c>
      <c r="B79" s="20" t="s">
        <v>98</v>
      </c>
      <c r="C79" s="20" t="s">
        <v>232</v>
      </c>
      <c r="D79" s="20" t="s">
        <v>277</v>
      </c>
      <c r="E79" s="20" t="s">
        <v>418</v>
      </c>
      <c r="H79" s="20">
        <v>2342</v>
      </c>
      <c r="I79" s="20">
        <v>7</v>
      </c>
      <c r="J79" s="20">
        <v>1343300</v>
      </c>
      <c r="K79" s="20">
        <v>97810</v>
      </c>
      <c r="L79" s="20">
        <v>0</v>
      </c>
      <c r="M79" s="20">
        <v>120000</v>
      </c>
      <c r="N79" s="20">
        <v>0</v>
      </c>
      <c r="O79" s="20">
        <v>0</v>
      </c>
      <c r="P79" s="20">
        <v>0</v>
      </c>
      <c r="Q79" s="20">
        <v>0</v>
      </c>
      <c r="R79" s="20">
        <v>191900</v>
      </c>
      <c r="S79" s="20">
        <v>32240</v>
      </c>
      <c r="T79" s="20">
        <v>0</v>
      </c>
      <c r="U79" s="20">
        <v>40000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</v>
      </c>
      <c r="AF79" s="20">
        <v>0</v>
      </c>
      <c r="AG79" s="20">
        <v>0</v>
      </c>
      <c r="AH79" s="21">
        <v>1.1759999999999999</v>
      </c>
      <c r="AI79" s="21">
        <v>0</v>
      </c>
      <c r="AJ79" s="21">
        <v>0</v>
      </c>
      <c r="AK79" s="21">
        <v>0</v>
      </c>
      <c r="AL79" s="21">
        <v>0</v>
      </c>
      <c r="AM79" s="21">
        <v>0</v>
      </c>
      <c r="AN79" s="21">
        <v>0</v>
      </c>
      <c r="AO79" s="21">
        <v>0</v>
      </c>
      <c r="AP79" s="22">
        <v>0</v>
      </c>
      <c r="AQ79" s="22">
        <v>0</v>
      </c>
      <c r="AR79" s="22">
        <v>0</v>
      </c>
      <c r="AS79" s="20">
        <v>0</v>
      </c>
      <c r="AT79" s="20">
        <v>1825250</v>
      </c>
      <c r="AU79" s="20">
        <v>0</v>
      </c>
      <c r="AV79" s="20">
        <v>0</v>
      </c>
      <c r="AW79" s="20">
        <v>1825250</v>
      </c>
      <c r="AX79" s="20">
        <v>40000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</row>
    <row r="80" spans="1:56" x14ac:dyDescent="0.2">
      <c r="A80" s="20" t="s">
        <v>97</v>
      </c>
      <c r="B80" s="20" t="s">
        <v>98</v>
      </c>
      <c r="C80" s="20" t="s">
        <v>232</v>
      </c>
      <c r="D80" s="20" t="s">
        <v>420</v>
      </c>
      <c r="E80" s="20" t="s">
        <v>421</v>
      </c>
      <c r="H80" s="20">
        <v>2343</v>
      </c>
      <c r="I80" s="20">
        <v>1</v>
      </c>
      <c r="J80" s="20">
        <v>176600</v>
      </c>
      <c r="K80" s="20">
        <v>0</v>
      </c>
      <c r="L80" s="20">
        <v>0</v>
      </c>
      <c r="M80" s="20">
        <v>40000</v>
      </c>
      <c r="N80" s="20">
        <v>0</v>
      </c>
      <c r="O80" s="20">
        <v>62900</v>
      </c>
      <c r="P80" s="20">
        <v>4300</v>
      </c>
      <c r="Q80" s="20">
        <v>0</v>
      </c>
      <c r="R80" s="20">
        <v>176600</v>
      </c>
      <c r="S80" s="20">
        <v>5850</v>
      </c>
      <c r="T80" s="20">
        <v>0</v>
      </c>
      <c r="U80" s="20">
        <v>40000</v>
      </c>
      <c r="V80" s="20">
        <v>0</v>
      </c>
      <c r="W80" s="20">
        <v>62900</v>
      </c>
      <c r="X80" s="20">
        <v>4300</v>
      </c>
      <c r="Y80" s="20">
        <v>0</v>
      </c>
      <c r="Z80" s="20">
        <v>0</v>
      </c>
      <c r="AA80" s="20">
        <v>0</v>
      </c>
      <c r="AB80" s="20">
        <v>0</v>
      </c>
      <c r="AC80" s="20">
        <v>0</v>
      </c>
      <c r="AD80" s="20">
        <v>0</v>
      </c>
      <c r="AE80" s="20">
        <v>0</v>
      </c>
      <c r="AF80" s="20">
        <v>0</v>
      </c>
      <c r="AG80" s="20">
        <v>0</v>
      </c>
      <c r="AH80" s="21">
        <v>1.083</v>
      </c>
      <c r="AI80" s="21">
        <v>0</v>
      </c>
      <c r="AJ80" s="21">
        <v>0</v>
      </c>
      <c r="AK80" s="21">
        <v>0</v>
      </c>
      <c r="AL80" s="21">
        <v>0</v>
      </c>
      <c r="AM80" s="21">
        <v>0</v>
      </c>
      <c r="AN80" s="21">
        <v>0</v>
      </c>
      <c r="AO80" s="21">
        <v>0</v>
      </c>
      <c r="AP80" s="22">
        <v>0</v>
      </c>
      <c r="AQ80" s="22">
        <v>0</v>
      </c>
      <c r="AR80" s="22">
        <v>0</v>
      </c>
      <c r="AS80" s="20">
        <v>0</v>
      </c>
      <c r="AT80" s="20">
        <v>573450</v>
      </c>
      <c r="AU80" s="20">
        <v>0</v>
      </c>
      <c r="AV80" s="20">
        <v>0</v>
      </c>
      <c r="AW80" s="20">
        <v>573450</v>
      </c>
      <c r="AX80" s="20">
        <v>40000</v>
      </c>
      <c r="AY80" s="20">
        <v>0</v>
      </c>
      <c r="AZ80" s="20">
        <v>62900</v>
      </c>
      <c r="BA80" s="20">
        <v>0</v>
      </c>
      <c r="BB80" s="20">
        <v>4300</v>
      </c>
      <c r="BC80" s="20">
        <v>0</v>
      </c>
      <c r="BD80" s="20">
        <v>0</v>
      </c>
    </row>
    <row r="81" spans="1:56" x14ac:dyDescent="0.2">
      <c r="A81" s="20" t="s">
        <v>97</v>
      </c>
      <c r="B81" s="20" t="s">
        <v>98</v>
      </c>
      <c r="C81" s="20" t="s">
        <v>232</v>
      </c>
      <c r="D81" s="20" t="s">
        <v>422</v>
      </c>
      <c r="E81" s="20" t="s">
        <v>423</v>
      </c>
      <c r="H81" s="20">
        <v>2344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191900</v>
      </c>
      <c r="S81" s="20">
        <v>0</v>
      </c>
      <c r="T81" s="20">
        <v>33700</v>
      </c>
      <c r="U81" s="20">
        <v>40000</v>
      </c>
      <c r="V81" s="20">
        <v>0</v>
      </c>
      <c r="W81" s="20">
        <v>0</v>
      </c>
      <c r="X81" s="20">
        <v>0</v>
      </c>
      <c r="Y81" s="20">
        <v>0</v>
      </c>
      <c r="Z81" s="20">
        <v>191900</v>
      </c>
      <c r="AA81" s="20">
        <v>0</v>
      </c>
      <c r="AB81" s="20">
        <v>33700</v>
      </c>
      <c r="AC81" s="20">
        <v>40000</v>
      </c>
      <c r="AD81" s="20">
        <v>0</v>
      </c>
      <c r="AE81" s="20">
        <v>0</v>
      </c>
      <c r="AF81" s="20">
        <v>0</v>
      </c>
      <c r="AG81" s="20">
        <v>0</v>
      </c>
      <c r="AH81" s="21">
        <v>1.383</v>
      </c>
      <c r="AI81" s="21">
        <v>0</v>
      </c>
      <c r="AJ81" s="21">
        <v>0</v>
      </c>
      <c r="AK81" s="21">
        <v>0</v>
      </c>
      <c r="AL81" s="21">
        <v>0</v>
      </c>
      <c r="AM81" s="21">
        <v>0</v>
      </c>
      <c r="AN81" s="21">
        <v>0</v>
      </c>
      <c r="AO81" s="21">
        <v>0</v>
      </c>
      <c r="AP81" s="22">
        <v>0</v>
      </c>
      <c r="AQ81" s="22">
        <v>0</v>
      </c>
      <c r="AR81" s="22">
        <v>0</v>
      </c>
      <c r="AS81" s="20">
        <v>0</v>
      </c>
      <c r="AT81" s="20">
        <v>265600</v>
      </c>
      <c r="AU81" s="20">
        <v>0</v>
      </c>
      <c r="AV81" s="20">
        <v>265600</v>
      </c>
      <c r="AW81" s="20">
        <v>265600</v>
      </c>
      <c r="AX81" s="20">
        <v>40000</v>
      </c>
      <c r="AY81" s="20">
        <v>0</v>
      </c>
      <c r="AZ81" s="20">
        <v>0</v>
      </c>
      <c r="BA81" s="20">
        <v>33700</v>
      </c>
      <c r="BB81" s="20">
        <v>0</v>
      </c>
      <c r="BC81" s="20">
        <v>0</v>
      </c>
      <c r="BD81" s="20">
        <v>0</v>
      </c>
    </row>
    <row r="82" spans="1:56" x14ac:dyDescent="0.2">
      <c r="A82" s="20" t="s">
        <v>97</v>
      </c>
      <c r="B82" s="20" t="s">
        <v>98</v>
      </c>
      <c r="C82" s="20" t="s">
        <v>232</v>
      </c>
      <c r="D82" s="20" t="s">
        <v>425</v>
      </c>
      <c r="E82" s="20" t="s">
        <v>426</v>
      </c>
      <c r="H82" s="20">
        <v>2345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140100</v>
      </c>
      <c r="S82" s="20">
        <v>0</v>
      </c>
      <c r="T82" s="20">
        <v>0</v>
      </c>
      <c r="U82" s="20">
        <v>40000</v>
      </c>
      <c r="V82" s="20">
        <v>0</v>
      </c>
      <c r="W82" s="20">
        <v>0</v>
      </c>
      <c r="X82" s="20">
        <v>0</v>
      </c>
      <c r="Y82" s="20">
        <v>0</v>
      </c>
      <c r="Z82" s="20">
        <v>140100</v>
      </c>
      <c r="AA82" s="20">
        <v>0</v>
      </c>
      <c r="AB82" s="20">
        <v>0</v>
      </c>
      <c r="AC82" s="20">
        <v>40000</v>
      </c>
      <c r="AD82" s="20">
        <v>0</v>
      </c>
      <c r="AE82" s="20">
        <v>0</v>
      </c>
      <c r="AF82" s="20">
        <v>0</v>
      </c>
      <c r="AG82" s="20">
        <v>0</v>
      </c>
      <c r="AH82" s="21">
        <v>0.85899999999999999</v>
      </c>
      <c r="AI82" s="21">
        <v>0</v>
      </c>
      <c r="AJ82" s="21">
        <v>0</v>
      </c>
      <c r="AK82" s="21">
        <v>0</v>
      </c>
      <c r="AL82" s="21">
        <v>0</v>
      </c>
      <c r="AM82" s="21">
        <v>0</v>
      </c>
      <c r="AN82" s="21">
        <v>0</v>
      </c>
      <c r="AO82" s="21">
        <v>0</v>
      </c>
      <c r="AP82" s="22">
        <v>0</v>
      </c>
      <c r="AQ82" s="22">
        <v>0</v>
      </c>
      <c r="AR82" s="22">
        <v>0</v>
      </c>
      <c r="AS82" s="20">
        <v>0</v>
      </c>
      <c r="AT82" s="20">
        <v>180100</v>
      </c>
      <c r="AU82" s="20">
        <v>0</v>
      </c>
      <c r="AV82" s="20">
        <v>180100</v>
      </c>
      <c r="AW82" s="20">
        <v>180100</v>
      </c>
      <c r="AX82" s="20">
        <v>40000</v>
      </c>
      <c r="AY82" s="20">
        <v>0</v>
      </c>
      <c r="AZ82" s="20">
        <v>0</v>
      </c>
      <c r="BA82" s="20">
        <v>0</v>
      </c>
      <c r="BB82" s="20">
        <v>0</v>
      </c>
      <c r="BC82" s="20">
        <v>0</v>
      </c>
      <c r="BD82" s="20">
        <v>0</v>
      </c>
    </row>
    <row r="83" spans="1:56" x14ac:dyDescent="0.2">
      <c r="A83" s="20" t="s">
        <v>97</v>
      </c>
      <c r="B83" s="20" t="s">
        <v>98</v>
      </c>
      <c r="C83" s="20" t="s">
        <v>232</v>
      </c>
      <c r="D83" s="20" t="s">
        <v>428</v>
      </c>
      <c r="E83" s="20" t="s">
        <v>429</v>
      </c>
      <c r="H83" s="20">
        <v>2346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166500</v>
      </c>
      <c r="S83" s="20">
        <v>0</v>
      </c>
      <c r="T83" s="20">
        <v>0</v>
      </c>
      <c r="U83" s="20">
        <v>40000</v>
      </c>
      <c r="V83" s="20">
        <v>0</v>
      </c>
      <c r="W83" s="20">
        <v>62900</v>
      </c>
      <c r="X83" s="20">
        <v>0</v>
      </c>
      <c r="Y83" s="20">
        <v>0</v>
      </c>
      <c r="Z83" s="20">
        <v>166500</v>
      </c>
      <c r="AA83" s="20">
        <v>0</v>
      </c>
      <c r="AB83" s="20">
        <v>0</v>
      </c>
      <c r="AC83" s="20">
        <v>40000</v>
      </c>
      <c r="AD83" s="20">
        <v>0</v>
      </c>
      <c r="AE83" s="20">
        <v>62900</v>
      </c>
      <c r="AF83" s="20">
        <v>0</v>
      </c>
      <c r="AG83" s="20">
        <v>0</v>
      </c>
      <c r="AH83" s="21">
        <v>1.0209999999999999</v>
      </c>
      <c r="AI83" s="21">
        <v>0</v>
      </c>
      <c r="AJ83" s="21">
        <v>0</v>
      </c>
      <c r="AK83" s="21">
        <v>0</v>
      </c>
      <c r="AL83" s="21">
        <v>0</v>
      </c>
      <c r="AM83" s="21">
        <v>0</v>
      </c>
      <c r="AN83" s="21">
        <v>0</v>
      </c>
      <c r="AO83" s="21">
        <v>0</v>
      </c>
      <c r="AP83" s="22">
        <v>0</v>
      </c>
      <c r="AQ83" s="22">
        <v>0</v>
      </c>
      <c r="AR83" s="22">
        <v>0</v>
      </c>
      <c r="AS83" s="20">
        <v>0</v>
      </c>
      <c r="AT83" s="20">
        <v>269400</v>
      </c>
      <c r="AU83" s="20">
        <v>0</v>
      </c>
      <c r="AV83" s="20">
        <v>269400</v>
      </c>
      <c r="AW83" s="20">
        <v>269400</v>
      </c>
      <c r="AX83" s="20">
        <v>40000</v>
      </c>
      <c r="AY83" s="20">
        <v>0</v>
      </c>
      <c r="AZ83" s="20">
        <v>62900</v>
      </c>
      <c r="BA83" s="20">
        <v>0</v>
      </c>
      <c r="BB83" s="20">
        <v>0</v>
      </c>
      <c r="BC83" s="20">
        <v>0</v>
      </c>
      <c r="BD83" s="20">
        <v>0</v>
      </c>
    </row>
    <row r="84" spans="1:56" x14ac:dyDescent="0.2">
      <c r="A84" s="20" t="s">
        <v>97</v>
      </c>
      <c r="B84" s="20" t="s">
        <v>98</v>
      </c>
      <c r="C84" s="20" t="s">
        <v>232</v>
      </c>
      <c r="D84" s="20" t="s">
        <v>280</v>
      </c>
      <c r="E84" s="20" t="s">
        <v>431</v>
      </c>
      <c r="H84" s="20">
        <v>2347</v>
      </c>
      <c r="I84" s="20">
        <v>-5</v>
      </c>
      <c r="J84" s="20">
        <v>-700500</v>
      </c>
      <c r="K84" s="20">
        <v>0</v>
      </c>
      <c r="L84" s="20">
        <v>0</v>
      </c>
      <c r="M84" s="20">
        <v>120000</v>
      </c>
      <c r="N84" s="20">
        <v>0</v>
      </c>
      <c r="O84" s="20">
        <v>0</v>
      </c>
      <c r="P84" s="20">
        <v>0</v>
      </c>
      <c r="Q84" s="20">
        <v>0</v>
      </c>
      <c r="R84" s="20">
        <v>140100</v>
      </c>
      <c r="S84" s="20">
        <v>0</v>
      </c>
      <c r="T84" s="20">
        <v>0</v>
      </c>
      <c r="U84" s="20">
        <v>40000</v>
      </c>
      <c r="V84" s="20">
        <v>0</v>
      </c>
      <c r="W84" s="20">
        <v>0</v>
      </c>
      <c r="X84" s="20">
        <v>0</v>
      </c>
      <c r="Y84" s="20">
        <v>0</v>
      </c>
      <c r="Z84" s="20">
        <v>0</v>
      </c>
      <c r="AA84" s="20">
        <v>0</v>
      </c>
      <c r="AB84" s="20">
        <v>0</v>
      </c>
      <c r="AC84" s="20">
        <v>0</v>
      </c>
      <c r="AD84" s="20">
        <v>0</v>
      </c>
      <c r="AE84" s="20">
        <v>0</v>
      </c>
      <c r="AF84" s="20">
        <v>0</v>
      </c>
      <c r="AG84" s="20">
        <v>0</v>
      </c>
      <c r="AH84" s="21">
        <v>0.85899999999999999</v>
      </c>
      <c r="AI84" s="21">
        <v>0</v>
      </c>
      <c r="AJ84" s="21">
        <v>0</v>
      </c>
      <c r="AK84" s="21">
        <v>0</v>
      </c>
      <c r="AL84" s="21">
        <v>0</v>
      </c>
      <c r="AM84" s="21">
        <v>0</v>
      </c>
      <c r="AN84" s="21">
        <v>0</v>
      </c>
      <c r="AO84" s="21">
        <v>0</v>
      </c>
      <c r="AP84" s="22">
        <v>0</v>
      </c>
      <c r="AQ84" s="22">
        <v>0</v>
      </c>
      <c r="AR84" s="22">
        <v>0</v>
      </c>
      <c r="AS84" s="20">
        <v>0</v>
      </c>
      <c r="AT84" s="20">
        <v>-400400</v>
      </c>
      <c r="AU84" s="20">
        <v>0</v>
      </c>
      <c r="AV84" s="20">
        <v>0</v>
      </c>
      <c r="AW84" s="20">
        <v>-400400</v>
      </c>
      <c r="AX84" s="20">
        <v>40000</v>
      </c>
      <c r="AY84" s="20">
        <v>0</v>
      </c>
      <c r="AZ84" s="20">
        <v>0</v>
      </c>
      <c r="BA84" s="20">
        <v>0</v>
      </c>
      <c r="BB84" s="20">
        <v>0</v>
      </c>
      <c r="BC84" s="20">
        <v>0</v>
      </c>
      <c r="BD84" s="20">
        <v>0</v>
      </c>
    </row>
    <row r="85" spans="1:56" x14ac:dyDescent="0.2">
      <c r="A85" s="20" t="s">
        <v>97</v>
      </c>
      <c r="B85" s="20" t="s">
        <v>98</v>
      </c>
      <c r="C85" s="20" t="s">
        <v>232</v>
      </c>
      <c r="D85" s="20" t="s">
        <v>283</v>
      </c>
      <c r="E85" s="20" t="s">
        <v>433</v>
      </c>
      <c r="H85" s="20">
        <v>2348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0">
        <v>0</v>
      </c>
      <c r="P85" s="20">
        <v>0</v>
      </c>
      <c r="Q85" s="20">
        <v>0</v>
      </c>
      <c r="R85" s="20">
        <v>166500</v>
      </c>
      <c r="S85" s="20">
        <v>0</v>
      </c>
      <c r="T85" s="20">
        <v>0</v>
      </c>
      <c r="U85" s="20">
        <v>40000</v>
      </c>
      <c r="V85" s="20">
        <v>0</v>
      </c>
      <c r="W85" s="20">
        <v>0</v>
      </c>
      <c r="X85" s="20">
        <v>0</v>
      </c>
      <c r="Y85" s="20">
        <v>0</v>
      </c>
      <c r="Z85" s="20">
        <v>166500</v>
      </c>
      <c r="AA85" s="20">
        <v>0</v>
      </c>
      <c r="AB85" s="20">
        <v>0</v>
      </c>
      <c r="AC85" s="20">
        <v>40000</v>
      </c>
      <c r="AD85" s="20">
        <v>0</v>
      </c>
      <c r="AE85" s="20">
        <v>0</v>
      </c>
      <c r="AF85" s="20">
        <v>0</v>
      </c>
      <c r="AG85" s="20">
        <v>0</v>
      </c>
      <c r="AH85" s="21">
        <v>1.0209999999999999</v>
      </c>
      <c r="AI85" s="21">
        <v>0</v>
      </c>
      <c r="AJ85" s="21">
        <v>0</v>
      </c>
      <c r="AK85" s="21">
        <v>0</v>
      </c>
      <c r="AL85" s="21">
        <v>0</v>
      </c>
      <c r="AM85" s="21">
        <v>0</v>
      </c>
      <c r="AN85" s="21">
        <v>0</v>
      </c>
      <c r="AO85" s="21">
        <v>0</v>
      </c>
      <c r="AP85" s="22">
        <v>0</v>
      </c>
      <c r="AQ85" s="22">
        <v>0</v>
      </c>
      <c r="AR85" s="22">
        <v>0</v>
      </c>
      <c r="AS85" s="20">
        <v>0</v>
      </c>
      <c r="AT85" s="20">
        <v>206500</v>
      </c>
      <c r="AU85" s="20">
        <v>0</v>
      </c>
      <c r="AV85" s="20">
        <v>206500</v>
      </c>
      <c r="AW85" s="20">
        <v>206500</v>
      </c>
      <c r="AX85" s="20">
        <v>40000</v>
      </c>
      <c r="AY85" s="20">
        <v>0</v>
      </c>
      <c r="AZ85" s="20">
        <v>0</v>
      </c>
      <c r="BA85" s="20">
        <v>0</v>
      </c>
      <c r="BB85" s="20">
        <v>0</v>
      </c>
      <c r="BC85" s="20">
        <v>0</v>
      </c>
      <c r="BD85" s="20">
        <v>0</v>
      </c>
    </row>
    <row r="86" spans="1:56" x14ac:dyDescent="0.2">
      <c r="A86" s="20" t="s">
        <v>97</v>
      </c>
      <c r="B86" s="20" t="s">
        <v>98</v>
      </c>
      <c r="C86" s="20" t="s">
        <v>232</v>
      </c>
      <c r="D86" s="20" t="s">
        <v>286</v>
      </c>
      <c r="E86" s="20" t="s">
        <v>435</v>
      </c>
      <c r="H86" s="20">
        <v>2349</v>
      </c>
      <c r="I86" s="20">
        <v>-1</v>
      </c>
      <c r="J86" s="20">
        <v>-148800</v>
      </c>
      <c r="K86" s="20">
        <v>0</v>
      </c>
      <c r="L86" s="20">
        <v>0</v>
      </c>
      <c r="M86" s="20">
        <v>0</v>
      </c>
      <c r="N86" s="20">
        <v>0</v>
      </c>
      <c r="O86" s="20">
        <v>0</v>
      </c>
      <c r="P86" s="20">
        <v>0</v>
      </c>
      <c r="Q86" s="20">
        <v>0</v>
      </c>
      <c r="R86" s="20">
        <v>176600</v>
      </c>
      <c r="S86" s="20">
        <v>0</v>
      </c>
      <c r="T86" s="20">
        <v>0</v>
      </c>
      <c r="U86" s="20">
        <v>40000</v>
      </c>
      <c r="V86" s="20">
        <v>0</v>
      </c>
      <c r="W86" s="20">
        <v>0</v>
      </c>
      <c r="X86" s="20">
        <v>0</v>
      </c>
      <c r="Y86" s="20">
        <v>0</v>
      </c>
      <c r="Z86" s="20">
        <v>210000</v>
      </c>
      <c r="AA86" s="20">
        <v>0</v>
      </c>
      <c r="AB86" s="20">
        <v>0</v>
      </c>
      <c r="AC86" s="20">
        <v>40000</v>
      </c>
      <c r="AD86" s="20">
        <v>0</v>
      </c>
      <c r="AE86" s="20">
        <v>0</v>
      </c>
      <c r="AF86" s="20">
        <v>0</v>
      </c>
      <c r="AG86" s="20">
        <v>0</v>
      </c>
      <c r="AH86" s="21">
        <v>1.083</v>
      </c>
      <c r="AI86" s="21">
        <v>0</v>
      </c>
      <c r="AJ86" s="21">
        <v>0</v>
      </c>
      <c r="AK86" s="21">
        <v>0</v>
      </c>
      <c r="AL86" s="21">
        <v>0</v>
      </c>
      <c r="AM86" s="21">
        <v>0</v>
      </c>
      <c r="AN86" s="21">
        <v>0</v>
      </c>
      <c r="AO86" s="21">
        <v>0</v>
      </c>
      <c r="AP86" s="22">
        <v>0</v>
      </c>
      <c r="AQ86" s="22">
        <v>0</v>
      </c>
      <c r="AR86" s="22">
        <v>0</v>
      </c>
      <c r="AS86" s="20">
        <v>0</v>
      </c>
      <c r="AT86" s="20">
        <v>67800</v>
      </c>
      <c r="AU86" s="20">
        <v>0</v>
      </c>
      <c r="AV86" s="20">
        <v>250000</v>
      </c>
      <c r="AW86" s="20">
        <v>67800</v>
      </c>
      <c r="AX86" s="20">
        <v>40000</v>
      </c>
      <c r="AY86" s="20">
        <v>0</v>
      </c>
      <c r="AZ86" s="20">
        <v>0</v>
      </c>
      <c r="BA86" s="20">
        <v>0</v>
      </c>
      <c r="BB86" s="20">
        <v>0</v>
      </c>
      <c r="BC86" s="20">
        <v>0</v>
      </c>
      <c r="BD86" s="20">
        <v>0</v>
      </c>
    </row>
    <row r="87" spans="1:56" x14ac:dyDescent="0.2">
      <c r="A87" s="20" t="s">
        <v>97</v>
      </c>
      <c r="B87" s="20" t="s">
        <v>98</v>
      </c>
      <c r="C87" s="20" t="s">
        <v>232</v>
      </c>
      <c r="D87" s="20" t="s">
        <v>289</v>
      </c>
      <c r="E87" s="20" t="s">
        <v>437</v>
      </c>
      <c r="H87" s="20">
        <v>2350</v>
      </c>
      <c r="I87" s="20">
        <v>1</v>
      </c>
      <c r="J87" s="20">
        <v>122920</v>
      </c>
      <c r="K87" s="20">
        <v>0</v>
      </c>
      <c r="L87" s="20">
        <v>0</v>
      </c>
      <c r="M87" s="20">
        <v>0</v>
      </c>
      <c r="N87" s="20">
        <v>0</v>
      </c>
      <c r="O87" s="20">
        <v>0</v>
      </c>
      <c r="P87" s="20">
        <v>0</v>
      </c>
      <c r="Q87" s="20">
        <v>0</v>
      </c>
      <c r="R87" s="20">
        <v>191900</v>
      </c>
      <c r="S87" s="20">
        <v>2950</v>
      </c>
      <c r="T87" s="20">
        <v>33700</v>
      </c>
      <c r="U87" s="20">
        <v>40000</v>
      </c>
      <c r="V87" s="20">
        <v>0</v>
      </c>
      <c r="W87" s="20">
        <v>0</v>
      </c>
      <c r="X87" s="20">
        <v>0</v>
      </c>
      <c r="Y87" s="20">
        <v>0</v>
      </c>
      <c r="Z87" s="20">
        <v>149960</v>
      </c>
      <c r="AA87" s="20">
        <v>1940</v>
      </c>
      <c r="AB87" s="20">
        <v>33700</v>
      </c>
      <c r="AC87" s="20">
        <v>40000</v>
      </c>
      <c r="AD87" s="20">
        <v>0</v>
      </c>
      <c r="AE87" s="20">
        <v>0</v>
      </c>
      <c r="AF87" s="20">
        <v>0</v>
      </c>
      <c r="AG87" s="20">
        <v>0</v>
      </c>
      <c r="AH87" s="21">
        <v>1.383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1">
        <v>0</v>
      </c>
      <c r="AO87" s="21">
        <v>0</v>
      </c>
      <c r="AP87" s="22">
        <v>0</v>
      </c>
      <c r="AQ87" s="22">
        <v>0</v>
      </c>
      <c r="AR87" s="22">
        <v>0</v>
      </c>
      <c r="AS87" s="20">
        <v>0</v>
      </c>
      <c r="AT87" s="20">
        <v>391470</v>
      </c>
      <c r="AU87" s="20">
        <v>0</v>
      </c>
      <c r="AV87" s="20">
        <v>225600</v>
      </c>
      <c r="AW87" s="20">
        <v>391470</v>
      </c>
      <c r="AX87" s="20">
        <v>40000</v>
      </c>
      <c r="AY87" s="20">
        <v>0</v>
      </c>
      <c r="AZ87" s="20">
        <v>0</v>
      </c>
      <c r="BA87" s="20">
        <v>33700</v>
      </c>
      <c r="BB87" s="20">
        <v>0</v>
      </c>
      <c r="BC87" s="20">
        <v>0</v>
      </c>
      <c r="BD87" s="20">
        <v>0</v>
      </c>
    </row>
    <row r="88" spans="1:56" x14ac:dyDescent="0.2">
      <c r="A88" s="20" t="s">
        <v>97</v>
      </c>
      <c r="B88" s="20" t="s">
        <v>98</v>
      </c>
      <c r="C88" s="20" t="s">
        <v>232</v>
      </c>
      <c r="D88" s="20" t="s">
        <v>439</v>
      </c>
      <c r="E88" s="20" t="s">
        <v>440</v>
      </c>
      <c r="H88" s="20">
        <v>2351</v>
      </c>
      <c r="I88" s="20">
        <v>0</v>
      </c>
      <c r="J88" s="20">
        <v>-79700</v>
      </c>
      <c r="K88" s="20">
        <v>0</v>
      </c>
      <c r="L88" s="20">
        <v>0</v>
      </c>
      <c r="M88" s="20">
        <v>80000</v>
      </c>
      <c r="N88" s="20">
        <v>0</v>
      </c>
      <c r="O88" s="20">
        <v>0</v>
      </c>
      <c r="P88" s="20">
        <v>0</v>
      </c>
      <c r="Q88" s="20">
        <v>0</v>
      </c>
      <c r="R88" s="20">
        <v>176600</v>
      </c>
      <c r="S88" s="20">
        <v>0</v>
      </c>
      <c r="T88" s="20">
        <v>0</v>
      </c>
      <c r="U88" s="20">
        <v>40000</v>
      </c>
      <c r="V88" s="20">
        <v>0</v>
      </c>
      <c r="W88" s="20">
        <v>0</v>
      </c>
      <c r="X88" s="20">
        <v>0</v>
      </c>
      <c r="Y88" s="20">
        <v>0</v>
      </c>
      <c r="Z88" s="20">
        <v>0</v>
      </c>
      <c r="AA88" s="20">
        <v>0</v>
      </c>
      <c r="AB88" s="20">
        <v>0</v>
      </c>
      <c r="AC88" s="20">
        <v>0</v>
      </c>
      <c r="AD88" s="20">
        <v>0</v>
      </c>
      <c r="AE88" s="20">
        <v>0</v>
      </c>
      <c r="AF88" s="20">
        <v>0</v>
      </c>
      <c r="AG88" s="20">
        <v>0</v>
      </c>
      <c r="AH88" s="21">
        <v>1.083</v>
      </c>
      <c r="AI88" s="21">
        <v>0</v>
      </c>
      <c r="AJ88" s="21">
        <v>0</v>
      </c>
      <c r="AK88" s="21">
        <v>0</v>
      </c>
      <c r="AL88" s="21">
        <v>0</v>
      </c>
      <c r="AM88" s="21">
        <v>0</v>
      </c>
      <c r="AN88" s="21">
        <v>0</v>
      </c>
      <c r="AO88" s="21">
        <v>0</v>
      </c>
      <c r="AP88" s="22">
        <v>0</v>
      </c>
      <c r="AQ88" s="22">
        <v>0</v>
      </c>
      <c r="AR88" s="22">
        <v>0</v>
      </c>
      <c r="AS88" s="20">
        <v>0</v>
      </c>
      <c r="AT88" s="20">
        <v>216900</v>
      </c>
      <c r="AU88" s="20">
        <v>0</v>
      </c>
      <c r="AV88" s="20">
        <v>0</v>
      </c>
      <c r="AW88" s="20">
        <v>216900</v>
      </c>
      <c r="AX88" s="20">
        <v>40000</v>
      </c>
      <c r="AY88" s="20">
        <v>0</v>
      </c>
      <c r="AZ88" s="20">
        <v>0</v>
      </c>
      <c r="BA88" s="20">
        <v>0</v>
      </c>
      <c r="BB88" s="20">
        <v>0</v>
      </c>
      <c r="BC88" s="20">
        <v>0</v>
      </c>
      <c r="BD88" s="20">
        <v>0</v>
      </c>
    </row>
    <row r="89" spans="1:56" x14ac:dyDescent="0.2">
      <c r="A89" s="20" t="s">
        <v>97</v>
      </c>
      <c r="B89" s="20" t="s">
        <v>98</v>
      </c>
      <c r="C89" s="20" t="s">
        <v>232</v>
      </c>
      <c r="D89" s="20" t="s">
        <v>442</v>
      </c>
      <c r="E89" s="20" t="s">
        <v>443</v>
      </c>
      <c r="H89" s="20">
        <v>2352</v>
      </c>
      <c r="I89" s="20">
        <v>1</v>
      </c>
      <c r="J89" s="20">
        <v>191371</v>
      </c>
      <c r="K89" s="20">
        <v>0</v>
      </c>
      <c r="L89" s="20">
        <v>0</v>
      </c>
      <c r="M89" s="20">
        <v>40000</v>
      </c>
      <c r="N89" s="20">
        <v>0</v>
      </c>
      <c r="O89" s="20">
        <v>62900</v>
      </c>
      <c r="P89" s="20">
        <v>0</v>
      </c>
      <c r="Q89" s="20">
        <v>0</v>
      </c>
      <c r="R89" s="20">
        <v>191900</v>
      </c>
      <c r="S89" s="20">
        <v>6100</v>
      </c>
      <c r="T89" s="20">
        <v>0</v>
      </c>
      <c r="U89" s="20">
        <v>40000</v>
      </c>
      <c r="V89" s="20">
        <v>0</v>
      </c>
      <c r="W89" s="20">
        <v>62900</v>
      </c>
      <c r="X89" s="20">
        <v>0</v>
      </c>
      <c r="Y89" s="20">
        <v>0</v>
      </c>
      <c r="Z89" s="20">
        <v>0</v>
      </c>
      <c r="AA89" s="20">
        <v>0</v>
      </c>
      <c r="AB89" s="20">
        <v>0</v>
      </c>
      <c r="AC89" s="20">
        <v>0</v>
      </c>
      <c r="AD89" s="20">
        <v>0</v>
      </c>
      <c r="AE89" s="20">
        <v>0</v>
      </c>
      <c r="AF89" s="20">
        <v>0</v>
      </c>
      <c r="AG89" s="20">
        <v>0</v>
      </c>
      <c r="AH89" s="21">
        <v>1.1759999999999999</v>
      </c>
      <c r="AI89" s="21">
        <v>0</v>
      </c>
      <c r="AJ89" s="21">
        <v>0</v>
      </c>
      <c r="AK89" s="21">
        <v>0</v>
      </c>
      <c r="AL89" s="21">
        <v>0</v>
      </c>
      <c r="AM89" s="21">
        <v>0</v>
      </c>
      <c r="AN89" s="21">
        <v>0</v>
      </c>
      <c r="AO89" s="21">
        <v>0</v>
      </c>
      <c r="AP89" s="22">
        <v>0</v>
      </c>
      <c r="AQ89" s="22">
        <v>0</v>
      </c>
      <c r="AR89" s="22">
        <v>0</v>
      </c>
      <c r="AS89" s="20">
        <v>0</v>
      </c>
      <c r="AT89" s="20">
        <v>595171</v>
      </c>
      <c r="AU89" s="20">
        <v>0</v>
      </c>
      <c r="AV89" s="20">
        <v>0</v>
      </c>
      <c r="AW89" s="20">
        <v>595171</v>
      </c>
      <c r="AX89" s="20">
        <v>40000</v>
      </c>
      <c r="AY89" s="20">
        <v>0</v>
      </c>
      <c r="AZ89" s="20">
        <v>62900</v>
      </c>
      <c r="BA89" s="20">
        <v>0</v>
      </c>
      <c r="BB89" s="20">
        <v>0</v>
      </c>
      <c r="BC89" s="20">
        <v>0</v>
      </c>
      <c r="BD89" s="20">
        <v>0</v>
      </c>
    </row>
    <row r="90" spans="1:56" x14ac:dyDescent="0.2">
      <c r="A90" s="20" t="s">
        <v>97</v>
      </c>
      <c r="B90" s="20" t="s">
        <v>98</v>
      </c>
      <c r="C90" s="20" t="s">
        <v>232</v>
      </c>
      <c r="D90" s="20" t="s">
        <v>445</v>
      </c>
      <c r="E90" s="20" t="s">
        <v>446</v>
      </c>
      <c r="H90" s="20">
        <v>2353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0">
        <v>140100</v>
      </c>
      <c r="S90" s="20">
        <v>0</v>
      </c>
      <c r="T90" s="20">
        <v>0</v>
      </c>
      <c r="U90" s="20">
        <v>40000</v>
      </c>
      <c r="V90" s="20">
        <v>0</v>
      </c>
      <c r="W90" s="20">
        <v>0</v>
      </c>
      <c r="X90" s="20">
        <v>0</v>
      </c>
      <c r="Y90" s="20">
        <v>0</v>
      </c>
      <c r="Z90" s="20">
        <v>140100</v>
      </c>
      <c r="AA90" s="20">
        <v>0</v>
      </c>
      <c r="AB90" s="20">
        <v>0</v>
      </c>
      <c r="AC90" s="20">
        <v>40000</v>
      </c>
      <c r="AD90" s="20">
        <v>0</v>
      </c>
      <c r="AE90" s="20">
        <v>0</v>
      </c>
      <c r="AF90" s="20">
        <v>0</v>
      </c>
      <c r="AG90" s="20">
        <v>0</v>
      </c>
      <c r="AH90" s="21">
        <v>0.85899999999999999</v>
      </c>
      <c r="AI90" s="21">
        <v>0</v>
      </c>
      <c r="AJ90" s="21">
        <v>0</v>
      </c>
      <c r="AK90" s="21">
        <v>0</v>
      </c>
      <c r="AL90" s="21">
        <v>0</v>
      </c>
      <c r="AM90" s="21">
        <v>0</v>
      </c>
      <c r="AN90" s="21">
        <v>0</v>
      </c>
      <c r="AO90" s="21">
        <v>0</v>
      </c>
      <c r="AP90" s="22">
        <v>0</v>
      </c>
      <c r="AQ90" s="22">
        <v>0</v>
      </c>
      <c r="AR90" s="22">
        <v>0</v>
      </c>
      <c r="AS90" s="20">
        <v>0</v>
      </c>
      <c r="AT90" s="20">
        <v>180100</v>
      </c>
      <c r="AU90" s="20">
        <v>0</v>
      </c>
      <c r="AV90" s="20">
        <v>180100</v>
      </c>
      <c r="AW90" s="20">
        <v>180100</v>
      </c>
      <c r="AX90" s="20">
        <v>40000</v>
      </c>
      <c r="AY90" s="20">
        <v>0</v>
      </c>
      <c r="AZ90" s="20">
        <v>0</v>
      </c>
      <c r="BA90" s="20">
        <v>0</v>
      </c>
      <c r="BB90" s="20">
        <v>0</v>
      </c>
      <c r="BC90" s="20">
        <v>0</v>
      </c>
      <c r="BD90" s="20">
        <v>0</v>
      </c>
    </row>
    <row r="91" spans="1:56" x14ac:dyDescent="0.2">
      <c r="A91" s="20" t="s">
        <v>97</v>
      </c>
      <c r="B91" s="20" t="s">
        <v>98</v>
      </c>
      <c r="C91" s="20" t="s">
        <v>232</v>
      </c>
      <c r="D91" s="20" t="s">
        <v>448</v>
      </c>
      <c r="E91" s="20" t="s">
        <v>449</v>
      </c>
      <c r="H91" s="20">
        <v>2354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20">
        <v>0</v>
      </c>
      <c r="R91" s="20">
        <v>166500</v>
      </c>
      <c r="S91" s="20">
        <v>0</v>
      </c>
      <c r="T91" s="20">
        <v>33700</v>
      </c>
      <c r="U91" s="20">
        <v>40000</v>
      </c>
      <c r="V91" s="20">
        <v>0</v>
      </c>
      <c r="W91" s="20">
        <v>0</v>
      </c>
      <c r="X91" s="20">
        <v>0</v>
      </c>
      <c r="Y91" s="20">
        <v>0</v>
      </c>
      <c r="Z91" s="20">
        <v>166500</v>
      </c>
      <c r="AA91" s="20">
        <v>0</v>
      </c>
      <c r="AB91" s="20">
        <v>33700</v>
      </c>
      <c r="AC91" s="20">
        <v>40000</v>
      </c>
      <c r="AD91" s="20">
        <v>0</v>
      </c>
      <c r="AE91" s="20">
        <v>0</v>
      </c>
      <c r="AF91" s="20">
        <v>0</v>
      </c>
      <c r="AG91" s="20">
        <v>0</v>
      </c>
      <c r="AH91" s="21">
        <v>1.228</v>
      </c>
      <c r="AI91" s="21">
        <v>0</v>
      </c>
      <c r="AJ91" s="21">
        <v>0</v>
      </c>
      <c r="AK91" s="21">
        <v>0</v>
      </c>
      <c r="AL91" s="21">
        <v>0</v>
      </c>
      <c r="AM91" s="21">
        <v>0</v>
      </c>
      <c r="AN91" s="21">
        <v>0</v>
      </c>
      <c r="AO91" s="21">
        <v>0</v>
      </c>
      <c r="AP91" s="22">
        <v>0</v>
      </c>
      <c r="AQ91" s="22">
        <v>0</v>
      </c>
      <c r="AR91" s="22">
        <v>0</v>
      </c>
      <c r="AS91" s="20">
        <v>0</v>
      </c>
      <c r="AT91" s="20">
        <v>240200</v>
      </c>
      <c r="AU91" s="20">
        <v>0</v>
      </c>
      <c r="AV91" s="20">
        <v>240200</v>
      </c>
      <c r="AW91" s="20">
        <v>240200</v>
      </c>
      <c r="AX91" s="20">
        <v>40000</v>
      </c>
      <c r="AY91" s="20">
        <v>0</v>
      </c>
      <c r="AZ91" s="20">
        <v>0</v>
      </c>
      <c r="BA91" s="20">
        <v>33700</v>
      </c>
      <c r="BB91" s="20">
        <v>0</v>
      </c>
      <c r="BC91" s="20">
        <v>0</v>
      </c>
      <c r="BD91" s="20">
        <v>0</v>
      </c>
    </row>
    <row r="92" spans="1:56" x14ac:dyDescent="0.2">
      <c r="A92" s="20" t="s">
        <v>97</v>
      </c>
      <c r="B92" s="20" t="s">
        <v>98</v>
      </c>
      <c r="C92" s="20" t="s">
        <v>223</v>
      </c>
      <c r="D92" s="20" t="s">
        <v>283</v>
      </c>
      <c r="E92" s="20" t="s">
        <v>451</v>
      </c>
      <c r="H92" s="20">
        <v>2355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0">
        <v>125800</v>
      </c>
      <c r="P92" s="20">
        <v>0</v>
      </c>
      <c r="Q92" s="20">
        <v>0</v>
      </c>
      <c r="R92" s="20">
        <v>0</v>
      </c>
      <c r="S92" s="20">
        <v>0</v>
      </c>
      <c r="T92" s="20">
        <v>0</v>
      </c>
      <c r="U92" s="20">
        <v>0</v>
      </c>
      <c r="V92" s="20">
        <v>0</v>
      </c>
      <c r="W92" s="20">
        <v>62900</v>
      </c>
      <c r="X92" s="20">
        <v>0</v>
      </c>
      <c r="Y92" s="20">
        <v>0</v>
      </c>
      <c r="Z92" s="20">
        <v>0</v>
      </c>
      <c r="AA92" s="20">
        <v>0</v>
      </c>
      <c r="AB92" s="20">
        <v>0</v>
      </c>
      <c r="AC92" s="20">
        <v>0</v>
      </c>
      <c r="AD92" s="20">
        <v>0</v>
      </c>
      <c r="AE92" s="20">
        <v>0</v>
      </c>
      <c r="AF92" s="20">
        <v>0</v>
      </c>
      <c r="AG92" s="20">
        <v>0</v>
      </c>
      <c r="AH92" s="21">
        <v>0</v>
      </c>
      <c r="AI92" s="21">
        <v>0</v>
      </c>
      <c r="AJ92" s="21">
        <v>0</v>
      </c>
      <c r="AK92" s="21">
        <v>0</v>
      </c>
      <c r="AL92" s="21">
        <v>0</v>
      </c>
      <c r="AM92" s="21">
        <v>0</v>
      </c>
      <c r="AN92" s="21">
        <v>0</v>
      </c>
      <c r="AO92" s="21">
        <v>0</v>
      </c>
      <c r="AP92" s="22">
        <v>0</v>
      </c>
      <c r="AQ92" s="22">
        <v>0</v>
      </c>
      <c r="AR92" s="22">
        <v>0</v>
      </c>
      <c r="AS92" s="20">
        <v>0</v>
      </c>
      <c r="AT92" s="20">
        <v>188700</v>
      </c>
      <c r="AU92" s="20">
        <v>0</v>
      </c>
      <c r="AV92" s="20">
        <v>0</v>
      </c>
      <c r="AW92" s="20">
        <v>188700</v>
      </c>
      <c r="AX92" s="20">
        <v>0</v>
      </c>
      <c r="AY92" s="20">
        <v>0</v>
      </c>
      <c r="AZ92" s="20">
        <v>62900</v>
      </c>
      <c r="BA92" s="20">
        <v>0</v>
      </c>
      <c r="BB92" s="20">
        <v>0</v>
      </c>
      <c r="BC92" s="20">
        <v>0</v>
      </c>
      <c r="BD92" s="20">
        <v>0</v>
      </c>
    </row>
    <row r="93" spans="1:56" x14ac:dyDescent="0.2">
      <c r="A93" s="20" t="s">
        <v>97</v>
      </c>
      <c r="B93" s="20" t="s">
        <v>98</v>
      </c>
      <c r="C93" s="20" t="s">
        <v>225</v>
      </c>
      <c r="D93" s="20" t="s">
        <v>258</v>
      </c>
      <c r="E93" s="20" t="s">
        <v>453</v>
      </c>
      <c r="H93" s="20">
        <v>2356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0">
        <v>0</v>
      </c>
      <c r="P93" s="20">
        <v>228100</v>
      </c>
      <c r="Q93" s="20">
        <v>0</v>
      </c>
      <c r="R93" s="20">
        <v>0</v>
      </c>
      <c r="S93" s="20">
        <v>0</v>
      </c>
      <c r="T93" s="20">
        <v>0</v>
      </c>
      <c r="U93" s="20">
        <v>0</v>
      </c>
      <c r="V93" s="20">
        <v>0</v>
      </c>
      <c r="W93" s="20">
        <v>0</v>
      </c>
      <c r="X93" s="20">
        <v>8500</v>
      </c>
      <c r="Y93" s="20">
        <v>0</v>
      </c>
      <c r="Z93" s="20">
        <v>0</v>
      </c>
      <c r="AA93" s="20">
        <v>0</v>
      </c>
      <c r="AB93" s="20">
        <v>0</v>
      </c>
      <c r="AC93" s="20">
        <v>0</v>
      </c>
      <c r="AD93" s="20">
        <v>0</v>
      </c>
      <c r="AE93" s="20">
        <v>0</v>
      </c>
      <c r="AF93" s="20">
        <v>0</v>
      </c>
      <c r="AG93" s="20">
        <v>100000</v>
      </c>
      <c r="AH93" s="21">
        <v>0</v>
      </c>
      <c r="AI93" s="21">
        <v>0</v>
      </c>
      <c r="AJ93" s="21">
        <v>0</v>
      </c>
      <c r="AK93" s="21">
        <v>0</v>
      </c>
      <c r="AL93" s="21">
        <v>0</v>
      </c>
      <c r="AM93" s="21">
        <v>0</v>
      </c>
      <c r="AN93" s="21">
        <v>0</v>
      </c>
      <c r="AO93" s="21">
        <v>0</v>
      </c>
      <c r="AP93" s="22">
        <v>0</v>
      </c>
      <c r="AQ93" s="22">
        <v>0</v>
      </c>
      <c r="AR93" s="22">
        <v>0</v>
      </c>
      <c r="AS93" s="20">
        <v>0</v>
      </c>
      <c r="AT93" s="20">
        <v>236600</v>
      </c>
      <c r="AU93" s="20">
        <v>0</v>
      </c>
      <c r="AV93" s="20">
        <v>100000</v>
      </c>
      <c r="AW93" s="20">
        <v>236600</v>
      </c>
      <c r="AX93" s="20">
        <v>0</v>
      </c>
      <c r="AY93" s="20">
        <v>0</v>
      </c>
      <c r="AZ93" s="20">
        <v>0</v>
      </c>
      <c r="BA93" s="20">
        <v>0</v>
      </c>
      <c r="BB93" s="20">
        <v>8500</v>
      </c>
      <c r="BC93" s="20">
        <v>0</v>
      </c>
      <c r="BD93" s="20">
        <v>0</v>
      </c>
    </row>
    <row r="94" spans="1:56" x14ac:dyDescent="0.2">
      <c r="A94" s="20" t="s">
        <v>97</v>
      </c>
      <c r="B94" s="20" t="s">
        <v>98</v>
      </c>
      <c r="C94" s="20" t="s">
        <v>227</v>
      </c>
      <c r="D94" s="20" t="s">
        <v>261</v>
      </c>
      <c r="E94" s="20" t="s">
        <v>469</v>
      </c>
      <c r="H94" s="20">
        <v>2357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0">
        <v>0</v>
      </c>
      <c r="P94" s="20">
        <v>51000</v>
      </c>
      <c r="Q94" s="20">
        <v>0</v>
      </c>
      <c r="R94" s="20">
        <v>0</v>
      </c>
      <c r="S94" s="20">
        <v>0</v>
      </c>
      <c r="T94" s="20">
        <v>0</v>
      </c>
      <c r="U94" s="20">
        <v>0</v>
      </c>
      <c r="V94" s="20">
        <v>0</v>
      </c>
      <c r="W94" s="20">
        <v>0</v>
      </c>
      <c r="X94" s="20">
        <v>8500</v>
      </c>
      <c r="Y94" s="20">
        <v>0</v>
      </c>
      <c r="Z94" s="20">
        <v>0</v>
      </c>
      <c r="AA94" s="20">
        <v>0</v>
      </c>
      <c r="AB94" s="20">
        <v>0</v>
      </c>
      <c r="AC94" s="20">
        <v>0</v>
      </c>
      <c r="AD94" s="20">
        <v>0</v>
      </c>
      <c r="AE94" s="20">
        <v>0</v>
      </c>
      <c r="AF94" s="20">
        <v>0</v>
      </c>
      <c r="AG94" s="20">
        <v>0</v>
      </c>
      <c r="AH94" s="21">
        <v>0</v>
      </c>
      <c r="AI94" s="21">
        <v>0</v>
      </c>
      <c r="AJ94" s="21">
        <v>0</v>
      </c>
      <c r="AK94" s="21">
        <v>0</v>
      </c>
      <c r="AL94" s="21">
        <v>0</v>
      </c>
      <c r="AM94" s="21">
        <v>0</v>
      </c>
      <c r="AN94" s="21">
        <v>0</v>
      </c>
      <c r="AO94" s="21">
        <v>0</v>
      </c>
      <c r="AP94" s="22">
        <v>0</v>
      </c>
      <c r="AQ94" s="22">
        <v>0</v>
      </c>
      <c r="AR94" s="22">
        <v>0</v>
      </c>
      <c r="AS94" s="20">
        <v>0</v>
      </c>
      <c r="AT94" s="20">
        <v>59500</v>
      </c>
      <c r="AU94" s="20">
        <v>0</v>
      </c>
      <c r="AV94" s="20">
        <v>0</v>
      </c>
      <c r="AW94" s="20">
        <v>59500</v>
      </c>
      <c r="AX94" s="20">
        <v>0</v>
      </c>
      <c r="AY94" s="20">
        <v>0</v>
      </c>
      <c r="AZ94" s="20">
        <v>0</v>
      </c>
      <c r="BA94" s="20">
        <v>0</v>
      </c>
      <c r="BB94" s="20">
        <v>8500</v>
      </c>
      <c r="BC94" s="20">
        <v>0</v>
      </c>
      <c r="BD94" s="20">
        <v>0</v>
      </c>
    </row>
    <row r="97" spans="1:56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113" spans="1:56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</sheetData>
  <pageMargins left="0.75" right="0.75" top="1" bottom="1" header="0" footer="0"/>
  <pageSetup paperSize="256" orientation="portrait" horizontalDpi="240" verticalDpi="14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Y282"/>
  <sheetViews>
    <sheetView view="pageBreakPreview" zoomScaleNormal="74" zoomScaleSheetLayoutView="100" workbookViewId="0">
      <selection sqref="A1:XFD1048576"/>
    </sheetView>
  </sheetViews>
  <sheetFormatPr baseColWidth="10" defaultRowHeight="12.75" x14ac:dyDescent="0.2"/>
  <cols>
    <col min="1" max="1" width="6.85546875" style="16" bestFit="1" customWidth="1"/>
    <col min="2" max="2" width="7" style="17" bestFit="1" customWidth="1"/>
    <col min="3" max="3" width="9.140625" style="18" customWidth="1"/>
    <col min="4" max="4" width="32.42578125" style="19" bestFit="1" customWidth="1"/>
    <col min="5" max="5" width="12.7109375" style="16" bestFit="1" customWidth="1"/>
    <col min="6" max="9" width="13.28515625" style="15" customWidth="1"/>
    <col min="10" max="10" width="11.5703125" style="15" hidden="1" customWidth="1"/>
    <col min="11" max="13" width="13.28515625" style="15" customWidth="1"/>
    <col min="14" max="14" width="15.5703125" style="15" customWidth="1"/>
  </cols>
  <sheetData>
    <row r="1" spans="1:14" s="1" customFormat="1" ht="15.75" x14ac:dyDescent="0.25">
      <c r="A1" s="28" t="str">
        <f>CONCATENATE("Listado de Pendientes del mes de ",[1]Proyectos!$E$2," de ",[1]Proyectos!$H$4)</f>
        <v>Listado de Pendientes del mes de Agosto de 2017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s="1" customFormat="1" ht="15" x14ac:dyDescent="0.2">
      <c r="A2" s="30" t="str">
        <f>'Base de Datos Maestro'!H2</f>
        <v>URBANIZACION ALBORADA 1-4 PH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3" spans="1:14" s="2" customFormat="1" x14ac:dyDescent="0.2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4" s="5" customFormat="1" ht="12.95" customHeight="1" x14ac:dyDescent="0.25">
      <c r="A4" s="3" t="s">
        <v>0</v>
      </c>
      <c r="B4" s="3" t="s">
        <v>1</v>
      </c>
      <c r="C4" s="3" t="s">
        <v>2</v>
      </c>
      <c r="D4" s="3"/>
      <c r="E4" s="3" t="s">
        <v>3</v>
      </c>
      <c r="F4" s="27" t="s">
        <v>4</v>
      </c>
      <c r="G4" s="27" t="s">
        <v>5</v>
      </c>
      <c r="H4" s="27" t="s">
        <v>94</v>
      </c>
      <c r="I4" s="27" t="s">
        <v>6</v>
      </c>
      <c r="J4" s="27" t="s">
        <v>7</v>
      </c>
      <c r="K4" s="27" t="s">
        <v>95</v>
      </c>
      <c r="L4" s="27" t="s">
        <v>96</v>
      </c>
      <c r="M4" s="27" t="s">
        <v>8</v>
      </c>
      <c r="N4" s="4" t="s">
        <v>9</v>
      </c>
    </row>
    <row r="5" spans="1:14" ht="12.95" customHeight="1" x14ac:dyDescent="0.2">
      <c r="A5" s="6" t="str">
        <f>IF(SUM('Base de Datos Sumaria'!J2:Q2)&lt;&gt;0,'Base de Datos Sumaria'!C2," ")</f>
        <v xml:space="preserve"> </v>
      </c>
      <c r="B5" s="6" t="str">
        <f>IF(SUM('Base de Datos Sumaria'!J2:Q2)&lt;&gt;0,'Base de Datos Sumaria'!D2," ")</f>
        <v xml:space="preserve"> </v>
      </c>
      <c r="C5" s="7" t="str">
        <f>IF(SUM('Base de Datos Sumaria'!J2:Q2)&lt;&gt;0,'Base de Datos Sumaria'!H2," ")</f>
        <v xml:space="preserve"> </v>
      </c>
      <c r="D5" s="8" t="str">
        <f>IF(SUM('Base de Datos Sumaria'!J2:Q2)&lt;&gt;0,'Base de Datos Maestro'!L2," ")</f>
        <v xml:space="preserve"> </v>
      </c>
      <c r="E5" s="9" t="str">
        <f>IF('Base de Datos Sumaria'!I2&lt;&gt;0,'Base de Datos Sumaria'!I2,"")</f>
        <v/>
      </c>
      <c r="F5" s="10" t="str">
        <f>IF(SUM('Base de Datos Sumaria'!J2:Q2)&lt;&gt;0,'Base de Datos Sumaria'!J2,"")</f>
        <v/>
      </c>
      <c r="G5" s="10" t="str">
        <f>IF(SUM('Base de Datos Sumaria'!J2:Q2)&lt;&gt;0,'Base de Datos Sumaria'!K2," ")</f>
        <v xml:space="preserve"> </v>
      </c>
      <c r="H5" s="10" t="str">
        <f>IF(SUM('Base de Datos Sumaria'!J2:Q2)&lt;&gt;0,'Base de Datos Sumaria'!L2," ")</f>
        <v xml:space="preserve"> </v>
      </c>
      <c r="I5" s="10" t="str">
        <f>IF(SUM('Base de Datos Sumaria'!J2:Q2)&lt;&gt;0,'Base de Datos Sumaria'!M2," ")</f>
        <v xml:space="preserve"> </v>
      </c>
      <c r="J5" s="10" t="str">
        <f>IF(SUM('Base de Datos Sumaria'!J2:Q2)&lt;&gt;0,'Base de Datos Sumaria'!N2," ")</f>
        <v xml:space="preserve"> </v>
      </c>
      <c r="K5" s="10" t="str">
        <f>IF(SUM('Base de Datos Sumaria'!J2:Q2)&lt;&gt;0,'Base de Datos Sumaria'!O2," ")</f>
        <v xml:space="preserve"> </v>
      </c>
      <c r="L5" s="10" t="str">
        <f>IF(SUM('Base de Datos Sumaria'!J2:Q2)&lt;&gt;0,'Base de Datos Sumaria'!P2," ")</f>
        <v xml:space="preserve"> </v>
      </c>
      <c r="M5" s="10" t="str">
        <f>IF(SUM('Base de Datos Sumaria'!J2:Q2)&lt;&gt;0,'Base de Datos Sumaria'!Q2," ")</f>
        <v xml:space="preserve"> </v>
      </c>
      <c r="N5" s="10" t="str">
        <f>IF(SUM('Base de Datos Sumaria'!J2:Q2)&lt;&gt;0,SUM(F5:M5)," ")</f>
        <v xml:space="preserve"> </v>
      </c>
    </row>
    <row r="6" spans="1:14" ht="12.95" customHeight="1" x14ac:dyDescent="0.2">
      <c r="A6" s="6" t="str">
        <f>IF(SUM('Base de Datos Sumaria'!J3:Q3)&lt;&gt;0,'Base de Datos Sumaria'!C3," ")</f>
        <v>1</v>
      </c>
      <c r="B6" s="6" t="str">
        <f>IF(SUM('Base de Datos Sumaria'!J3:Q3)&lt;&gt;0,'Base de Datos Sumaria'!D3," ")</f>
        <v>102</v>
      </c>
      <c r="C6" s="7">
        <f>IF(SUM('Base de Datos Sumaria'!J3:Q3)&lt;&gt;0,'Base de Datos Sumaria'!H3," ")</f>
        <v>2266</v>
      </c>
      <c r="D6" s="8" t="str">
        <f>IF(SUM('Base de Datos Sumaria'!J3:Q3)&lt;&gt;0,'Base de Datos Maestro'!L3," ")</f>
        <v>JAIRO ELIAS ORTIZ VALLEJO</v>
      </c>
      <c r="E6" s="9">
        <f>IF('Base de Datos Sumaria'!I3&lt;&gt;0,'Base de Datos Sumaria'!I3,"")</f>
        <v>1</v>
      </c>
      <c r="F6" s="10">
        <f>IF(SUM('Base de Datos Sumaria'!J3:Q3)&lt;&gt;0,'Base de Datos Sumaria'!J3,"")</f>
        <v>191900</v>
      </c>
      <c r="G6" s="10">
        <f>IF(SUM('Base de Datos Sumaria'!J3:Q3)&lt;&gt;0,'Base de Datos Sumaria'!K3," ")</f>
        <v>0</v>
      </c>
      <c r="H6" s="10">
        <f>IF(SUM('Base de Datos Sumaria'!J3:Q3)&lt;&gt;0,'Base de Datos Sumaria'!L3," ")</f>
        <v>0</v>
      </c>
      <c r="I6" s="10">
        <f>IF(SUM('Base de Datos Sumaria'!J3:Q3)&lt;&gt;0,'Base de Datos Sumaria'!M3," ")</f>
        <v>40000</v>
      </c>
      <c r="J6" s="10">
        <f>IF(SUM('Base de Datos Sumaria'!J3:Q3)&lt;&gt;0,'Base de Datos Sumaria'!N3," ")</f>
        <v>0</v>
      </c>
      <c r="K6" s="10">
        <f>IF(SUM('Base de Datos Sumaria'!J3:Q3)&lt;&gt;0,'Base de Datos Sumaria'!O3," ")</f>
        <v>0</v>
      </c>
      <c r="L6" s="10">
        <f>IF(SUM('Base de Datos Sumaria'!J3:Q3)&lt;&gt;0,'Base de Datos Sumaria'!P3," ")</f>
        <v>0</v>
      </c>
      <c r="M6" s="10">
        <f>IF(SUM('Base de Datos Sumaria'!J3:Q3)&lt;&gt;0,'Base de Datos Sumaria'!Q3," ")</f>
        <v>0</v>
      </c>
      <c r="N6" s="10">
        <f>IF(SUM('Base de Datos Sumaria'!J3:Q3)&lt;&gt;0,SUM(F6:M6)," ")</f>
        <v>231900</v>
      </c>
    </row>
    <row r="7" spans="1:14" ht="12.95" customHeight="1" x14ac:dyDescent="0.2">
      <c r="A7" s="6" t="str">
        <f>IF(SUM('Base de Datos Sumaria'!J4:Q4)&lt;&gt;0,'Base de Datos Sumaria'!C4," ")</f>
        <v xml:space="preserve"> </v>
      </c>
      <c r="B7" s="6" t="str">
        <f>IF(SUM('Base de Datos Sumaria'!J4:Q4)&lt;&gt;0,'Base de Datos Sumaria'!D4," ")</f>
        <v xml:space="preserve"> </v>
      </c>
      <c r="C7" s="7" t="str">
        <f>IF(SUM('Base de Datos Sumaria'!J4:Q4)&lt;&gt;0,'Base de Datos Sumaria'!H4," ")</f>
        <v xml:space="preserve"> </v>
      </c>
      <c r="D7" s="8" t="str">
        <f>IF(SUM('Base de Datos Sumaria'!J4:Q4)&lt;&gt;0,'Base de Datos Maestro'!L4," ")</f>
        <v xml:space="preserve"> </v>
      </c>
      <c r="E7" s="9" t="str">
        <f>IF('Base de Datos Sumaria'!I4&lt;&gt;0,'Base de Datos Sumaria'!I4,"")</f>
        <v/>
      </c>
      <c r="F7" s="10" t="str">
        <f>IF(SUM('Base de Datos Sumaria'!J4:Q4)&lt;&gt;0,'Base de Datos Sumaria'!J4,"")</f>
        <v/>
      </c>
      <c r="G7" s="10" t="str">
        <f>IF(SUM('Base de Datos Sumaria'!J4:Q4)&lt;&gt;0,'Base de Datos Sumaria'!K4," ")</f>
        <v xml:space="preserve"> </v>
      </c>
      <c r="H7" s="10" t="str">
        <f>IF(SUM('Base de Datos Sumaria'!J4:Q4)&lt;&gt;0,'Base de Datos Sumaria'!L4," ")</f>
        <v xml:space="preserve"> </v>
      </c>
      <c r="I7" s="10" t="str">
        <f>IF(SUM('Base de Datos Sumaria'!J4:Q4)&lt;&gt;0,'Base de Datos Sumaria'!M4," ")</f>
        <v xml:space="preserve"> </v>
      </c>
      <c r="J7" s="10" t="str">
        <f>IF(SUM('Base de Datos Sumaria'!J4:Q4)&lt;&gt;0,'Base de Datos Sumaria'!N4," ")</f>
        <v xml:space="preserve"> </v>
      </c>
      <c r="K7" s="10" t="str">
        <f>IF(SUM('Base de Datos Sumaria'!J4:Q4)&lt;&gt;0,'Base de Datos Sumaria'!O4," ")</f>
        <v xml:space="preserve"> </v>
      </c>
      <c r="L7" s="10" t="str">
        <f>IF(SUM('Base de Datos Sumaria'!J4:Q4)&lt;&gt;0,'Base de Datos Sumaria'!P4," ")</f>
        <v xml:space="preserve"> </v>
      </c>
      <c r="M7" s="10" t="str">
        <f>IF(SUM('Base de Datos Sumaria'!J4:Q4)&lt;&gt;0,'Base de Datos Sumaria'!Q4," ")</f>
        <v xml:space="preserve"> </v>
      </c>
      <c r="N7" s="10" t="str">
        <f>IF(SUM('Base de Datos Sumaria'!J4:Q4)&lt;&gt;0,SUM(F7:M7)," ")</f>
        <v xml:space="preserve"> </v>
      </c>
    </row>
    <row r="8" spans="1:14" ht="12.95" customHeight="1" x14ac:dyDescent="0.2">
      <c r="A8" s="6" t="str">
        <f>IF(SUM('Base de Datos Sumaria'!J5:Q5)&lt;&gt;0,'Base de Datos Sumaria'!C5," ")</f>
        <v xml:space="preserve"> </v>
      </c>
      <c r="B8" s="6" t="str">
        <f>IF(SUM('Base de Datos Sumaria'!J5:Q5)&lt;&gt;0,'Base de Datos Sumaria'!D5," ")</f>
        <v xml:space="preserve"> </v>
      </c>
      <c r="C8" s="7" t="str">
        <f>IF(SUM('Base de Datos Sumaria'!J5:Q5)&lt;&gt;0,'Base de Datos Sumaria'!H5," ")</f>
        <v xml:space="preserve"> </v>
      </c>
      <c r="D8" s="8" t="str">
        <f>IF(SUM('Base de Datos Sumaria'!J5:Q5)&lt;&gt;0,'Base de Datos Maestro'!L5," ")</f>
        <v xml:space="preserve"> </v>
      </c>
      <c r="E8" s="9" t="str">
        <f>IF('Base de Datos Sumaria'!I5&lt;&gt;0,'Base de Datos Sumaria'!I5,"")</f>
        <v/>
      </c>
      <c r="F8" s="10" t="str">
        <f>IF(SUM('Base de Datos Sumaria'!J5:Q5)&lt;&gt;0,'Base de Datos Sumaria'!J5,"")</f>
        <v/>
      </c>
      <c r="G8" s="10" t="str">
        <f>IF(SUM('Base de Datos Sumaria'!J5:Q5)&lt;&gt;0,'Base de Datos Sumaria'!K5," ")</f>
        <v xml:space="preserve"> </v>
      </c>
      <c r="H8" s="10" t="str">
        <f>IF(SUM('Base de Datos Sumaria'!J5:Q5)&lt;&gt;0,'Base de Datos Sumaria'!L5," ")</f>
        <v xml:space="preserve"> </v>
      </c>
      <c r="I8" s="10" t="str">
        <f>IF(SUM('Base de Datos Sumaria'!J5:Q5)&lt;&gt;0,'Base de Datos Sumaria'!M5," ")</f>
        <v xml:space="preserve"> </v>
      </c>
      <c r="J8" s="10" t="str">
        <f>IF(SUM('Base de Datos Sumaria'!J5:Q5)&lt;&gt;0,'Base de Datos Sumaria'!N5," ")</f>
        <v xml:space="preserve"> </v>
      </c>
      <c r="K8" s="10" t="str">
        <f>IF(SUM('Base de Datos Sumaria'!J5:Q5)&lt;&gt;0,'Base de Datos Sumaria'!O5," ")</f>
        <v xml:space="preserve"> </v>
      </c>
      <c r="L8" s="10" t="str">
        <f>IF(SUM('Base de Datos Sumaria'!J5:Q5)&lt;&gt;0,'Base de Datos Sumaria'!P5," ")</f>
        <v xml:space="preserve"> </v>
      </c>
      <c r="M8" s="10" t="str">
        <f>IF(SUM('Base de Datos Sumaria'!J5:Q5)&lt;&gt;0,'Base de Datos Sumaria'!Q5," ")</f>
        <v xml:space="preserve"> </v>
      </c>
      <c r="N8" s="10" t="str">
        <f>IF(SUM('Base de Datos Sumaria'!J5:Q5)&lt;&gt;0,SUM(F8:M8)," ")</f>
        <v xml:space="preserve"> </v>
      </c>
    </row>
    <row r="9" spans="1:14" ht="12.95" customHeight="1" x14ac:dyDescent="0.2">
      <c r="A9" s="6" t="str">
        <f>IF(SUM('Base de Datos Sumaria'!J6:Q6)&lt;&gt;0,'Base de Datos Sumaria'!C6," ")</f>
        <v xml:space="preserve"> </v>
      </c>
      <c r="B9" s="6" t="str">
        <f>IF(SUM('Base de Datos Sumaria'!J6:Q6)&lt;&gt;0,'Base de Datos Sumaria'!D6," ")</f>
        <v xml:space="preserve"> </v>
      </c>
      <c r="C9" s="7" t="str">
        <f>IF(SUM('Base de Datos Sumaria'!J6:Q6)&lt;&gt;0,'Base de Datos Sumaria'!H6," ")</f>
        <v xml:space="preserve"> </v>
      </c>
      <c r="D9" s="8" t="str">
        <f>IF(SUM('Base de Datos Sumaria'!J6:Q6)&lt;&gt;0,'Base de Datos Maestro'!L6," ")</f>
        <v xml:space="preserve"> </v>
      </c>
      <c r="E9" s="9" t="str">
        <f>IF('Base de Datos Sumaria'!I6&lt;&gt;0,'Base de Datos Sumaria'!I6,"")</f>
        <v/>
      </c>
      <c r="F9" s="10" t="str">
        <f>IF(SUM('Base de Datos Sumaria'!J6:Q6)&lt;&gt;0,'Base de Datos Sumaria'!J6,"")</f>
        <v/>
      </c>
      <c r="G9" s="10" t="str">
        <f>IF(SUM('Base de Datos Sumaria'!J6:Q6)&lt;&gt;0,'Base de Datos Sumaria'!K6," ")</f>
        <v xml:space="preserve"> </v>
      </c>
      <c r="H9" s="10" t="str">
        <f>IF(SUM('Base de Datos Sumaria'!J6:Q6)&lt;&gt;0,'Base de Datos Sumaria'!L6," ")</f>
        <v xml:space="preserve"> </v>
      </c>
      <c r="I9" s="10" t="str">
        <f>IF(SUM('Base de Datos Sumaria'!J6:Q6)&lt;&gt;0,'Base de Datos Sumaria'!M6," ")</f>
        <v xml:space="preserve"> </v>
      </c>
      <c r="J9" s="10" t="str">
        <f>IF(SUM('Base de Datos Sumaria'!J6:Q6)&lt;&gt;0,'Base de Datos Sumaria'!N6," ")</f>
        <v xml:space="preserve"> </v>
      </c>
      <c r="K9" s="10" t="str">
        <f>IF(SUM('Base de Datos Sumaria'!J6:Q6)&lt;&gt;0,'Base de Datos Sumaria'!O6," ")</f>
        <v xml:space="preserve"> </v>
      </c>
      <c r="L9" s="10" t="str">
        <f>IF(SUM('Base de Datos Sumaria'!J6:Q6)&lt;&gt;0,'Base de Datos Sumaria'!P6," ")</f>
        <v xml:space="preserve"> </v>
      </c>
      <c r="M9" s="10" t="str">
        <f>IF(SUM('Base de Datos Sumaria'!J6:Q6)&lt;&gt;0,'Base de Datos Sumaria'!Q6," ")</f>
        <v xml:space="preserve"> </v>
      </c>
      <c r="N9" s="10" t="str">
        <f>IF(SUM('Base de Datos Sumaria'!J6:Q6)&lt;&gt;0,SUM(F9:M9)," ")</f>
        <v xml:space="preserve"> </v>
      </c>
    </row>
    <row r="10" spans="1:14" ht="12.95" customHeight="1" x14ac:dyDescent="0.2">
      <c r="A10" s="6" t="str">
        <f>IF(SUM('Base de Datos Sumaria'!J7:Q7)&lt;&gt;0,'Base de Datos Sumaria'!C7," ")</f>
        <v>1</v>
      </c>
      <c r="B10" s="6" t="str">
        <f>IF(SUM('Base de Datos Sumaria'!J7:Q7)&lt;&gt;0,'Base de Datos Sumaria'!D7," ")</f>
        <v>202</v>
      </c>
      <c r="C10" s="7">
        <f>IF(SUM('Base de Datos Sumaria'!J7:Q7)&lt;&gt;0,'Base de Datos Sumaria'!H7," ")</f>
        <v>2270</v>
      </c>
      <c r="D10" s="8" t="str">
        <f>IF(SUM('Base de Datos Sumaria'!J7:Q7)&lt;&gt;0,'Base de Datos Maestro'!L7," ")</f>
        <v>VICTORIA EUGENIA PEREZ PEREZ</v>
      </c>
      <c r="E10" s="9">
        <f>IF('Base de Datos Sumaria'!I7&lt;&gt;0,'Base de Datos Sumaria'!I7,"")</f>
        <v>2</v>
      </c>
      <c r="F10" s="10">
        <f>IF(SUM('Base de Datos Sumaria'!J7:Q7)&lt;&gt;0,'Base de Datos Sumaria'!J7,"")</f>
        <v>383800</v>
      </c>
      <c r="G10" s="10">
        <f>IF(SUM('Base de Datos Sumaria'!J7:Q7)&lt;&gt;0,'Base de Datos Sumaria'!K7," ")</f>
        <v>5410</v>
      </c>
      <c r="H10" s="10">
        <f>IF(SUM('Base de Datos Sumaria'!J7:Q7)&lt;&gt;0,'Base de Datos Sumaria'!L7," ")</f>
        <v>67400</v>
      </c>
      <c r="I10" s="10">
        <f>IF(SUM('Base de Datos Sumaria'!J7:Q7)&lt;&gt;0,'Base de Datos Sumaria'!M7," ")</f>
        <v>80000</v>
      </c>
      <c r="J10" s="10">
        <f>IF(SUM('Base de Datos Sumaria'!J7:Q7)&lt;&gt;0,'Base de Datos Sumaria'!N7," ")</f>
        <v>0</v>
      </c>
      <c r="K10" s="10">
        <f>IF(SUM('Base de Datos Sumaria'!J7:Q7)&lt;&gt;0,'Base de Datos Sumaria'!O7," ")</f>
        <v>0</v>
      </c>
      <c r="L10" s="10">
        <f>IF(SUM('Base de Datos Sumaria'!J7:Q7)&lt;&gt;0,'Base de Datos Sumaria'!P7," ")</f>
        <v>0</v>
      </c>
      <c r="M10" s="10">
        <f>IF(SUM('Base de Datos Sumaria'!J7:Q7)&lt;&gt;0,'Base de Datos Sumaria'!Q7," ")</f>
        <v>0</v>
      </c>
      <c r="N10" s="10">
        <f>IF(SUM('Base de Datos Sumaria'!J7:Q7)&lt;&gt;0,SUM(F10:M10)," ")</f>
        <v>536610</v>
      </c>
    </row>
    <row r="11" spans="1:14" ht="12.95" customHeight="1" x14ac:dyDescent="0.2">
      <c r="A11" s="6" t="str">
        <f>IF(SUM('Base de Datos Sumaria'!J8:Q8)&lt;&gt;0,'Base de Datos Sumaria'!C8," ")</f>
        <v>1</v>
      </c>
      <c r="B11" s="6" t="str">
        <f>IF(SUM('Base de Datos Sumaria'!J8:Q8)&lt;&gt;0,'Base de Datos Sumaria'!D8," ")</f>
        <v>203</v>
      </c>
      <c r="C11" s="7">
        <f>IF(SUM('Base de Datos Sumaria'!J8:Q8)&lt;&gt;0,'Base de Datos Sumaria'!H8," ")</f>
        <v>2271</v>
      </c>
      <c r="D11" s="8" t="str">
        <f>IF(SUM('Base de Datos Sumaria'!J8:Q8)&lt;&gt;0,'Base de Datos Maestro'!L8," ")</f>
        <v>MARGARITA ROSA VELEZ GOMEZ</v>
      </c>
      <c r="E11" s="9">
        <f>IF('Base de Datos Sumaria'!I8&lt;&gt;0,'Base de Datos Sumaria'!I8,"")</f>
        <v>10</v>
      </c>
      <c r="F11" s="10">
        <f>IF(SUM('Base de Datos Sumaria'!J8:Q8)&lt;&gt;0,'Base de Datos Sumaria'!J8,"")</f>
        <v>1464722</v>
      </c>
      <c r="G11" s="10">
        <f>IF(SUM('Base de Datos Sumaria'!J8:Q8)&lt;&gt;0,'Base de Datos Sumaria'!K8," ")</f>
        <v>63720</v>
      </c>
      <c r="H11" s="10">
        <f>IF(SUM('Base de Datos Sumaria'!J8:Q8)&lt;&gt;0,'Base de Datos Sumaria'!L8," ")</f>
        <v>113650</v>
      </c>
      <c r="I11" s="10">
        <f>IF(SUM('Base de Datos Sumaria'!J8:Q8)&lt;&gt;0,'Base de Datos Sumaria'!M8," ")</f>
        <v>120000</v>
      </c>
      <c r="J11" s="10">
        <f>IF(SUM('Base de Datos Sumaria'!J8:Q8)&lt;&gt;0,'Base de Datos Sumaria'!N8," ")</f>
        <v>25770</v>
      </c>
      <c r="K11" s="10">
        <f>IF(SUM('Base de Datos Sumaria'!J8:Q8)&lt;&gt;0,'Base de Datos Sumaria'!O8," ")</f>
        <v>0</v>
      </c>
      <c r="L11" s="10">
        <f>IF(SUM('Base de Datos Sumaria'!J8:Q8)&lt;&gt;0,'Base de Datos Sumaria'!P8," ")</f>
        <v>0</v>
      </c>
      <c r="M11" s="10">
        <f>IF(SUM('Base de Datos Sumaria'!J8:Q8)&lt;&gt;0,'Base de Datos Sumaria'!Q8," ")</f>
        <v>0</v>
      </c>
      <c r="N11" s="10">
        <f>IF(SUM('Base de Datos Sumaria'!J8:Q8)&lt;&gt;0,SUM(F11:M11)," ")</f>
        <v>1787862</v>
      </c>
    </row>
    <row r="12" spans="1:14" ht="12.95" customHeight="1" x14ac:dyDescent="0.2">
      <c r="A12" s="6" t="str">
        <f>IF(SUM('Base de Datos Sumaria'!J9:Q9)&lt;&gt;0,'Base de Datos Sumaria'!C9," ")</f>
        <v xml:space="preserve"> </v>
      </c>
      <c r="B12" s="6" t="str">
        <f>IF(SUM('Base de Datos Sumaria'!J9:Q9)&lt;&gt;0,'Base de Datos Sumaria'!D9," ")</f>
        <v xml:space="preserve"> </v>
      </c>
      <c r="C12" s="7" t="str">
        <f>IF(SUM('Base de Datos Sumaria'!J9:Q9)&lt;&gt;0,'Base de Datos Sumaria'!H9," ")</f>
        <v xml:space="preserve"> </v>
      </c>
      <c r="D12" s="8" t="str">
        <f>IF(SUM('Base de Datos Sumaria'!J9:Q9)&lt;&gt;0,'Base de Datos Maestro'!L9," ")</f>
        <v xml:space="preserve"> </v>
      </c>
      <c r="E12" s="9" t="str">
        <f>IF('Base de Datos Sumaria'!I9&lt;&gt;0,'Base de Datos Sumaria'!I9,"")</f>
        <v/>
      </c>
      <c r="F12" s="10" t="str">
        <f>IF(SUM('Base de Datos Sumaria'!J9:Q9)&lt;&gt;0,'Base de Datos Sumaria'!J9,"")</f>
        <v/>
      </c>
      <c r="G12" s="10" t="str">
        <f>IF(SUM('Base de Datos Sumaria'!J9:Q9)&lt;&gt;0,'Base de Datos Sumaria'!K9," ")</f>
        <v xml:space="preserve"> </v>
      </c>
      <c r="H12" s="10" t="str">
        <f>IF(SUM('Base de Datos Sumaria'!J9:Q9)&lt;&gt;0,'Base de Datos Sumaria'!L9," ")</f>
        <v xml:space="preserve"> </v>
      </c>
      <c r="I12" s="10" t="str">
        <f>IF(SUM('Base de Datos Sumaria'!J9:Q9)&lt;&gt;0,'Base de Datos Sumaria'!M9," ")</f>
        <v xml:space="preserve"> </v>
      </c>
      <c r="J12" s="10" t="str">
        <f>IF(SUM('Base de Datos Sumaria'!J9:Q9)&lt;&gt;0,'Base de Datos Sumaria'!N9," ")</f>
        <v xml:space="preserve"> </v>
      </c>
      <c r="K12" s="10" t="str">
        <f>IF(SUM('Base de Datos Sumaria'!J9:Q9)&lt;&gt;0,'Base de Datos Sumaria'!O9," ")</f>
        <v xml:space="preserve"> </v>
      </c>
      <c r="L12" s="10" t="str">
        <f>IF(SUM('Base de Datos Sumaria'!J9:Q9)&lt;&gt;0,'Base de Datos Sumaria'!P9," ")</f>
        <v xml:space="preserve"> </v>
      </c>
      <c r="M12" s="10" t="str">
        <f>IF(SUM('Base de Datos Sumaria'!J9:Q9)&lt;&gt;0,'Base de Datos Sumaria'!Q9," ")</f>
        <v xml:space="preserve"> </v>
      </c>
      <c r="N12" s="10" t="str">
        <f>IF(SUM('Base de Datos Sumaria'!J9:Q9)&lt;&gt;0,SUM(F12:M12)," ")</f>
        <v xml:space="preserve"> </v>
      </c>
    </row>
    <row r="13" spans="1:14" ht="12.95" customHeight="1" x14ac:dyDescent="0.2">
      <c r="A13" s="6" t="str">
        <f>IF(SUM('Base de Datos Sumaria'!J10:Q10)&lt;&gt;0,'Base de Datos Sumaria'!C10," ")</f>
        <v>1</v>
      </c>
      <c r="B13" s="6" t="str">
        <f>IF(SUM('Base de Datos Sumaria'!J10:Q10)&lt;&gt;0,'Base de Datos Sumaria'!D10," ")</f>
        <v>301</v>
      </c>
      <c r="C13" s="7">
        <f>IF(SUM('Base de Datos Sumaria'!J10:Q10)&lt;&gt;0,'Base de Datos Sumaria'!H10," ")</f>
        <v>2273</v>
      </c>
      <c r="D13" s="8" t="str">
        <f>IF(SUM('Base de Datos Sumaria'!J10:Q10)&lt;&gt;0,'Base de Datos Maestro'!L10," ")</f>
        <v>MARTA NELLY CADAVID RESTREPO</v>
      </c>
      <c r="E13" s="9" t="str">
        <f>IF('Base de Datos Sumaria'!I10&lt;&gt;0,'Base de Datos Sumaria'!I10,"")</f>
        <v/>
      </c>
      <c r="F13" s="10">
        <f>IF(SUM('Base de Datos Sumaria'!J10:Q10)&lt;&gt;0,'Base de Datos Sumaria'!J10,"")</f>
        <v>600</v>
      </c>
      <c r="G13" s="10">
        <f>IF(SUM('Base de Datos Sumaria'!J10:Q10)&lt;&gt;0,'Base de Datos Sumaria'!K10," ")</f>
        <v>0</v>
      </c>
      <c r="H13" s="10">
        <f>IF(SUM('Base de Datos Sumaria'!J10:Q10)&lt;&gt;0,'Base de Datos Sumaria'!L10," ")</f>
        <v>0</v>
      </c>
      <c r="I13" s="10">
        <f>IF(SUM('Base de Datos Sumaria'!J10:Q10)&lt;&gt;0,'Base de Datos Sumaria'!M10," ")</f>
        <v>0</v>
      </c>
      <c r="J13" s="10">
        <f>IF(SUM('Base de Datos Sumaria'!J10:Q10)&lt;&gt;0,'Base de Datos Sumaria'!N10," ")</f>
        <v>0</v>
      </c>
      <c r="K13" s="10">
        <f>IF(SUM('Base de Datos Sumaria'!J10:Q10)&lt;&gt;0,'Base de Datos Sumaria'!O10," ")</f>
        <v>0</v>
      </c>
      <c r="L13" s="10">
        <f>IF(SUM('Base de Datos Sumaria'!J10:Q10)&lt;&gt;0,'Base de Datos Sumaria'!P10," ")</f>
        <v>0</v>
      </c>
      <c r="M13" s="10">
        <f>IF(SUM('Base de Datos Sumaria'!J10:Q10)&lt;&gt;0,'Base de Datos Sumaria'!Q10," ")</f>
        <v>0</v>
      </c>
      <c r="N13" s="10">
        <f>IF(SUM('Base de Datos Sumaria'!J10:Q10)&lt;&gt;0,SUM(F13:M13)," ")</f>
        <v>600</v>
      </c>
    </row>
    <row r="14" spans="1:14" ht="12.95" customHeight="1" x14ac:dyDescent="0.2">
      <c r="A14" s="6" t="str">
        <f>IF(SUM('Base de Datos Sumaria'!J11:Q11)&lt;&gt;0,'Base de Datos Sumaria'!C11," ")</f>
        <v>1</v>
      </c>
      <c r="B14" s="6" t="str">
        <f>IF(SUM('Base de Datos Sumaria'!J11:Q11)&lt;&gt;0,'Base de Datos Sumaria'!D11," ")</f>
        <v>302</v>
      </c>
      <c r="C14" s="7">
        <f>IF(SUM('Base de Datos Sumaria'!J11:Q11)&lt;&gt;0,'Base de Datos Sumaria'!H11," ")</f>
        <v>2274</v>
      </c>
      <c r="D14" s="8" t="str">
        <f>IF(SUM('Base de Datos Sumaria'!J11:Q11)&lt;&gt;0,'Base de Datos Maestro'!L11," ")</f>
        <v>ELKIN RAMIREZ</v>
      </c>
      <c r="E14" s="9" t="str">
        <f>IF('Base de Datos Sumaria'!I11&lt;&gt;0,'Base de Datos Sumaria'!I11,"")</f>
        <v/>
      </c>
      <c r="F14" s="10">
        <f>IF(SUM('Base de Datos Sumaria'!J11:Q11)&lt;&gt;0,'Base de Datos Sumaria'!J11,"")</f>
        <v>-400</v>
      </c>
      <c r="G14" s="10">
        <f>IF(SUM('Base de Datos Sumaria'!J11:Q11)&lt;&gt;0,'Base de Datos Sumaria'!K11," ")</f>
        <v>0</v>
      </c>
      <c r="H14" s="10">
        <f>IF(SUM('Base de Datos Sumaria'!J11:Q11)&lt;&gt;0,'Base de Datos Sumaria'!L11," ")</f>
        <v>0</v>
      </c>
      <c r="I14" s="10">
        <f>IF(SUM('Base de Datos Sumaria'!J11:Q11)&lt;&gt;0,'Base de Datos Sumaria'!M11," ")</f>
        <v>0</v>
      </c>
      <c r="J14" s="10">
        <f>IF(SUM('Base de Datos Sumaria'!J11:Q11)&lt;&gt;0,'Base de Datos Sumaria'!N11," ")</f>
        <v>0</v>
      </c>
      <c r="K14" s="10">
        <f>IF(SUM('Base de Datos Sumaria'!J11:Q11)&lt;&gt;0,'Base de Datos Sumaria'!O11," ")</f>
        <v>0</v>
      </c>
      <c r="L14" s="10">
        <f>IF(SUM('Base de Datos Sumaria'!J11:Q11)&lt;&gt;0,'Base de Datos Sumaria'!P11," ")</f>
        <v>0</v>
      </c>
      <c r="M14" s="10">
        <f>IF(SUM('Base de Datos Sumaria'!J11:Q11)&lt;&gt;0,'Base de Datos Sumaria'!Q11," ")</f>
        <v>0</v>
      </c>
      <c r="N14" s="10">
        <f>IF(SUM('Base de Datos Sumaria'!J11:Q11)&lt;&gt;0,SUM(F14:M14)," ")</f>
        <v>-400</v>
      </c>
    </row>
    <row r="15" spans="1:14" ht="12.95" customHeight="1" x14ac:dyDescent="0.2">
      <c r="A15" s="6" t="str">
        <f>IF(SUM('Base de Datos Sumaria'!J12:Q12)&lt;&gt;0,'Base de Datos Sumaria'!C12," ")</f>
        <v xml:space="preserve"> </v>
      </c>
      <c r="B15" s="6" t="str">
        <f>IF(SUM('Base de Datos Sumaria'!J12:Q12)&lt;&gt;0,'Base de Datos Sumaria'!D12," ")</f>
        <v xml:space="preserve"> </v>
      </c>
      <c r="C15" s="7" t="str">
        <f>IF(SUM('Base de Datos Sumaria'!J12:Q12)&lt;&gt;0,'Base de Datos Sumaria'!H12," ")</f>
        <v xml:space="preserve"> </v>
      </c>
      <c r="D15" s="8" t="str">
        <f>IF(SUM('Base de Datos Sumaria'!J12:Q12)&lt;&gt;0,'Base de Datos Maestro'!L12," ")</f>
        <v xml:space="preserve"> </v>
      </c>
      <c r="E15" s="9" t="str">
        <f>IF('Base de Datos Sumaria'!I12&lt;&gt;0,'Base de Datos Sumaria'!I12,"")</f>
        <v/>
      </c>
      <c r="F15" s="10" t="str">
        <f>IF(SUM('Base de Datos Sumaria'!J12:Q12)&lt;&gt;0,'Base de Datos Sumaria'!J12,"")</f>
        <v/>
      </c>
      <c r="G15" s="10" t="str">
        <f>IF(SUM('Base de Datos Sumaria'!J12:Q12)&lt;&gt;0,'Base de Datos Sumaria'!K12," ")</f>
        <v xml:space="preserve"> </v>
      </c>
      <c r="H15" s="10" t="str">
        <f>IF(SUM('Base de Datos Sumaria'!J12:Q12)&lt;&gt;0,'Base de Datos Sumaria'!L12," ")</f>
        <v xml:space="preserve"> </v>
      </c>
      <c r="I15" s="10" t="str">
        <f>IF(SUM('Base de Datos Sumaria'!J12:Q12)&lt;&gt;0,'Base de Datos Sumaria'!M12," ")</f>
        <v xml:space="preserve"> </v>
      </c>
      <c r="J15" s="10" t="str">
        <f>IF(SUM('Base de Datos Sumaria'!J12:Q12)&lt;&gt;0,'Base de Datos Sumaria'!N12," ")</f>
        <v xml:space="preserve"> </v>
      </c>
      <c r="K15" s="10" t="str">
        <f>IF(SUM('Base de Datos Sumaria'!J12:Q12)&lt;&gt;0,'Base de Datos Sumaria'!O12," ")</f>
        <v xml:space="preserve"> </v>
      </c>
      <c r="L15" s="10" t="str">
        <f>IF(SUM('Base de Datos Sumaria'!J12:Q12)&lt;&gt;0,'Base de Datos Sumaria'!P12," ")</f>
        <v xml:space="preserve"> </v>
      </c>
      <c r="M15" s="10" t="str">
        <f>IF(SUM('Base de Datos Sumaria'!J12:Q12)&lt;&gt;0,'Base de Datos Sumaria'!Q12," ")</f>
        <v xml:space="preserve"> </v>
      </c>
      <c r="N15" s="10" t="str">
        <f>IF(SUM('Base de Datos Sumaria'!J12:Q12)&lt;&gt;0,SUM(F15:M15)," ")</f>
        <v xml:space="preserve"> </v>
      </c>
    </row>
    <row r="16" spans="1:14" ht="12.95" customHeight="1" x14ac:dyDescent="0.2">
      <c r="A16" s="6" t="str">
        <f>IF(SUM('Base de Datos Sumaria'!J13:Q13)&lt;&gt;0,'Base de Datos Sumaria'!C13," ")</f>
        <v>1</v>
      </c>
      <c r="B16" s="6" t="str">
        <f>IF(SUM('Base de Datos Sumaria'!J13:Q13)&lt;&gt;0,'Base de Datos Sumaria'!D13," ")</f>
        <v>304</v>
      </c>
      <c r="C16" s="7">
        <f>IF(SUM('Base de Datos Sumaria'!J13:Q13)&lt;&gt;0,'Base de Datos Sumaria'!H13," ")</f>
        <v>2276</v>
      </c>
      <c r="D16" s="8" t="str">
        <f>IF(SUM('Base de Datos Sumaria'!J13:Q13)&lt;&gt;0,'Base de Datos Maestro'!L13," ")</f>
        <v>MARTHA LIGIA MESA GOMEZ</v>
      </c>
      <c r="E16" s="9">
        <f>IF('Base de Datos Sumaria'!I13&lt;&gt;0,'Base de Datos Sumaria'!I13,"")</f>
        <v>9</v>
      </c>
      <c r="F16" s="10">
        <f>IF(SUM('Base de Datos Sumaria'!J13:Q13)&lt;&gt;0,'Base de Datos Sumaria'!J13,"")</f>
        <v>1436350</v>
      </c>
      <c r="G16" s="10">
        <f>IF(SUM('Base de Datos Sumaria'!J13:Q13)&lt;&gt;0,'Base de Datos Sumaria'!K13," ")</f>
        <v>54840</v>
      </c>
      <c r="H16" s="10">
        <f>IF(SUM('Base de Datos Sumaria'!J13:Q13)&lt;&gt;0,'Base de Datos Sumaria'!L13," ")</f>
        <v>0</v>
      </c>
      <c r="I16" s="10">
        <f>IF(SUM('Base de Datos Sumaria'!J13:Q13)&lt;&gt;0,'Base de Datos Sumaria'!M13," ")</f>
        <v>120000</v>
      </c>
      <c r="J16" s="10">
        <f>IF(SUM('Base de Datos Sumaria'!J13:Q13)&lt;&gt;0,'Base de Datos Sumaria'!N13," ")</f>
        <v>83250</v>
      </c>
      <c r="K16" s="10">
        <f>IF(SUM('Base de Datos Sumaria'!J13:Q13)&lt;&gt;0,'Base de Datos Sumaria'!O13," ")</f>
        <v>0</v>
      </c>
      <c r="L16" s="10">
        <f>IF(SUM('Base de Datos Sumaria'!J13:Q13)&lt;&gt;0,'Base de Datos Sumaria'!P13," ")</f>
        <v>0</v>
      </c>
      <c r="M16" s="10">
        <f>IF(SUM('Base de Datos Sumaria'!J13:Q13)&lt;&gt;0,'Base de Datos Sumaria'!Q13," ")</f>
        <v>0</v>
      </c>
      <c r="N16" s="10">
        <f>IF(SUM('Base de Datos Sumaria'!J13:Q13)&lt;&gt;0,SUM(F16:M16)," ")</f>
        <v>1694440</v>
      </c>
    </row>
    <row r="17" spans="1:14" ht="12.95" customHeight="1" x14ac:dyDescent="0.2">
      <c r="A17" s="6" t="str">
        <f>IF(SUM('Base de Datos Sumaria'!J14:Q14)&lt;&gt;0,'Base de Datos Sumaria'!C14," ")</f>
        <v xml:space="preserve"> </v>
      </c>
      <c r="B17" s="6" t="str">
        <f>IF(SUM('Base de Datos Sumaria'!J14:Q14)&lt;&gt;0,'Base de Datos Sumaria'!D14," ")</f>
        <v xml:space="preserve"> </v>
      </c>
      <c r="C17" s="7" t="str">
        <f>IF(SUM('Base de Datos Sumaria'!J14:Q14)&lt;&gt;0,'Base de Datos Sumaria'!H14," ")</f>
        <v xml:space="preserve"> </v>
      </c>
      <c r="D17" s="8" t="str">
        <f>IF(SUM('Base de Datos Sumaria'!J14:Q14)&lt;&gt;0,'Base de Datos Maestro'!L14," ")</f>
        <v xml:space="preserve"> </v>
      </c>
      <c r="E17" s="9" t="str">
        <f>IF('Base de Datos Sumaria'!I14&lt;&gt;0,'Base de Datos Sumaria'!I14,"")</f>
        <v/>
      </c>
      <c r="F17" s="10" t="str">
        <f>IF(SUM('Base de Datos Sumaria'!J14:Q14)&lt;&gt;0,'Base de Datos Sumaria'!J14,"")</f>
        <v/>
      </c>
      <c r="G17" s="10" t="str">
        <f>IF(SUM('Base de Datos Sumaria'!J14:Q14)&lt;&gt;0,'Base de Datos Sumaria'!K14," ")</f>
        <v xml:space="preserve"> </v>
      </c>
      <c r="H17" s="10" t="str">
        <f>IF(SUM('Base de Datos Sumaria'!J14:Q14)&lt;&gt;0,'Base de Datos Sumaria'!L14," ")</f>
        <v xml:space="preserve"> </v>
      </c>
      <c r="I17" s="10" t="str">
        <f>IF(SUM('Base de Datos Sumaria'!J14:Q14)&lt;&gt;0,'Base de Datos Sumaria'!M14," ")</f>
        <v xml:space="preserve"> </v>
      </c>
      <c r="J17" s="10" t="str">
        <f>IF(SUM('Base de Datos Sumaria'!J14:Q14)&lt;&gt;0,'Base de Datos Sumaria'!N14," ")</f>
        <v xml:space="preserve"> </v>
      </c>
      <c r="K17" s="10" t="str">
        <f>IF(SUM('Base de Datos Sumaria'!J14:Q14)&lt;&gt;0,'Base de Datos Sumaria'!O14," ")</f>
        <v xml:space="preserve"> </v>
      </c>
      <c r="L17" s="10" t="str">
        <f>IF(SUM('Base de Datos Sumaria'!J14:Q14)&lt;&gt;0,'Base de Datos Sumaria'!P14," ")</f>
        <v xml:space="preserve"> </v>
      </c>
      <c r="M17" s="10" t="str">
        <f>IF(SUM('Base de Datos Sumaria'!J14:Q14)&lt;&gt;0,'Base de Datos Sumaria'!Q14," ")</f>
        <v xml:space="preserve"> </v>
      </c>
      <c r="N17" s="10" t="str">
        <f>IF(SUM('Base de Datos Sumaria'!J14:Q14)&lt;&gt;0,SUM(F17:M17)," ")</f>
        <v xml:space="preserve"> </v>
      </c>
    </row>
    <row r="18" spans="1:14" ht="12.95" customHeight="1" x14ac:dyDescent="0.2">
      <c r="A18" s="6" t="str">
        <f>IF(SUM('Base de Datos Sumaria'!J15:Q15)&lt;&gt;0,'Base de Datos Sumaria'!C15," ")</f>
        <v>1</v>
      </c>
      <c r="B18" s="6" t="str">
        <f>IF(SUM('Base de Datos Sumaria'!J15:Q15)&lt;&gt;0,'Base de Datos Sumaria'!D15," ")</f>
        <v>402</v>
      </c>
      <c r="C18" s="7">
        <f>IF(SUM('Base de Datos Sumaria'!J15:Q15)&lt;&gt;0,'Base de Datos Sumaria'!H15," ")</f>
        <v>2278</v>
      </c>
      <c r="D18" s="8" t="str">
        <f>IF(SUM('Base de Datos Sumaria'!J15:Q15)&lt;&gt;0,'Base de Datos Maestro'!L15," ")</f>
        <v>LUZ MARINA BETANCUR ARANGO</v>
      </c>
      <c r="E18" s="9">
        <f>IF('Base de Datos Sumaria'!I15&lt;&gt;0,'Base de Datos Sumaria'!I15,"")</f>
        <v>11</v>
      </c>
      <c r="F18" s="10">
        <f>IF(SUM('Base de Datos Sumaria'!J15:Q15)&lt;&gt;0,'Base de Datos Sumaria'!J15,"")</f>
        <v>2175036</v>
      </c>
      <c r="G18" s="10">
        <f>IF(SUM('Base de Datos Sumaria'!J15:Q15)&lt;&gt;0,'Base de Datos Sumaria'!K15," ")</f>
        <v>219160</v>
      </c>
      <c r="H18" s="10">
        <f>IF(SUM('Base de Datos Sumaria'!J15:Q15)&lt;&gt;0,'Base de Datos Sumaria'!L15," ")</f>
        <v>0</v>
      </c>
      <c r="I18" s="10">
        <f>IF(SUM('Base de Datos Sumaria'!J15:Q15)&lt;&gt;0,'Base de Datos Sumaria'!M15," ")</f>
        <v>120000</v>
      </c>
      <c r="J18" s="10">
        <f>IF(SUM('Base de Datos Sumaria'!J15:Q15)&lt;&gt;0,'Base de Datos Sumaria'!N15," ")</f>
        <v>0</v>
      </c>
      <c r="K18" s="10">
        <f>IF(SUM('Base de Datos Sumaria'!J15:Q15)&lt;&gt;0,'Base de Datos Sumaria'!O15," ")</f>
        <v>0</v>
      </c>
      <c r="L18" s="10">
        <f>IF(SUM('Base de Datos Sumaria'!J15:Q15)&lt;&gt;0,'Base de Datos Sumaria'!P15," ")</f>
        <v>0</v>
      </c>
      <c r="M18" s="10">
        <f>IF(SUM('Base de Datos Sumaria'!J15:Q15)&lt;&gt;0,'Base de Datos Sumaria'!Q15," ")</f>
        <v>0</v>
      </c>
      <c r="N18" s="10">
        <f>IF(SUM('Base de Datos Sumaria'!J15:Q15)&lt;&gt;0,SUM(F18:M18)," ")</f>
        <v>2514196</v>
      </c>
    </row>
    <row r="19" spans="1:14" ht="12.95" customHeight="1" x14ac:dyDescent="0.2">
      <c r="A19" s="6" t="str">
        <f>IF(SUM('Base de Datos Sumaria'!J16:Q16)&lt;&gt;0,'Base de Datos Sumaria'!C16," ")</f>
        <v>1</v>
      </c>
      <c r="B19" s="6" t="str">
        <f>IF(SUM('Base de Datos Sumaria'!J16:Q16)&lt;&gt;0,'Base de Datos Sumaria'!D16," ")</f>
        <v>403</v>
      </c>
      <c r="C19" s="7">
        <f>IF(SUM('Base de Datos Sumaria'!J16:Q16)&lt;&gt;0,'Base de Datos Sumaria'!H16," ")</f>
        <v>2279</v>
      </c>
      <c r="D19" s="8" t="str">
        <f>IF(SUM('Base de Datos Sumaria'!J16:Q16)&lt;&gt;0,'Base de Datos Maestro'!L16," ")</f>
        <v>GLORIA NANCY VERGARA</v>
      </c>
      <c r="E19" s="9">
        <f>IF('Base de Datos Sumaria'!I16&lt;&gt;0,'Base de Datos Sumaria'!I16,"")</f>
        <v>4</v>
      </c>
      <c r="F19" s="10">
        <f>IF(SUM('Base de Datos Sumaria'!J16:Q16)&lt;&gt;0,'Base de Datos Sumaria'!J16,"")</f>
        <v>577700</v>
      </c>
      <c r="G19" s="10">
        <f>IF(SUM('Base de Datos Sumaria'!J16:Q16)&lt;&gt;0,'Base de Datos Sumaria'!K16," ")</f>
        <v>0</v>
      </c>
      <c r="H19" s="10">
        <f>IF(SUM('Base de Datos Sumaria'!J16:Q16)&lt;&gt;0,'Base de Datos Sumaria'!L16," ")</f>
        <v>0</v>
      </c>
      <c r="I19" s="10">
        <f>IF(SUM('Base de Datos Sumaria'!J16:Q16)&lt;&gt;0,'Base de Datos Sumaria'!M16," ")</f>
        <v>0</v>
      </c>
      <c r="J19" s="10">
        <f>IF(SUM('Base de Datos Sumaria'!J16:Q16)&lt;&gt;0,'Base de Datos Sumaria'!N16," ")</f>
        <v>0</v>
      </c>
      <c r="K19" s="10">
        <f>IF(SUM('Base de Datos Sumaria'!J16:Q16)&lt;&gt;0,'Base de Datos Sumaria'!O16," ")</f>
        <v>0</v>
      </c>
      <c r="L19" s="10">
        <f>IF(SUM('Base de Datos Sumaria'!J16:Q16)&lt;&gt;0,'Base de Datos Sumaria'!P16," ")</f>
        <v>0</v>
      </c>
      <c r="M19" s="10">
        <f>IF(SUM('Base de Datos Sumaria'!J16:Q16)&lt;&gt;0,'Base de Datos Sumaria'!Q16," ")</f>
        <v>0</v>
      </c>
      <c r="N19" s="10">
        <f>IF(SUM('Base de Datos Sumaria'!J16:Q16)&lt;&gt;0,SUM(F19:M19)," ")</f>
        <v>577700</v>
      </c>
    </row>
    <row r="20" spans="1:14" ht="12.95" customHeight="1" x14ac:dyDescent="0.2">
      <c r="A20" s="6" t="str">
        <f>IF(SUM('Base de Datos Sumaria'!J17:Q17)&lt;&gt;0,'Base de Datos Sumaria'!C17," ")</f>
        <v>1</v>
      </c>
      <c r="B20" s="6" t="str">
        <f>IF(SUM('Base de Datos Sumaria'!J17:Q17)&lt;&gt;0,'Base de Datos Sumaria'!D17," ")</f>
        <v>404</v>
      </c>
      <c r="C20" s="7">
        <f>IF(SUM('Base de Datos Sumaria'!J17:Q17)&lt;&gt;0,'Base de Datos Sumaria'!H17," ")</f>
        <v>2280</v>
      </c>
      <c r="D20" s="8" t="str">
        <f>IF(SUM('Base de Datos Sumaria'!J17:Q17)&lt;&gt;0,'Base de Datos Maestro'!L17," ")</f>
        <v>JORGE GOMEZ/LUISA PELAEZ</v>
      </c>
      <c r="E20" s="9" t="str">
        <f>IF('Base de Datos Sumaria'!I17&lt;&gt;0,'Base de Datos Sumaria'!I17,"")</f>
        <v/>
      </c>
      <c r="F20" s="10">
        <f>IF(SUM('Base de Datos Sumaria'!J17:Q17)&lt;&gt;0,'Base de Datos Sumaria'!J17,"")</f>
        <v>-8765</v>
      </c>
      <c r="G20" s="10">
        <f>IF(SUM('Base de Datos Sumaria'!J17:Q17)&lt;&gt;0,'Base de Datos Sumaria'!K17," ")</f>
        <v>0</v>
      </c>
      <c r="H20" s="10">
        <f>IF(SUM('Base de Datos Sumaria'!J17:Q17)&lt;&gt;0,'Base de Datos Sumaria'!L17," ")</f>
        <v>0</v>
      </c>
      <c r="I20" s="10">
        <f>IF(SUM('Base de Datos Sumaria'!J17:Q17)&lt;&gt;0,'Base de Datos Sumaria'!M17," ")</f>
        <v>0</v>
      </c>
      <c r="J20" s="10">
        <f>IF(SUM('Base de Datos Sumaria'!J17:Q17)&lt;&gt;0,'Base de Datos Sumaria'!N17," ")</f>
        <v>0</v>
      </c>
      <c r="K20" s="10">
        <f>IF(SUM('Base de Datos Sumaria'!J17:Q17)&lt;&gt;0,'Base de Datos Sumaria'!O17," ")</f>
        <v>0</v>
      </c>
      <c r="L20" s="10">
        <f>IF(SUM('Base de Datos Sumaria'!J17:Q17)&lt;&gt;0,'Base de Datos Sumaria'!P17," ")</f>
        <v>0</v>
      </c>
      <c r="M20" s="10">
        <f>IF(SUM('Base de Datos Sumaria'!J17:Q17)&lt;&gt;0,'Base de Datos Sumaria'!Q17," ")</f>
        <v>0</v>
      </c>
      <c r="N20" s="10">
        <f>IF(SUM('Base de Datos Sumaria'!J17:Q17)&lt;&gt;0,SUM(F20:M20)," ")</f>
        <v>-8765</v>
      </c>
    </row>
    <row r="21" spans="1:14" ht="12.95" customHeight="1" x14ac:dyDescent="0.2">
      <c r="A21" s="6" t="str">
        <f>IF(SUM('Base de Datos Sumaria'!J18:Q18)&lt;&gt;0,'Base de Datos Sumaria'!C18," ")</f>
        <v>1</v>
      </c>
      <c r="B21" s="6" t="str">
        <f>IF(SUM('Base de Datos Sumaria'!J18:Q18)&lt;&gt;0,'Base de Datos Sumaria'!D18," ")</f>
        <v>501</v>
      </c>
      <c r="C21" s="7">
        <f>IF(SUM('Base de Datos Sumaria'!J18:Q18)&lt;&gt;0,'Base de Datos Sumaria'!H18," ")</f>
        <v>2281</v>
      </c>
      <c r="D21" s="8" t="str">
        <f>IF(SUM('Base de Datos Sumaria'!J18:Q18)&lt;&gt;0,'Base de Datos Maestro'!L18," ")</f>
        <v>REINA MARGARITA PEREZ PALACIO</v>
      </c>
      <c r="E21" s="9" t="str">
        <f>IF('Base de Datos Sumaria'!I18&lt;&gt;0,'Base de Datos Sumaria'!I18,"")</f>
        <v/>
      </c>
      <c r="F21" s="10">
        <f>IF(SUM('Base de Datos Sumaria'!J18:Q18)&lt;&gt;0,'Base de Datos Sumaria'!J18,"")</f>
        <v>8980</v>
      </c>
      <c r="G21" s="10">
        <f>IF(SUM('Base de Datos Sumaria'!J18:Q18)&lt;&gt;0,'Base de Datos Sumaria'!K18," ")</f>
        <v>0</v>
      </c>
      <c r="H21" s="10">
        <f>IF(SUM('Base de Datos Sumaria'!J18:Q18)&lt;&gt;0,'Base de Datos Sumaria'!L18," ")</f>
        <v>0</v>
      </c>
      <c r="I21" s="10">
        <f>IF(SUM('Base de Datos Sumaria'!J18:Q18)&lt;&gt;0,'Base de Datos Sumaria'!M18," ")</f>
        <v>0</v>
      </c>
      <c r="J21" s="10">
        <f>IF(SUM('Base de Datos Sumaria'!J18:Q18)&lt;&gt;0,'Base de Datos Sumaria'!N18," ")</f>
        <v>0</v>
      </c>
      <c r="K21" s="10">
        <f>IF(SUM('Base de Datos Sumaria'!J18:Q18)&lt;&gt;0,'Base de Datos Sumaria'!O18," ")</f>
        <v>0</v>
      </c>
      <c r="L21" s="10">
        <f>IF(SUM('Base de Datos Sumaria'!J18:Q18)&lt;&gt;0,'Base de Datos Sumaria'!P18," ")</f>
        <v>0</v>
      </c>
      <c r="M21" s="10">
        <f>IF(SUM('Base de Datos Sumaria'!J18:Q18)&lt;&gt;0,'Base de Datos Sumaria'!Q18," ")</f>
        <v>0</v>
      </c>
      <c r="N21" s="10">
        <f>IF(SUM('Base de Datos Sumaria'!J18:Q18)&lt;&gt;0,SUM(F21:M21)," ")</f>
        <v>8980</v>
      </c>
    </row>
    <row r="22" spans="1:14" ht="12.95" customHeight="1" x14ac:dyDescent="0.2">
      <c r="A22" s="6" t="str">
        <f>IF(SUM('Base de Datos Sumaria'!J19:Q19)&lt;&gt;0,'Base de Datos Sumaria'!C19," ")</f>
        <v>1</v>
      </c>
      <c r="B22" s="6" t="str">
        <f>IF(SUM('Base de Datos Sumaria'!J19:Q19)&lt;&gt;0,'Base de Datos Sumaria'!D19," ")</f>
        <v>502</v>
      </c>
      <c r="C22" s="7">
        <f>IF(SUM('Base de Datos Sumaria'!J19:Q19)&lt;&gt;0,'Base de Datos Sumaria'!H19," ")</f>
        <v>2282</v>
      </c>
      <c r="D22" s="8" t="str">
        <f>IF(SUM('Base de Datos Sumaria'!J19:Q19)&lt;&gt;0,'Base de Datos Maestro'!L19," ")</f>
        <v>LUZ MARINA BELEÑO CORDERO</v>
      </c>
      <c r="E22" s="9">
        <f>IF('Base de Datos Sumaria'!I19&lt;&gt;0,'Base de Datos Sumaria'!I19,"")</f>
        <v>4</v>
      </c>
      <c r="F22" s="10">
        <f>IF(SUM('Base de Datos Sumaria'!J19:Q19)&lt;&gt;0,'Base de Datos Sumaria'!J19,"")</f>
        <v>673180</v>
      </c>
      <c r="G22" s="10">
        <f>IF(SUM('Base de Datos Sumaria'!J19:Q19)&lt;&gt;0,'Base de Datos Sumaria'!K19," ")</f>
        <v>11550</v>
      </c>
      <c r="H22" s="10">
        <f>IF(SUM('Base de Datos Sumaria'!J19:Q19)&lt;&gt;0,'Base de Datos Sumaria'!L19," ")</f>
        <v>0</v>
      </c>
      <c r="I22" s="10">
        <f>IF(SUM('Base de Datos Sumaria'!J19:Q19)&lt;&gt;0,'Base de Datos Sumaria'!M19," ")</f>
        <v>40000</v>
      </c>
      <c r="J22" s="10">
        <f>IF(SUM('Base de Datos Sumaria'!J19:Q19)&lt;&gt;0,'Base de Datos Sumaria'!N19," ")</f>
        <v>0</v>
      </c>
      <c r="K22" s="10">
        <f>IF(SUM('Base de Datos Sumaria'!J19:Q19)&lt;&gt;0,'Base de Datos Sumaria'!O19," ")</f>
        <v>0</v>
      </c>
      <c r="L22" s="10">
        <f>IF(SUM('Base de Datos Sumaria'!J19:Q19)&lt;&gt;0,'Base de Datos Sumaria'!P19," ")</f>
        <v>0</v>
      </c>
      <c r="M22" s="10">
        <f>IF(SUM('Base de Datos Sumaria'!J19:Q19)&lt;&gt;0,'Base de Datos Sumaria'!Q19," ")</f>
        <v>0</v>
      </c>
      <c r="N22" s="10">
        <f>IF(SUM('Base de Datos Sumaria'!J19:Q19)&lt;&gt;0,SUM(F22:M22)," ")</f>
        <v>724730</v>
      </c>
    </row>
    <row r="23" spans="1:14" ht="12.95" customHeight="1" x14ac:dyDescent="0.2">
      <c r="A23" s="6" t="str">
        <f>IF(SUM('Base de Datos Sumaria'!J20:Q20)&lt;&gt;0,'Base de Datos Sumaria'!C20," ")</f>
        <v>1</v>
      </c>
      <c r="B23" s="6" t="str">
        <f>IF(SUM('Base de Datos Sumaria'!J20:Q20)&lt;&gt;0,'Base de Datos Sumaria'!D20," ")</f>
        <v>503</v>
      </c>
      <c r="C23" s="7">
        <f>IF(SUM('Base de Datos Sumaria'!J20:Q20)&lt;&gt;0,'Base de Datos Sumaria'!H20," ")</f>
        <v>2283</v>
      </c>
      <c r="D23" s="8" t="str">
        <f>IF(SUM('Base de Datos Sumaria'!J20:Q20)&lt;&gt;0,'Base de Datos Maestro'!L20," ")</f>
        <v>DANIEL MUNERA</v>
      </c>
      <c r="E23" s="9" t="str">
        <f>IF('Base de Datos Sumaria'!I20&lt;&gt;0,'Base de Datos Sumaria'!I20,"")</f>
        <v/>
      </c>
      <c r="F23" s="10">
        <f>IF(SUM('Base de Datos Sumaria'!J20:Q20)&lt;&gt;0,'Base de Datos Sumaria'!J20,"")</f>
        <v>-900</v>
      </c>
      <c r="G23" s="10">
        <f>IF(SUM('Base de Datos Sumaria'!J20:Q20)&lt;&gt;0,'Base de Datos Sumaria'!K20," ")</f>
        <v>0</v>
      </c>
      <c r="H23" s="10">
        <f>IF(SUM('Base de Datos Sumaria'!J20:Q20)&lt;&gt;0,'Base de Datos Sumaria'!L20," ")</f>
        <v>0</v>
      </c>
      <c r="I23" s="10">
        <f>IF(SUM('Base de Datos Sumaria'!J20:Q20)&lt;&gt;0,'Base de Datos Sumaria'!M20," ")</f>
        <v>0</v>
      </c>
      <c r="J23" s="10">
        <f>IF(SUM('Base de Datos Sumaria'!J20:Q20)&lt;&gt;0,'Base de Datos Sumaria'!N20," ")</f>
        <v>0</v>
      </c>
      <c r="K23" s="10">
        <f>IF(SUM('Base de Datos Sumaria'!J20:Q20)&lt;&gt;0,'Base de Datos Sumaria'!O20," ")</f>
        <v>0</v>
      </c>
      <c r="L23" s="10">
        <f>IF(SUM('Base de Datos Sumaria'!J20:Q20)&lt;&gt;0,'Base de Datos Sumaria'!P20," ")</f>
        <v>0</v>
      </c>
      <c r="M23" s="10">
        <f>IF(SUM('Base de Datos Sumaria'!J20:Q20)&lt;&gt;0,'Base de Datos Sumaria'!Q20," ")</f>
        <v>0</v>
      </c>
      <c r="N23" s="10">
        <f>IF(SUM('Base de Datos Sumaria'!J20:Q20)&lt;&gt;0,SUM(F23:M23)," ")</f>
        <v>-900</v>
      </c>
    </row>
    <row r="24" spans="1:14" ht="12.95" customHeight="1" x14ac:dyDescent="0.2">
      <c r="A24" s="6" t="str">
        <f>IF(SUM('Base de Datos Sumaria'!J21:Q21)&lt;&gt;0,'Base de Datos Sumaria'!C21," ")</f>
        <v>1</v>
      </c>
      <c r="B24" s="6" t="str">
        <f>IF(SUM('Base de Datos Sumaria'!J21:Q21)&lt;&gt;0,'Base de Datos Sumaria'!D21," ")</f>
        <v>504</v>
      </c>
      <c r="C24" s="7">
        <f>IF(SUM('Base de Datos Sumaria'!J21:Q21)&lt;&gt;0,'Base de Datos Sumaria'!H21," ")</f>
        <v>2284</v>
      </c>
      <c r="D24" s="8" t="str">
        <f>IF(SUM('Base de Datos Sumaria'!J21:Q21)&lt;&gt;0,'Base de Datos Maestro'!L21," ")</f>
        <v>OSCAR DARIO GALLEGO BETANCUR</v>
      </c>
      <c r="E24" s="9">
        <f>IF('Base de Datos Sumaria'!I21&lt;&gt;0,'Base de Datos Sumaria'!I21,"")</f>
        <v>1</v>
      </c>
      <c r="F24" s="10">
        <f>IF(SUM('Base de Datos Sumaria'!J21:Q21)&lt;&gt;0,'Base de Datos Sumaria'!J21,"")</f>
        <v>240163</v>
      </c>
      <c r="G24" s="10">
        <f>IF(SUM('Base de Datos Sumaria'!J21:Q21)&lt;&gt;0,'Base de Datos Sumaria'!K21," ")</f>
        <v>0</v>
      </c>
      <c r="H24" s="10">
        <f>IF(SUM('Base de Datos Sumaria'!J21:Q21)&lt;&gt;0,'Base de Datos Sumaria'!L21," ")</f>
        <v>0</v>
      </c>
      <c r="I24" s="10">
        <f>IF(SUM('Base de Datos Sumaria'!J21:Q21)&lt;&gt;0,'Base de Datos Sumaria'!M21," ")</f>
        <v>0</v>
      </c>
      <c r="J24" s="10">
        <f>IF(SUM('Base de Datos Sumaria'!J21:Q21)&lt;&gt;0,'Base de Datos Sumaria'!N21," ")</f>
        <v>0</v>
      </c>
      <c r="K24" s="10">
        <f>IF(SUM('Base de Datos Sumaria'!J21:Q21)&lt;&gt;0,'Base de Datos Sumaria'!O21," ")</f>
        <v>0</v>
      </c>
      <c r="L24" s="10">
        <f>IF(SUM('Base de Datos Sumaria'!J21:Q21)&lt;&gt;0,'Base de Datos Sumaria'!P21," ")</f>
        <v>0</v>
      </c>
      <c r="M24" s="10">
        <f>IF(SUM('Base de Datos Sumaria'!J21:Q21)&lt;&gt;0,'Base de Datos Sumaria'!Q21," ")</f>
        <v>0</v>
      </c>
      <c r="N24" s="10">
        <f>IF(SUM('Base de Datos Sumaria'!J21:Q21)&lt;&gt;0,SUM(F24:M24)," ")</f>
        <v>240163</v>
      </c>
    </row>
    <row r="25" spans="1:14" ht="12.95" customHeight="1" x14ac:dyDescent="0.2">
      <c r="A25" s="6" t="str">
        <f>IF(SUM('Base de Datos Sumaria'!J22:Q22)&lt;&gt;0,'Base de Datos Sumaria'!C22," ")</f>
        <v>2</v>
      </c>
      <c r="B25" s="6" t="str">
        <f>IF(SUM('Base de Datos Sumaria'!J22:Q22)&lt;&gt;0,'Base de Datos Sumaria'!D22," ")</f>
        <v>101</v>
      </c>
      <c r="C25" s="7">
        <f>IF(SUM('Base de Datos Sumaria'!J22:Q22)&lt;&gt;0,'Base de Datos Sumaria'!H22," ")</f>
        <v>2285</v>
      </c>
      <c r="D25" s="8" t="str">
        <f>IF(SUM('Base de Datos Sumaria'!J22:Q22)&lt;&gt;0,'Base de Datos Maestro'!L22," ")</f>
        <v>MARGARITA MARIA LONDOÑO RAMIRE</v>
      </c>
      <c r="E25" s="9" t="str">
        <f>IF('Base de Datos Sumaria'!I22&lt;&gt;0,'Base de Datos Sumaria'!I22,"")</f>
        <v/>
      </c>
      <c r="F25" s="10">
        <f>IF(SUM('Base de Datos Sumaria'!J22:Q22)&lt;&gt;0,'Base de Datos Sumaria'!J22,"")</f>
        <v>10</v>
      </c>
      <c r="G25" s="10">
        <f>IF(SUM('Base de Datos Sumaria'!J22:Q22)&lt;&gt;0,'Base de Datos Sumaria'!K22," ")</f>
        <v>0</v>
      </c>
      <c r="H25" s="10">
        <f>IF(SUM('Base de Datos Sumaria'!J22:Q22)&lt;&gt;0,'Base de Datos Sumaria'!L22," ")</f>
        <v>0</v>
      </c>
      <c r="I25" s="10">
        <f>IF(SUM('Base de Datos Sumaria'!J22:Q22)&lt;&gt;0,'Base de Datos Sumaria'!M22," ")</f>
        <v>0</v>
      </c>
      <c r="J25" s="10">
        <f>IF(SUM('Base de Datos Sumaria'!J22:Q22)&lt;&gt;0,'Base de Datos Sumaria'!N22," ")</f>
        <v>0</v>
      </c>
      <c r="K25" s="10">
        <f>IF(SUM('Base de Datos Sumaria'!J22:Q22)&lt;&gt;0,'Base de Datos Sumaria'!O22," ")</f>
        <v>0</v>
      </c>
      <c r="L25" s="10">
        <f>IF(SUM('Base de Datos Sumaria'!J22:Q22)&lt;&gt;0,'Base de Datos Sumaria'!P22," ")</f>
        <v>0</v>
      </c>
      <c r="M25" s="10">
        <f>IF(SUM('Base de Datos Sumaria'!J22:Q22)&lt;&gt;0,'Base de Datos Sumaria'!Q22," ")</f>
        <v>0</v>
      </c>
      <c r="N25" s="10">
        <f>IF(SUM('Base de Datos Sumaria'!J22:Q22)&lt;&gt;0,SUM(F25:M25)," ")</f>
        <v>10</v>
      </c>
    </row>
    <row r="26" spans="1:14" ht="12.95" customHeight="1" x14ac:dyDescent="0.2">
      <c r="A26" s="6" t="str">
        <f>IF(SUM('Base de Datos Sumaria'!J23:Q23)&lt;&gt;0,'Base de Datos Sumaria'!C23," ")</f>
        <v xml:space="preserve"> </v>
      </c>
      <c r="B26" s="6" t="str">
        <f>IF(SUM('Base de Datos Sumaria'!J23:Q23)&lt;&gt;0,'Base de Datos Sumaria'!D23," ")</f>
        <v xml:space="preserve"> </v>
      </c>
      <c r="C26" s="7" t="str">
        <f>IF(SUM('Base de Datos Sumaria'!J23:Q23)&lt;&gt;0,'Base de Datos Sumaria'!H23," ")</f>
        <v xml:space="preserve"> </v>
      </c>
      <c r="D26" s="8" t="str">
        <f>IF(SUM('Base de Datos Sumaria'!J23:Q23)&lt;&gt;0,'Base de Datos Maestro'!L23," ")</f>
        <v xml:space="preserve"> </v>
      </c>
      <c r="E26" s="9" t="str">
        <f>IF('Base de Datos Sumaria'!I23&lt;&gt;0,'Base de Datos Sumaria'!I23,"")</f>
        <v/>
      </c>
      <c r="F26" s="10" t="str">
        <f>IF(SUM('Base de Datos Sumaria'!J23:Q23)&lt;&gt;0,'Base de Datos Sumaria'!J23,"")</f>
        <v/>
      </c>
      <c r="G26" s="10" t="str">
        <f>IF(SUM('Base de Datos Sumaria'!J23:Q23)&lt;&gt;0,'Base de Datos Sumaria'!K23," ")</f>
        <v xml:space="preserve"> </v>
      </c>
      <c r="H26" s="10" t="str">
        <f>IF(SUM('Base de Datos Sumaria'!J23:Q23)&lt;&gt;0,'Base de Datos Sumaria'!L23," ")</f>
        <v xml:space="preserve"> </v>
      </c>
      <c r="I26" s="10" t="str">
        <f>IF(SUM('Base de Datos Sumaria'!J23:Q23)&lt;&gt;0,'Base de Datos Sumaria'!M23," ")</f>
        <v xml:space="preserve"> </v>
      </c>
      <c r="J26" s="10" t="str">
        <f>IF(SUM('Base de Datos Sumaria'!J23:Q23)&lt;&gt;0,'Base de Datos Sumaria'!N23," ")</f>
        <v xml:space="preserve"> </v>
      </c>
      <c r="K26" s="10" t="str">
        <f>IF(SUM('Base de Datos Sumaria'!J23:Q23)&lt;&gt;0,'Base de Datos Sumaria'!O23," ")</f>
        <v xml:space="preserve"> </v>
      </c>
      <c r="L26" s="10" t="str">
        <f>IF(SUM('Base de Datos Sumaria'!J23:Q23)&lt;&gt;0,'Base de Datos Sumaria'!P23," ")</f>
        <v xml:space="preserve"> </v>
      </c>
      <c r="M26" s="10" t="str">
        <f>IF(SUM('Base de Datos Sumaria'!J23:Q23)&lt;&gt;0,'Base de Datos Sumaria'!Q23," ")</f>
        <v xml:space="preserve"> </v>
      </c>
      <c r="N26" s="10" t="str">
        <f>IF(SUM('Base de Datos Sumaria'!J23:Q23)&lt;&gt;0,SUM(F26:M26)," ")</f>
        <v xml:space="preserve"> </v>
      </c>
    </row>
    <row r="27" spans="1:14" ht="12.95" customHeight="1" x14ac:dyDescent="0.2">
      <c r="A27" s="6" t="str">
        <f>IF(SUM('Base de Datos Sumaria'!J24:Q24)&lt;&gt;0,'Base de Datos Sumaria'!C24," ")</f>
        <v>2</v>
      </c>
      <c r="B27" s="6" t="str">
        <f>IF(SUM('Base de Datos Sumaria'!J24:Q24)&lt;&gt;0,'Base de Datos Sumaria'!D24," ")</f>
        <v>201</v>
      </c>
      <c r="C27" s="7">
        <f>IF(SUM('Base de Datos Sumaria'!J24:Q24)&lt;&gt;0,'Base de Datos Sumaria'!H24," ")</f>
        <v>2287</v>
      </c>
      <c r="D27" s="8" t="str">
        <f>IF(SUM('Base de Datos Sumaria'!J24:Q24)&lt;&gt;0,'Base de Datos Maestro'!L24," ")</f>
        <v>ALICIA MARIA OTALVARO CASTRILL</v>
      </c>
      <c r="E27" s="9" t="str">
        <f>IF('Base de Datos Sumaria'!I24&lt;&gt;0,'Base de Datos Sumaria'!I24,"")</f>
        <v/>
      </c>
      <c r="F27" s="10">
        <f>IF(SUM('Base de Datos Sumaria'!J24:Q24)&lt;&gt;0,'Base de Datos Sumaria'!J24,"")</f>
        <v>29190</v>
      </c>
      <c r="G27" s="10">
        <f>IF(SUM('Base de Datos Sumaria'!J24:Q24)&lt;&gt;0,'Base de Datos Sumaria'!K24," ")</f>
        <v>0</v>
      </c>
      <c r="H27" s="10">
        <f>IF(SUM('Base de Datos Sumaria'!J24:Q24)&lt;&gt;0,'Base de Datos Sumaria'!L24," ")</f>
        <v>0</v>
      </c>
      <c r="I27" s="10">
        <f>IF(SUM('Base de Datos Sumaria'!J24:Q24)&lt;&gt;0,'Base de Datos Sumaria'!M24," ")</f>
        <v>0</v>
      </c>
      <c r="J27" s="10">
        <f>IF(SUM('Base de Datos Sumaria'!J24:Q24)&lt;&gt;0,'Base de Datos Sumaria'!N24," ")</f>
        <v>0</v>
      </c>
      <c r="K27" s="10">
        <f>IF(SUM('Base de Datos Sumaria'!J24:Q24)&lt;&gt;0,'Base de Datos Sumaria'!O24," ")</f>
        <v>0</v>
      </c>
      <c r="L27" s="10">
        <f>IF(SUM('Base de Datos Sumaria'!J24:Q24)&lt;&gt;0,'Base de Datos Sumaria'!P24," ")</f>
        <v>0</v>
      </c>
      <c r="M27" s="10">
        <f>IF(SUM('Base de Datos Sumaria'!J24:Q24)&lt;&gt;0,'Base de Datos Sumaria'!Q24," ")</f>
        <v>0</v>
      </c>
      <c r="N27" s="10">
        <f>IF(SUM('Base de Datos Sumaria'!J24:Q24)&lt;&gt;0,SUM(F27:M27)," ")</f>
        <v>29190</v>
      </c>
    </row>
    <row r="28" spans="1:14" ht="12.95" customHeight="1" x14ac:dyDescent="0.2">
      <c r="A28" s="6" t="str">
        <f>IF(SUM('Base de Datos Sumaria'!J25:Q25)&lt;&gt;0,'Base de Datos Sumaria'!C25," ")</f>
        <v xml:space="preserve"> </v>
      </c>
      <c r="B28" s="6" t="str">
        <f>IF(SUM('Base de Datos Sumaria'!J25:Q25)&lt;&gt;0,'Base de Datos Sumaria'!D25," ")</f>
        <v xml:space="preserve"> </v>
      </c>
      <c r="C28" s="7" t="str">
        <f>IF(SUM('Base de Datos Sumaria'!J25:Q25)&lt;&gt;0,'Base de Datos Sumaria'!H25," ")</f>
        <v xml:space="preserve"> </v>
      </c>
      <c r="D28" s="8" t="str">
        <f>IF(SUM('Base de Datos Sumaria'!J25:Q25)&lt;&gt;0,'Base de Datos Maestro'!L25," ")</f>
        <v xml:space="preserve"> </v>
      </c>
      <c r="E28" s="9" t="str">
        <f>IF('Base de Datos Sumaria'!I25&lt;&gt;0,'Base de Datos Sumaria'!I25,"")</f>
        <v/>
      </c>
      <c r="F28" s="10" t="str">
        <f>IF(SUM('Base de Datos Sumaria'!J25:Q25)&lt;&gt;0,'Base de Datos Sumaria'!J25,"")</f>
        <v/>
      </c>
      <c r="G28" s="10" t="str">
        <f>IF(SUM('Base de Datos Sumaria'!J25:Q25)&lt;&gt;0,'Base de Datos Sumaria'!K25," ")</f>
        <v xml:space="preserve"> </v>
      </c>
      <c r="H28" s="10" t="str">
        <f>IF(SUM('Base de Datos Sumaria'!J25:Q25)&lt;&gt;0,'Base de Datos Sumaria'!L25," ")</f>
        <v xml:space="preserve"> </v>
      </c>
      <c r="I28" s="10" t="str">
        <f>IF(SUM('Base de Datos Sumaria'!J25:Q25)&lt;&gt;0,'Base de Datos Sumaria'!M25," ")</f>
        <v xml:space="preserve"> </v>
      </c>
      <c r="J28" s="10" t="str">
        <f>IF(SUM('Base de Datos Sumaria'!J25:Q25)&lt;&gt;0,'Base de Datos Sumaria'!N25," ")</f>
        <v xml:space="preserve"> </v>
      </c>
      <c r="K28" s="10" t="str">
        <f>IF(SUM('Base de Datos Sumaria'!J25:Q25)&lt;&gt;0,'Base de Datos Sumaria'!O25," ")</f>
        <v xml:space="preserve"> </v>
      </c>
      <c r="L28" s="10" t="str">
        <f>IF(SUM('Base de Datos Sumaria'!J25:Q25)&lt;&gt;0,'Base de Datos Sumaria'!P25," ")</f>
        <v xml:space="preserve"> </v>
      </c>
      <c r="M28" s="10" t="str">
        <f>IF(SUM('Base de Datos Sumaria'!J25:Q25)&lt;&gt;0,'Base de Datos Sumaria'!Q25," ")</f>
        <v xml:space="preserve"> </v>
      </c>
      <c r="N28" s="10" t="str">
        <f>IF(SUM('Base de Datos Sumaria'!J25:Q25)&lt;&gt;0,SUM(F28:M28)," ")</f>
        <v xml:space="preserve"> </v>
      </c>
    </row>
    <row r="29" spans="1:14" ht="12.95" customHeight="1" x14ac:dyDescent="0.2">
      <c r="A29" s="6" t="str">
        <f>IF(SUM('Base de Datos Sumaria'!J26:Q26)&lt;&gt;0,'Base de Datos Sumaria'!C26," ")</f>
        <v xml:space="preserve"> </v>
      </c>
      <c r="B29" s="6" t="str">
        <f>IF(SUM('Base de Datos Sumaria'!J26:Q26)&lt;&gt;0,'Base de Datos Sumaria'!D26," ")</f>
        <v xml:space="preserve"> </v>
      </c>
      <c r="C29" s="7" t="str">
        <f>IF(SUM('Base de Datos Sumaria'!J26:Q26)&lt;&gt;0,'Base de Datos Sumaria'!H26," ")</f>
        <v xml:space="preserve"> </v>
      </c>
      <c r="D29" s="8" t="str">
        <f>IF(SUM('Base de Datos Sumaria'!J26:Q26)&lt;&gt;0,'Base de Datos Maestro'!L26," ")</f>
        <v xml:space="preserve"> </v>
      </c>
      <c r="E29" s="9" t="str">
        <f>IF('Base de Datos Sumaria'!I26&lt;&gt;0,'Base de Datos Sumaria'!I26,"")</f>
        <v/>
      </c>
      <c r="F29" s="10" t="str">
        <f>IF(SUM('Base de Datos Sumaria'!J26:Q26)&lt;&gt;0,'Base de Datos Sumaria'!J26,"")</f>
        <v/>
      </c>
      <c r="G29" s="10" t="str">
        <f>IF(SUM('Base de Datos Sumaria'!J26:Q26)&lt;&gt;0,'Base de Datos Sumaria'!K26," ")</f>
        <v xml:space="preserve"> </v>
      </c>
      <c r="H29" s="10" t="str">
        <f>IF(SUM('Base de Datos Sumaria'!J26:Q26)&lt;&gt;0,'Base de Datos Sumaria'!L26," ")</f>
        <v xml:space="preserve"> </v>
      </c>
      <c r="I29" s="10" t="str">
        <f>IF(SUM('Base de Datos Sumaria'!J26:Q26)&lt;&gt;0,'Base de Datos Sumaria'!M26," ")</f>
        <v xml:space="preserve"> </v>
      </c>
      <c r="J29" s="10" t="str">
        <f>IF(SUM('Base de Datos Sumaria'!J26:Q26)&lt;&gt;0,'Base de Datos Sumaria'!N26," ")</f>
        <v xml:space="preserve"> </v>
      </c>
      <c r="K29" s="10" t="str">
        <f>IF(SUM('Base de Datos Sumaria'!J26:Q26)&lt;&gt;0,'Base de Datos Sumaria'!O26," ")</f>
        <v xml:space="preserve"> </v>
      </c>
      <c r="L29" s="10" t="str">
        <f>IF(SUM('Base de Datos Sumaria'!J26:Q26)&lt;&gt;0,'Base de Datos Sumaria'!P26," ")</f>
        <v xml:space="preserve"> </v>
      </c>
      <c r="M29" s="10" t="str">
        <f>IF(SUM('Base de Datos Sumaria'!J26:Q26)&lt;&gt;0,'Base de Datos Sumaria'!Q26," ")</f>
        <v xml:space="preserve"> </v>
      </c>
      <c r="N29" s="10" t="str">
        <f>IF(SUM('Base de Datos Sumaria'!J26:Q26)&lt;&gt;0,SUM(F29:M29)," ")</f>
        <v xml:space="preserve"> </v>
      </c>
    </row>
    <row r="30" spans="1:14" ht="12.95" customHeight="1" x14ac:dyDescent="0.2">
      <c r="A30" s="6" t="str">
        <f>IF(SUM('Base de Datos Sumaria'!J27:Q27)&lt;&gt;0,'Base de Datos Sumaria'!C27," ")</f>
        <v xml:space="preserve"> </v>
      </c>
      <c r="B30" s="6" t="str">
        <f>IF(SUM('Base de Datos Sumaria'!J27:Q27)&lt;&gt;0,'Base de Datos Sumaria'!D27," ")</f>
        <v xml:space="preserve"> </v>
      </c>
      <c r="C30" s="7" t="str">
        <f>IF(SUM('Base de Datos Sumaria'!J27:Q27)&lt;&gt;0,'Base de Datos Sumaria'!H27," ")</f>
        <v xml:space="preserve"> </v>
      </c>
      <c r="D30" s="8" t="str">
        <f>IF(SUM('Base de Datos Sumaria'!J27:Q27)&lt;&gt;0,'Base de Datos Maestro'!L27," ")</f>
        <v xml:space="preserve"> </v>
      </c>
      <c r="E30" s="9" t="str">
        <f>IF('Base de Datos Sumaria'!I27&lt;&gt;0,'Base de Datos Sumaria'!I27,"")</f>
        <v/>
      </c>
      <c r="F30" s="10" t="str">
        <f>IF(SUM('Base de Datos Sumaria'!J27:Q27)&lt;&gt;0,'Base de Datos Sumaria'!J27,"")</f>
        <v/>
      </c>
      <c r="G30" s="10" t="str">
        <f>IF(SUM('Base de Datos Sumaria'!J27:Q27)&lt;&gt;0,'Base de Datos Sumaria'!K27," ")</f>
        <v xml:space="preserve"> </v>
      </c>
      <c r="H30" s="10" t="str">
        <f>IF(SUM('Base de Datos Sumaria'!J27:Q27)&lt;&gt;0,'Base de Datos Sumaria'!L27," ")</f>
        <v xml:space="preserve"> </v>
      </c>
      <c r="I30" s="10" t="str">
        <f>IF(SUM('Base de Datos Sumaria'!J27:Q27)&lt;&gt;0,'Base de Datos Sumaria'!M27," ")</f>
        <v xml:space="preserve"> </v>
      </c>
      <c r="J30" s="10" t="str">
        <f>IF(SUM('Base de Datos Sumaria'!J27:Q27)&lt;&gt;0,'Base de Datos Sumaria'!N27," ")</f>
        <v xml:space="preserve"> </v>
      </c>
      <c r="K30" s="10" t="str">
        <f>IF(SUM('Base de Datos Sumaria'!J27:Q27)&lt;&gt;0,'Base de Datos Sumaria'!O27," ")</f>
        <v xml:space="preserve"> </v>
      </c>
      <c r="L30" s="10" t="str">
        <f>IF(SUM('Base de Datos Sumaria'!J27:Q27)&lt;&gt;0,'Base de Datos Sumaria'!P27," ")</f>
        <v xml:space="preserve"> </v>
      </c>
      <c r="M30" s="10" t="str">
        <f>IF(SUM('Base de Datos Sumaria'!J27:Q27)&lt;&gt;0,'Base de Datos Sumaria'!Q27," ")</f>
        <v xml:space="preserve"> </v>
      </c>
      <c r="N30" s="10" t="str">
        <f>IF(SUM('Base de Datos Sumaria'!J27:Q27)&lt;&gt;0,SUM(F30:M30)," ")</f>
        <v xml:space="preserve"> </v>
      </c>
    </row>
    <row r="31" spans="1:14" ht="12.95" customHeight="1" x14ac:dyDescent="0.2">
      <c r="A31" s="6" t="str">
        <f>IF(SUM('Base de Datos Sumaria'!J28:Q28)&lt;&gt;0,'Base de Datos Sumaria'!C28," ")</f>
        <v>2</v>
      </c>
      <c r="B31" s="6" t="str">
        <f>IF(SUM('Base de Datos Sumaria'!J28:Q28)&lt;&gt;0,'Base de Datos Sumaria'!D28," ")</f>
        <v>401</v>
      </c>
      <c r="C31" s="7">
        <f>IF(SUM('Base de Datos Sumaria'!J28:Q28)&lt;&gt;0,'Base de Datos Sumaria'!H28," ")</f>
        <v>2291</v>
      </c>
      <c r="D31" s="8" t="str">
        <f>IF(SUM('Base de Datos Sumaria'!J28:Q28)&lt;&gt;0,'Base de Datos Maestro'!L28," ")</f>
        <v>GUILLERMO PEREZ RESTREPO</v>
      </c>
      <c r="E31" s="9">
        <f>IF('Base de Datos Sumaria'!I28&lt;&gt;0,'Base de Datos Sumaria'!I28,"")</f>
        <v>4</v>
      </c>
      <c r="F31" s="10">
        <f>IF(SUM('Base de Datos Sumaria'!J28:Q28)&lt;&gt;0,'Base de Datos Sumaria'!J28,"")</f>
        <v>634472</v>
      </c>
      <c r="G31" s="10">
        <f>IF(SUM('Base de Datos Sumaria'!J28:Q28)&lt;&gt;0,'Base de Datos Sumaria'!K28," ")</f>
        <v>0</v>
      </c>
      <c r="H31" s="10">
        <f>IF(SUM('Base de Datos Sumaria'!J28:Q28)&lt;&gt;0,'Base de Datos Sumaria'!L28," ")</f>
        <v>0</v>
      </c>
      <c r="I31" s="10">
        <f>IF(SUM('Base de Datos Sumaria'!J28:Q28)&lt;&gt;0,'Base de Datos Sumaria'!M28," ")</f>
        <v>0</v>
      </c>
      <c r="J31" s="10">
        <f>IF(SUM('Base de Datos Sumaria'!J28:Q28)&lt;&gt;0,'Base de Datos Sumaria'!N28," ")</f>
        <v>0</v>
      </c>
      <c r="K31" s="10">
        <f>IF(SUM('Base de Datos Sumaria'!J28:Q28)&lt;&gt;0,'Base de Datos Sumaria'!O28," ")</f>
        <v>0</v>
      </c>
      <c r="L31" s="10">
        <f>IF(SUM('Base de Datos Sumaria'!J28:Q28)&lt;&gt;0,'Base de Datos Sumaria'!P28," ")</f>
        <v>0</v>
      </c>
      <c r="M31" s="10">
        <f>IF(SUM('Base de Datos Sumaria'!J28:Q28)&lt;&gt;0,'Base de Datos Sumaria'!Q28," ")</f>
        <v>0</v>
      </c>
      <c r="N31" s="10">
        <f>IF(SUM('Base de Datos Sumaria'!J28:Q28)&lt;&gt;0,SUM(F31:M31)," ")</f>
        <v>634472</v>
      </c>
    </row>
    <row r="32" spans="1:14" ht="12.95" customHeight="1" x14ac:dyDescent="0.2">
      <c r="A32" s="6" t="str">
        <f>IF(SUM('Base de Datos Sumaria'!J29:Q29)&lt;&gt;0,'Base de Datos Sumaria'!C29," ")</f>
        <v>2</v>
      </c>
      <c r="B32" s="6" t="str">
        <f>IF(SUM('Base de Datos Sumaria'!J29:Q29)&lt;&gt;0,'Base de Datos Sumaria'!D29," ")</f>
        <v>402</v>
      </c>
      <c r="C32" s="7">
        <f>IF(SUM('Base de Datos Sumaria'!J29:Q29)&lt;&gt;0,'Base de Datos Sumaria'!H29," ")</f>
        <v>2292</v>
      </c>
      <c r="D32" s="8" t="str">
        <f>IF(SUM('Base de Datos Sumaria'!J29:Q29)&lt;&gt;0,'Base de Datos Maestro'!L29," ")</f>
        <v>PABLO ALEJANDRO LONDOÑO L.</v>
      </c>
      <c r="E32" s="9" t="str">
        <f>IF('Base de Datos Sumaria'!I29&lt;&gt;0,'Base de Datos Sumaria'!I29,"")</f>
        <v/>
      </c>
      <c r="F32" s="10">
        <f>IF(SUM('Base de Datos Sumaria'!J29:Q29)&lt;&gt;0,'Base de Datos Sumaria'!J29,"")</f>
        <v>81580</v>
      </c>
      <c r="G32" s="10">
        <f>IF(SUM('Base de Datos Sumaria'!J29:Q29)&lt;&gt;0,'Base de Datos Sumaria'!K29," ")</f>
        <v>0</v>
      </c>
      <c r="H32" s="10">
        <f>IF(SUM('Base de Datos Sumaria'!J29:Q29)&lt;&gt;0,'Base de Datos Sumaria'!L29," ")</f>
        <v>0</v>
      </c>
      <c r="I32" s="10">
        <f>IF(SUM('Base de Datos Sumaria'!J29:Q29)&lt;&gt;0,'Base de Datos Sumaria'!M29," ")</f>
        <v>0</v>
      </c>
      <c r="J32" s="10">
        <f>IF(SUM('Base de Datos Sumaria'!J29:Q29)&lt;&gt;0,'Base de Datos Sumaria'!N29," ")</f>
        <v>0</v>
      </c>
      <c r="K32" s="10">
        <f>IF(SUM('Base de Datos Sumaria'!J29:Q29)&lt;&gt;0,'Base de Datos Sumaria'!O29," ")</f>
        <v>0</v>
      </c>
      <c r="L32" s="10">
        <f>IF(SUM('Base de Datos Sumaria'!J29:Q29)&lt;&gt;0,'Base de Datos Sumaria'!P29," ")</f>
        <v>0</v>
      </c>
      <c r="M32" s="10">
        <f>IF(SUM('Base de Datos Sumaria'!J29:Q29)&lt;&gt;0,'Base de Datos Sumaria'!Q29," ")</f>
        <v>0</v>
      </c>
      <c r="N32" s="10">
        <f>IF(SUM('Base de Datos Sumaria'!J29:Q29)&lt;&gt;0,SUM(F32:M32)," ")</f>
        <v>81580</v>
      </c>
    </row>
    <row r="33" spans="1:14" ht="12.95" customHeight="1" x14ac:dyDescent="0.2">
      <c r="A33" s="6" t="str">
        <f>IF(SUM('Base de Datos Sumaria'!J30:Q30)&lt;&gt;0,'Base de Datos Sumaria'!C30," ")</f>
        <v xml:space="preserve"> </v>
      </c>
      <c r="B33" s="6" t="str">
        <f>IF(SUM('Base de Datos Sumaria'!J30:Q30)&lt;&gt;0,'Base de Datos Sumaria'!D30," ")</f>
        <v xml:space="preserve"> </v>
      </c>
      <c r="C33" s="7" t="str">
        <f>IF(SUM('Base de Datos Sumaria'!J30:Q30)&lt;&gt;0,'Base de Datos Sumaria'!H30," ")</f>
        <v xml:space="preserve"> </v>
      </c>
      <c r="D33" s="8" t="str">
        <f>IF(SUM('Base de Datos Sumaria'!J30:Q30)&lt;&gt;0,'Base de Datos Maestro'!L30," ")</f>
        <v xml:space="preserve"> </v>
      </c>
      <c r="E33" s="9" t="str">
        <f>IF('Base de Datos Sumaria'!I30&lt;&gt;0,'Base de Datos Sumaria'!I30,"")</f>
        <v/>
      </c>
      <c r="F33" s="10" t="str">
        <f>IF(SUM('Base de Datos Sumaria'!J30:Q30)&lt;&gt;0,'Base de Datos Sumaria'!J30,"")</f>
        <v/>
      </c>
      <c r="G33" s="10" t="str">
        <f>IF(SUM('Base de Datos Sumaria'!J30:Q30)&lt;&gt;0,'Base de Datos Sumaria'!K30," ")</f>
        <v xml:space="preserve"> </v>
      </c>
      <c r="H33" s="10" t="str">
        <f>IF(SUM('Base de Datos Sumaria'!J30:Q30)&lt;&gt;0,'Base de Datos Sumaria'!L30," ")</f>
        <v xml:space="preserve"> </v>
      </c>
      <c r="I33" s="10" t="str">
        <f>IF(SUM('Base de Datos Sumaria'!J30:Q30)&lt;&gt;0,'Base de Datos Sumaria'!M30," ")</f>
        <v xml:space="preserve"> </v>
      </c>
      <c r="J33" s="10" t="str">
        <f>IF(SUM('Base de Datos Sumaria'!J30:Q30)&lt;&gt;0,'Base de Datos Sumaria'!N30," ")</f>
        <v xml:space="preserve"> </v>
      </c>
      <c r="K33" s="10" t="str">
        <f>IF(SUM('Base de Datos Sumaria'!J30:Q30)&lt;&gt;0,'Base de Datos Sumaria'!O30," ")</f>
        <v xml:space="preserve"> </v>
      </c>
      <c r="L33" s="10" t="str">
        <f>IF(SUM('Base de Datos Sumaria'!J30:Q30)&lt;&gt;0,'Base de Datos Sumaria'!P30," ")</f>
        <v xml:space="preserve"> </v>
      </c>
      <c r="M33" s="10" t="str">
        <f>IF(SUM('Base de Datos Sumaria'!J30:Q30)&lt;&gt;0,'Base de Datos Sumaria'!Q30," ")</f>
        <v xml:space="preserve"> </v>
      </c>
      <c r="N33" s="10" t="str">
        <f>IF(SUM('Base de Datos Sumaria'!J30:Q30)&lt;&gt;0,SUM(F33:M33)," ")</f>
        <v xml:space="preserve"> </v>
      </c>
    </row>
    <row r="34" spans="1:14" ht="12.95" customHeight="1" x14ac:dyDescent="0.2">
      <c r="A34" s="6" t="str">
        <f>IF(SUM('Base de Datos Sumaria'!J31:Q31)&lt;&gt;0,'Base de Datos Sumaria'!C31," ")</f>
        <v xml:space="preserve"> </v>
      </c>
      <c r="B34" s="6" t="str">
        <f>IF(SUM('Base de Datos Sumaria'!J31:Q31)&lt;&gt;0,'Base de Datos Sumaria'!D31," ")</f>
        <v xml:space="preserve"> </v>
      </c>
      <c r="C34" s="7" t="str">
        <f>IF(SUM('Base de Datos Sumaria'!J31:Q31)&lt;&gt;0,'Base de Datos Sumaria'!H31," ")</f>
        <v xml:space="preserve"> </v>
      </c>
      <c r="D34" s="8" t="str">
        <f>IF(SUM('Base de Datos Sumaria'!J31:Q31)&lt;&gt;0,'Base de Datos Maestro'!L31," ")</f>
        <v xml:space="preserve"> </v>
      </c>
      <c r="E34" s="9" t="str">
        <f>IF('Base de Datos Sumaria'!I31&lt;&gt;0,'Base de Datos Sumaria'!I31,"")</f>
        <v/>
      </c>
      <c r="F34" s="10" t="str">
        <f>IF(SUM('Base de Datos Sumaria'!J31:Q31)&lt;&gt;0,'Base de Datos Sumaria'!J31,"")</f>
        <v/>
      </c>
      <c r="G34" s="10" t="str">
        <f>IF(SUM('Base de Datos Sumaria'!J31:Q31)&lt;&gt;0,'Base de Datos Sumaria'!K31," ")</f>
        <v xml:space="preserve"> </v>
      </c>
      <c r="H34" s="10" t="str">
        <f>IF(SUM('Base de Datos Sumaria'!J31:Q31)&lt;&gt;0,'Base de Datos Sumaria'!L31," ")</f>
        <v xml:space="preserve"> </v>
      </c>
      <c r="I34" s="10" t="str">
        <f>IF(SUM('Base de Datos Sumaria'!J31:Q31)&lt;&gt;0,'Base de Datos Sumaria'!M31," ")</f>
        <v xml:space="preserve"> </v>
      </c>
      <c r="J34" s="10" t="str">
        <f>IF(SUM('Base de Datos Sumaria'!J31:Q31)&lt;&gt;0,'Base de Datos Sumaria'!N31," ")</f>
        <v xml:space="preserve"> </v>
      </c>
      <c r="K34" s="10" t="str">
        <f>IF(SUM('Base de Datos Sumaria'!J31:Q31)&lt;&gt;0,'Base de Datos Sumaria'!O31," ")</f>
        <v xml:space="preserve"> </v>
      </c>
      <c r="L34" s="10" t="str">
        <f>IF(SUM('Base de Datos Sumaria'!J31:Q31)&lt;&gt;0,'Base de Datos Sumaria'!P31," ")</f>
        <v xml:space="preserve"> </v>
      </c>
      <c r="M34" s="10" t="str">
        <f>IF(SUM('Base de Datos Sumaria'!J31:Q31)&lt;&gt;0,'Base de Datos Sumaria'!Q31," ")</f>
        <v xml:space="preserve"> </v>
      </c>
      <c r="N34" s="10" t="str">
        <f>IF(SUM('Base de Datos Sumaria'!J31:Q31)&lt;&gt;0,SUM(F34:M34)," ")</f>
        <v xml:space="preserve"> </v>
      </c>
    </row>
    <row r="35" spans="1:14" ht="12.95" customHeight="1" x14ac:dyDescent="0.2">
      <c r="A35" s="6" t="str">
        <f>IF(SUM('Base de Datos Sumaria'!J32:Q32)&lt;&gt;0,'Base de Datos Sumaria'!C32," ")</f>
        <v>3</v>
      </c>
      <c r="B35" s="6" t="str">
        <f>IF(SUM('Base de Datos Sumaria'!J32:Q32)&lt;&gt;0,'Base de Datos Sumaria'!D32," ")</f>
        <v>101</v>
      </c>
      <c r="C35" s="7">
        <f>IF(SUM('Base de Datos Sumaria'!J32:Q32)&lt;&gt;0,'Base de Datos Sumaria'!H32," ")</f>
        <v>2295</v>
      </c>
      <c r="D35" s="8" t="str">
        <f>IF(SUM('Base de Datos Sumaria'!J32:Q32)&lt;&gt;0,'Base de Datos Maestro'!L32," ")</f>
        <v>RODOLFO VELEZ</v>
      </c>
      <c r="E35" s="9">
        <f>IF('Base de Datos Sumaria'!I32&lt;&gt;0,'Base de Datos Sumaria'!I32,"")</f>
        <v>1</v>
      </c>
      <c r="F35" s="10">
        <f>IF(SUM('Base de Datos Sumaria'!J32:Q32)&lt;&gt;0,'Base de Datos Sumaria'!J32,"")</f>
        <v>176600</v>
      </c>
      <c r="G35" s="10">
        <f>IF(SUM('Base de Datos Sumaria'!J32:Q32)&lt;&gt;0,'Base de Datos Sumaria'!K32," ")</f>
        <v>0</v>
      </c>
      <c r="H35" s="10">
        <f>IF(SUM('Base de Datos Sumaria'!J32:Q32)&lt;&gt;0,'Base de Datos Sumaria'!L32," ")</f>
        <v>0</v>
      </c>
      <c r="I35" s="10">
        <f>IF(SUM('Base de Datos Sumaria'!J32:Q32)&lt;&gt;0,'Base de Datos Sumaria'!M32," ")</f>
        <v>40000</v>
      </c>
      <c r="J35" s="10">
        <f>IF(SUM('Base de Datos Sumaria'!J32:Q32)&lt;&gt;0,'Base de Datos Sumaria'!N32," ")</f>
        <v>0</v>
      </c>
      <c r="K35" s="10">
        <f>IF(SUM('Base de Datos Sumaria'!J32:Q32)&lt;&gt;0,'Base de Datos Sumaria'!O32," ")</f>
        <v>62900</v>
      </c>
      <c r="L35" s="10">
        <f>IF(SUM('Base de Datos Sumaria'!J32:Q32)&lt;&gt;0,'Base de Datos Sumaria'!P32," ")</f>
        <v>8500</v>
      </c>
      <c r="M35" s="10">
        <f>IF(SUM('Base de Datos Sumaria'!J32:Q32)&lt;&gt;0,'Base de Datos Sumaria'!Q32," ")</f>
        <v>0</v>
      </c>
      <c r="N35" s="10">
        <f>IF(SUM('Base de Datos Sumaria'!J32:Q32)&lt;&gt;0,SUM(F35:M35)," ")</f>
        <v>288000</v>
      </c>
    </row>
    <row r="36" spans="1:14" ht="12.95" customHeight="1" x14ac:dyDescent="0.2">
      <c r="A36" s="6" t="str">
        <f>IF(SUM('Base de Datos Sumaria'!J33:Q33)&lt;&gt;0,'Base de Datos Sumaria'!C33," ")</f>
        <v xml:space="preserve"> </v>
      </c>
      <c r="B36" s="6" t="str">
        <f>IF(SUM('Base de Datos Sumaria'!J33:Q33)&lt;&gt;0,'Base de Datos Sumaria'!D33," ")</f>
        <v xml:space="preserve"> </v>
      </c>
      <c r="C36" s="7" t="str">
        <f>IF(SUM('Base de Datos Sumaria'!J33:Q33)&lt;&gt;0,'Base de Datos Sumaria'!H33," ")</f>
        <v xml:space="preserve"> </v>
      </c>
      <c r="D36" s="8" t="str">
        <f>IF(SUM('Base de Datos Sumaria'!J33:Q33)&lt;&gt;0,'Base de Datos Maestro'!L33," ")</f>
        <v xml:space="preserve"> </v>
      </c>
      <c r="E36" s="9" t="str">
        <f>IF('Base de Datos Sumaria'!I33&lt;&gt;0,'Base de Datos Sumaria'!I33,"")</f>
        <v/>
      </c>
      <c r="F36" s="10" t="str">
        <f>IF(SUM('Base de Datos Sumaria'!J33:Q33)&lt;&gt;0,'Base de Datos Sumaria'!J33,"")</f>
        <v/>
      </c>
      <c r="G36" s="10" t="str">
        <f>IF(SUM('Base de Datos Sumaria'!J33:Q33)&lt;&gt;0,'Base de Datos Sumaria'!K33," ")</f>
        <v xml:space="preserve"> </v>
      </c>
      <c r="H36" s="10" t="str">
        <f>IF(SUM('Base de Datos Sumaria'!J33:Q33)&lt;&gt;0,'Base de Datos Sumaria'!L33," ")</f>
        <v xml:space="preserve"> </v>
      </c>
      <c r="I36" s="10" t="str">
        <f>IF(SUM('Base de Datos Sumaria'!J33:Q33)&lt;&gt;0,'Base de Datos Sumaria'!M33," ")</f>
        <v xml:space="preserve"> </v>
      </c>
      <c r="J36" s="10" t="str">
        <f>IF(SUM('Base de Datos Sumaria'!J33:Q33)&lt;&gt;0,'Base de Datos Sumaria'!N33," ")</f>
        <v xml:space="preserve"> </v>
      </c>
      <c r="K36" s="10" t="str">
        <f>IF(SUM('Base de Datos Sumaria'!J33:Q33)&lt;&gt;0,'Base de Datos Sumaria'!O33," ")</f>
        <v xml:space="preserve"> </v>
      </c>
      <c r="L36" s="10" t="str">
        <f>IF(SUM('Base de Datos Sumaria'!J33:Q33)&lt;&gt;0,'Base de Datos Sumaria'!P33," ")</f>
        <v xml:space="preserve"> </v>
      </c>
      <c r="M36" s="10" t="str">
        <f>IF(SUM('Base de Datos Sumaria'!J33:Q33)&lt;&gt;0,'Base de Datos Sumaria'!Q33," ")</f>
        <v xml:space="preserve"> </v>
      </c>
      <c r="N36" s="10" t="str">
        <f>IF(SUM('Base de Datos Sumaria'!J33:Q33)&lt;&gt;0,SUM(F36:M36)," ")</f>
        <v xml:space="preserve"> </v>
      </c>
    </row>
    <row r="37" spans="1:14" ht="12.95" customHeight="1" x14ac:dyDescent="0.2">
      <c r="A37" s="6" t="str">
        <f>IF(SUM('Base de Datos Sumaria'!J34:Q34)&lt;&gt;0,'Base de Datos Sumaria'!C34," ")</f>
        <v xml:space="preserve"> </v>
      </c>
      <c r="B37" s="6" t="str">
        <f>IF(SUM('Base de Datos Sumaria'!J34:Q34)&lt;&gt;0,'Base de Datos Sumaria'!D34," ")</f>
        <v xml:space="preserve"> </v>
      </c>
      <c r="C37" s="7" t="str">
        <f>IF(SUM('Base de Datos Sumaria'!J34:Q34)&lt;&gt;0,'Base de Datos Sumaria'!H34," ")</f>
        <v xml:space="preserve"> </v>
      </c>
      <c r="D37" s="8" t="str">
        <f>IF(SUM('Base de Datos Sumaria'!J34:Q34)&lt;&gt;0,'Base de Datos Maestro'!L34," ")</f>
        <v xml:space="preserve"> </v>
      </c>
      <c r="E37" s="9" t="str">
        <f>IF('Base de Datos Sumaria'!I34&lt;&gt;0,'Base de Datos Sumaria'!I34,"")</f>
        <v/>
      </c>
      <c r="F37" s="10" t="str">
        <f>IF(SUM('Base de Datos Sumaria'!J34:Q34)&lt;&gt;0,'Base de Datos Sumaria'!J34,"")</f>
        <v/>
      </c>
      <c r="G37" s="10" t="str">
        <f>IF(SUM('Base de Datos Sumaria'!J34:Q34)&lt;&gt;0,'Base de Datos Sumaria'!K34," ")</f>
        <v xml:space="preserve"> </v>
      </c>
      <c r="H37" s="10" t="str">
        <f>IF(SUM('Base de Datos Sumaria'!J34:Q34)&lt;&gt;0,'Base de Datos Sumaria'!L34," ")</f>
        <v xml:space="preserve"> </v>
      </c>
      <c r="I37" s="10" t="str">
        <f>IF(SUM('Base de Datos Sumaria'!J34:Q34)&lt;&gt;0,'Base de Datos Sumaria'!M34," ")</f>
        <v xml:space="preserve"> </v>
      </c>
      <c r="J37" s="10" t="str">
        <f>IF(SUM('Base de Datos Sumaria'!J34:Q34)&lt;&gt;0,'Base de Datos Sumaria'!N34," ")</f>
        <v xml:space="preserve"> </v>
      </c>
      <c r="K37" s="10" t="str">
        <f>IF(SUM('Base de Datos Sumaria'!J34:Q34)&lt;&gt;0,'Base de Datos Sumaria'!O34," ")</f>
        <v xml:space="preserve"> </v>
      </c>
      <c r="L37" s="10" t="str">
        <f>IF(SUM('Base de Datos Sumaria'!J34:Q34)&lt;&gt;0,'Base de Datos Sumaria'!P34," ")</f>
        <v xml:space="preserve"> </v>
      </c>
      <c r="M37" s="10" t="str">
        <f>IF(SUM('Base de Datos Sumaria'!J34:Q34)&lt;&gt;0,'Base de Datos Sumaria'!Q34," ")</f>
        <v xml:space="preserve"> </v>
      </c>
      <c r="N37" s="10" t="str">
        <f>IF(SUM('Base de Datos Sumaria'!J34:Q34)&lt;&gt;0,SUM(F37:M37)," ")</f>
        <v xml:space="preserve"> </v>
      </c>
    </row>
    <row r="38" spans="1:14" ht="12.95" customHeight="1" x14ac:dyDescent="0.2">
      <c r="A38" s="6" t="str">
        <f>IF(SUM('Base de Datos Sumaria'!J35:Q35)&lt;&gt;0,'Base de Datos Sumaria'!C35," ")</f>
        <v xml:space="preserve"> </v>
      </c>
      <c r="B38" s="6" t="str">
        <f>IF(SUM('Base de Datos Sumaria'!J35:Q35)&lt;&gt;0,'Base de Datos Sumaria'!D35," ")</f>
        <v xml:space="preserve"> </v>
      </c>
      <c r="C38" s="7" t="str">
        <f>IF(SUM('Base de Datos Sumaria'!J35:Q35)&lt;&gt;0,'Base de Datos Sumaria'!H35," ")</f>
        <v xml:space="preserve"> </v>
      </c>
      <c r="D38" s="8" t="str">
        <f>IF(SUM('Base de Datos Sumaria'!J35:Q35)&lt;&gt;0,'Base de Datos Maestro'!L35," ")</f>
        <v xml:space="preserve"> </v>
      </c>
      <c r="E38" s="9" t="str">
        <f>IF('Base de Datos Sumaria'!I35&lt;&gt;0,'Base de Datos Sumaria'!I35,"")</f>
        <v/>
      </c>
      <c r="F38" s="10" t="str">
        <f>IF(SUM('Base de Datos Sumaria'!J35:Q35)&lt;&gt;0,'Base de Datos Sumaria'!J35,"")</f>
        <v/>
      </c>
      <c r="G38" s="10" t="str">
        <f>IF(SUM('Base de Datos Sumaria'!J35:Q35)&lt;&gt;0,'Base de Datos Sumaria'!K35," ")</f>
        <v xml:space="preserve"> </v>
      </c>
      <c r="H38" s="10" t="str">
        <f>IF(SUM('Base de Datos Sumaria'!J35:Q35)&lt;&gt;0,'Base de Datos Sumaria'!L35," ")</f>
        <v xml:space="preserve"> </v>
      </c>
      <c r="I38" s="10" t="str">
        <f>IF(SUM('Base de Datos Sumaria'!J35:Q35)&lt;&gt;0,'Base de Datos Sumaria'!M35," ")</f>
        <v xml:space="preserve"> </v>
      </c>
      <c r="J38" s="10" t="str">
        <f>IF(SUM('Base de Datos Sumaria'!J35:Q35)&lt;&gt;0,'Base de Datos Sumaria'!N35," ")</f>
        <v xml:space="preserve"> </v>
      </c>
      <c r="K38" s="10" t="str">
        <f>IF(SUM('Base de Datos Sumaria'!J35:Q35)&lt;&gt;0,'Base de Datos Sumaria'!O35," ")</f>
        <v xml:space="preserve"> </v>
      </c>
      <c r="L38" s="10" t="str">
        <f>IF(SUM('Base de Datos Sumaria'!J35:Q35)&lt;&gt;0,'Base de Datos Sumaria'!P35," ")</f>
        <v xml:space="preserve"> </v>
      </c>
      <c r="M38" s="10" t="str">
        <f>IF(SUM('Base de Datos Sumaria'!J35:Q35)&lt;&gt;0,'Base de Datos Sumaria'!Q35," ")</f>
        <v xml:space="preserve"> </v>
      </c>
      <c r="N38" s="10" t="str">
        <f>IF(SUM('Base de Datos Sumaria'!J35:Q35)&lt;&gt;0,SUM(F38:M38)," ")</f>
        <v xml:space="preserve"> </v>
      </c>
    </row>
    <row r="39" spans="1:14" ht="12.95" customHeight="1" x14ac:dyDescent="0.2">
      <c r="A39" s="6" t="str">
        <f>IF(SUM('Base de Datos Sumaria'!J36:Q36)&lt;&gt;0,'Base de Datos Sumaria'!C36," ")</f>
        <v xml:space="preserve"> </v>
      </c>
      <c r="B39" s="6" t="str">
        <f>IF(SUM('Base de Datos Sumaria'!J36:Q36)&lt;&gt;0,'Base de Datos Sumaria'!D36," ")</f>
        <v xml:space="preserve"> </v>
      </c>
      <c r="C39" s="7" t="str">
        <f>IF(SUM('Base de Datos Sumaria'!J36:Q36)&lt;&gt;0,'Base de Datos Sumaria'!H36," ")</f>
        <v xml:space="preserve"> </v>
      </c>
      <c r="D39" s="8" t="str">
        <f>IF(SUM('Base de Datos Sumaria'!J36:Q36)&lt;&gt;0,'Base de Datos Maestro'!L36," ")</f>
        <v xml:space="preserve"> </v>
      </c>
      <c r="E39" s="9" t="str">
        <f>IF('Base de Datos Sumaria'!I36&lt;&gt;0,'Base de Datos Sumaria'!I36,"")</f>
        <v/>
      </c>
      <c r="F39" s="10" t="str">
        <f>IF(SUM('Base de Datos Sumaria'!J36:Q36)&lt;&gt;0,'Base de Datos Sumaria'!J36,"")</f>
        <v/>
      </c>
      <c r="G39" s="10" t="str">
        <f>IF(SUM('Base de Datos Sumaria'!J36:Q36)&lt;&gt;0,'Base de Datos Sumaria'!K36," ")</f>
        <v xml:space="preserve"> </v>
      </c>
      <c r="H39" s="10" t="str">
        <f>IF(SUM('Base de Datos Sumaria'!J36:Q36)&lt;&gt;0,'Base de Datos Sumaria'!L36," ")</f>
        <v xml:space="preserve"> </v>
      </c>
      <c r="I39" s="10" t="str">
        <f>IF(SUM('Base de Datos Sumaria'!J36:Q36)&lt;&gt;0,'Base de Datos Sumaria'!M36," ")</f>
        <v xml:space="preserve"> </v>
      </c>
      <c r="J39" s="10" t="str">
        <f>IF(SUM('Base de Datos Sumaria'!J36:Q36)&lt;&gt;0,'Base de Datos Sumaria'!N36," ")</f>
        <v xml:space="preserve"> </v>
      </c>
      <c r="K39" s="10" t="str">
        <f>IF(SUM('Base de Datos Sumaria'!J36:Q36)&lt;&gt;0,'Base de Datos Sumaria'!O36," ")</f>
        <v xml:space="preserve"> </v>
      </c>
      <c r="L39" s="10" t="str">
        <f>IF(SUM('Base de Datos Sumaria'!J36:Q36)&lt;&gt;0,'Base de Datos Sumaria'!P36," ")</f>
        <v xml:space="preserve"> </v>
      </c>
      <c r="M39" s="10" t="str">
        <f>IF(SUM('Base de Datos Sumaria'!J36:Q36)&lt;&gt;0,'Base de Datos Sumaria'!Q36," ")</f>
        <v xml:space="preserve"> </v>
      </c>
      <c r="N39" s="10" t="str">
        <f>IF(SUM('Base de Datos Sumaria'!J36:Q36)&lt;&gt;0,SUM(F39:M39)," ")</f>
        <v xml:space="preserve"> </v>
      </c>
    </row>
    <row r="40" spans="1:14" ht="12.95" customHeight="1" x14ac:dyDescent="0.2">
      <c r="A40" s="6" t="str">
        <f>IF(SUM('Base de Datos Sumaria'!J37:Q37)&lt;&gt;0,'Base de Datos Sumaria'!C37," ")</f>
        <v>3</v>
      </c>
      <c r="B40" s="6" t="str">
        <f>IF(SUM('Base de Datos Sumaria'!J37:Q37)&lt;&gt;0,'Base de Datos Sumaria'!D37," ")</f>
        <v>202</v>
      </c>
      <c r="C40" s="7">
        <f>IF(SUM('Base de Datos Sumaria'!J37:Q37)&lt;&gt;0,'Base de Datos Sumaria'!H37," ")</f>
        <v>2300</v>
      </c>
      <c r="D40" s="8" t="str">
        <f>IF(SUM('Base de Datos Sumaria'!J37:Q37)&lt;&gt;0,'Base de Datos Maestro'!L37," ")</f>
        <v>ANGELA MARIA OCAMPO SARMIENTO</v>
      </c>
      <c r="E40" s="9" t="str">
        <f>IF('Base de Datos Sumaria'!I37&lt;&gt;0,'Base de Datos Sumaria'!I37,"")</f>
        <v/>
      </c>
      <c r="F40" s="10">
        <f>IF(SUM('Base de Datos Sumaria'!J37:Q37)&lt;&gt;0,'Base de Datos Sumaria'!J37,"")</f>
        <v>47940</v>
      </c>
      <c r="G40" s="10">
        <f>IF(SUM('Base de Datos Sumaria'!J37:Q37)&lt;&gt;0,'Base de Datos Sumaria'!K37," ")</f>
        <v>0</v>
      </c>
      <c r="H40" s="10">
        <f>IF(SUM('Base de Datos Sumaria'!J37:Q37)&lt;&gt;0,'Base de Datos Sumaria'!L37," ")</f>
        <v>0</v>
      </c>
      <c r="I40" s="10">
        <f>IF(SUM('Base de Datos Sumaria'!J37:Q37)&lt;&gt;0,'Base de Datos Sumaria'!M37," ")</f>
        <v>0</v>
      </c>
      <c r="J40" s="10">
        <f>IF(SUM('Base de Datos Sumaria'!J37:Q37)&lt;&gt;0,'Base de Datos Sumaria'!N37," ")</f>
        <v>0</v>
      </c>
      <c r="K40" s="10">
        <f>IF(SUM('Base de Datos Sumaria'!J37:Q37)&lt;&gt;0,'Base de Datos Sumaria'!O37," ")</f>
        <v>0</v>
      </c>
      <c r="L40" s="10">
        <f>IF(SUM('Base de Datos Sumaria'!J37:Q37)&lt;&gt;0,'Base de Datos Sumaria'!P37," ")</f>
        <v>0</v>
      </c>
      <c r="M40" s="10">
        <f>IF(SUM('Base de Datos Sumaria'!J37:Q37)&lt;&gt;0,'Base de Datos Sumaria'!Q37," ")</f>
        <v>0</v>
      </c>
      <c r="N40" s="10">
        <f>IF(SUM('Base de Datos Sumaria'!J37:Q37)&lt;&gt;0,SUM(F40:M40)," ")</f>
        <v>47940</v>
      </c>
    </row>
    <row r="41" spans="1:14" ht="12.95" customHeight="1" x14ac:dyDescent="0.2">
      <c r="A41" s="6" t="str">
        <f>IF(SUM('Base de Datos Sumaria'!J38:Q38)&lt;&gt;0,'Base de Datos Sumaria'!C38," ")</f>
        <v xml:space="preserve"> </v>
      </c>
      <c r="B41" s="6" t="str">
        <f>IF(SUM('Base de Datos Sumaria'!J38:Q38)&lt;&gt;0,'Base de Datos Sumaria'!D38," ")</f>
        <v xml:space="preserve"> </v>
      </c>
      <c r="C41" s="7" t="str">
        <f>IF(SUM('Base de Datos Sumaria'!J38:Q38)&lt;&gt;0,'Base de Datos Sumaria'!H38," ")</f>
        <v xml:space="preserve"> </v>
      </c>
      <c r="D41" s="8" t="str">
        <f>IF(SUM('Base de Datos Sumaria'!J38:Q38)&lt;&gt;0,'Base de Datos Maestro'!L38," ")</f>
        <v xml:space="preserve"> </v>
      </c>
      <c r="E41" s="9" t="str">
        <f>IF('Base de Datos Sumaria'!I38&lt;&gt;0,'Base de Datos Sumaria'!I38,"")</f>
        <v/>
      </c>
      <c r="F41" s="10" t="str">
        <f>IF(SUM('Base de Datos Sumaria'!J38:Q38)&lt;&gt;0,'Base de Datos Sumaria'!J38,"")</f>
        <v/>
      </c>
      <c r="G41" s="10" t="str">
        <f>IF(SUM('Base de Datos Sumaria'!J38:Q38)&lt;&gt;0,'Base de Datos Sumaria'!K38," ")</f>
        <v xml:space="preserve"> </v>
      </c>
      <c r="H41" s="10" t="str">
        <f>IF(SUM('Base de Datos Sumaria'!J38:Q38)&lt;&gt;0,'Base de Datos Sumaria'!L38," ")</f>
        <v xml:space="preserve"> </v>
      </c>
      <c r="I41" s="10" t="str">
        <f>IF(SUM('Base de Datos Sumaria'!J38:Q38)&lt;&gt;0,'Base de Datos Sumaria'!M38," ")</f>
        <v xml:space="preserve"> </v>
      </c>
      <c r="J41" s="10" t="str">
        <f>IF(SUM('Base de Datos Sumaria'!J38:Q38)&lt;&gt;0,'Base de Datos Sumaria'!N38," ")</f>
        <v xml:space="preserve"> </v>
      </c>
      <c r="K41" s="10" t="str">
        <f>IF(SUM('Base de Datos Sumaria'!J38:Q38)&lt;&gt;0,'Base de Datos Sumaria'!O38," ")</f>
        <v xml:space="preserve"> </v>
      </c>
      <c r="L41" s="10" t="str">
        <f>IF(SUM('Base de Datos Sumaria'!J38:Q38)&lt;&gt;0,'Base de Datos Sumaria'!P38," ")</f>
        <v xml:space="preserve"> </v>
      </c>
      <c r="M41" s="10" t="str">
        <f>IF(SUM('Base de Datos Sumaria'!J38:Q38)&lt;&gt;0,'Base de Datos Sumaria'!Q38," ")</f>
        <v xml:space="preserve"> </v>
      </c>
      <c r="N41" s="10" t="str">
        <f>IF(SUM('Base de Datos Sumaria'!J38:Q38)&lt;&gt;0,SUM(F41:M41)," ")</f>
        <v xml:space="preserve"> </v>
      </c>
    </row>
    <row r="42" spans="1:14" ht="12.95" customHeight="1" x14ac:dyDescent="0.2">
      <c r="A42" s="6" t="str">
        <f>IF(SUM('Base de Datos Sumaria'!J39:Q39)&lt;&gt;0,'Base de Datos Sumaria'!C39," ")</f>
        <v xml:space="preserve"> </v>
      </c>
      <c r="B42" s="6" t="str">
        <f>IF(SUM('Base de Datos Sumaria'!J39:Q39)&lt;&gt;0,'Base de Datos Sumaria'!D39," ")</f>
        <v xml:space="preserve"> </v>
      </c>
      <c r="C42" s="7" t="str">
        <f>IF(SUM('Base de Datos Sumaria'!J39:Q39)&lt;&gt;0,'Base de Datos Sumaria'!H39," ")</f>
        <v xml:space="preserve"> </v>
      </c>
      <c r="D42" s="8" t="str">
        <f>IF(SUM('Base de Datos Sumaria'!J39:Q39)&lt;&gt;0,'Base de Datos Maestro'!L39," ")</f>
        <v xml:space="preserve"> </v>
      </c>
      <c r="E42" s="9" t="str">
        <f>IF('Base de Datos Sumaria'!I39&lt;&gt;0,'Base de Datos Sumaria'!I39,"")</f>
        <v/>
      </c>
      <c r="F42" s="10" t="str">
        <f>IF(SUM('Base de Datos Sumaria'!J39:Q39)&lt;&gt;0,'Base de Datos Sumaria'!J39,"")</f>
        <v/>
      </c>
      <c r="G42" s="10" t="str">
        <f>IF(SUM('Base de Datos Sumaria'!J39:Q39)&lt;&gt;0,'Base de Datos Sumaria'!K39," ")</f>
        <v xml:space="preserve"> </v>
      </c>
      <c r="H42" s="10" t="str">
        <f>IF(SUM('Base de Datos Sumaria'!J39:Q39)&lt;&gt;0,'Base de Datos Sumaria'!L39," ")</f>
        <v xml:space="preserve"> </v>
      </c>
      <c r="I42" s="10" t="str">
        <f>IF(SUM('Base de Datos Sumaria'!J39:Q39)&lt;&gt;0,'Base de Datos Sumaria'!M39," ")</f>
        <v xml:space="preserve"> </v>
      </c>
      <c r="J42" s="10" t="str">
        <f>IF(SUM('Base de Datos Sumaria'!J39:Q39)&lt;&gt;0,'Base de Datos Sumaria'!N39," ")</f>
        <v xml:space="preserve"> </v>
      </c>
      <c r="K42" s="10" t="str">
        <f>IF(SUM('Base de Datos Sumaria'!J39:Q39)&lt;&gt;0,'Base de Datos Sumaria'!O39," ")</f>
        <v xml:space="preserve"> </v>
      </c>
      <c r="L42" s="10" t="str">
        <f>IF(SUM('Base de Datos Sumaria'!J39:Q39)&lt;&gt;0,'Base de Datos Sumaria'!P39," ")</f>
        <v xml:space="preserve"> </v>
      </c>
      <c r="M42" s="10" t="str">
        <f>IF(SUM('Base de Datos Sumaria'!J39:Q39)&lt;&gt;0,'Base de Datos Sumaria'!Q39," ")</f>
        <v xml:space="preserve"> </v>
      </c>
      <c r="N42" s="10" t="str">
        <f>IF(SUM('Base de Datos Sumaria'!J39:Q39)&lt;&gt;0,SUM(F42:M42)," ")</f>
        <v xml:space="preserve"> </v>
      </c>
    </row>
    <row r="43" spans="1:14" ht="12.95" customHeight="1" x14ac:dyDescent="0.2">
      <c r="A43" s="6" t="str">
        <f>IF(SUM('Base de Datos Sumaria'!J40:Q40)&lt;&gt;0,'Base de Datos Sumaria'!C40," ")</f>
        <v>3</v>
      </c>
      <c r="B43" s="6" t="str">
        <f>IF(SUM('Base de Datos Sumaria'!J40:Q40)&lt;&gt;0,'Base de Datos Sumaria'!D40," ")</f>
        <v>301</v>
      </c>
      <c r="C43" s="7">
        <f>IF(SUM('Base de Datos Sumaria'!J40:Q40)&lt;&gt;0,'Base de Datos Sumaria'!H40," ")</f>
        <v>2303</v>
      </c>
      <c r="D43" s="8" t="str">
        <f>IF(SUM('Base de Datos Sumaria'!J40:Q40)&lt;&gt;0,'Base de Datos Maestro'!L40," ")</f>
        <v>ALBA JANNETH GONZALEZ</v>
      </c>
      <c r="E43" s="9">
        <f>IF('Base de Datos Sumaria'!I40&lt;&gt;0,'Base de Datos Sumaria'!I40,"")</f>
        <v>17</v>
      </c>
      <c r="F43" s="10">
        <f>IF(SUM('Base de Datos Sumaria'!J40:Q40)&lt;&gt;0,'Base de Datos Sumaria'!J40,"")</f>
        <v>2984221</v>
      </c>
      <c r="G43" s="10">
        <f>IF(SUM('Base de Datos Sumaria'!J40:Q40)&lt;&gt;0,'Base de Datos Sumaria'!K40," ")</f>
        <v>158590</v>
      </c>
      <c r="H43" s="10">
        <f>IF(SUM('Base de Datos Sumaria'!J40:Q40)&lt;&gt;0,'Base de Datos Sumaria'!L40," ")</f>
        <v>0</v>
      </c>
      <c r="I43" s="10">
        <f>IF(SUM('Base de Datos Sumaria'!J40:Q40)&lt;&gt;0,'Base de Datos Sumaria'!M40," ")</f>
        <v>120000</v>
      </c>
      <c r="J43" s="10">
        <f>IF(SUM('Base de Datos Sumaria'!J40:Q40)&lt;&gt;0,'Base de Datos Sumaria'!N40," ")</f>
        <v>176600</v>
      </c>
      <c r="K43" s="10">
        <f>IF(SUM('Base de Datos Sumaria'!J40:Q40)&lt;&gt;0,'Base de Datos Sumaria'!O40," ")</f>
        <v>0</v>
      </c>
      <c r="L43" s="10">
        <f>IF(SUM('Base de Datos Sumaria'!J40:Q40)&lt;&gt;0,'Base de Datos Sumaria'!P40," ")</f>
        <v>0</v>
      </c>
      <c r="M43" s="10">
        <f>IF(SUM('Base de Datos Sumaria'!J40:Q40)&lt;&gt;0,'Base de Datos Sumaria'!Q40," ")</f>
        <v>0</v>
      </c>
      <c r="N43" s="10">
        <f>IF(SUM('Base de Datos Sumaria'!J40:Q40)&lt;&gt;0,SUM(F43:M43)," ")</f>
        <v>3439411</v>
      </c>
    </row>
    <row r="44" spans="1:14" ht="12.95" customHeight="1" x14ac:dyDescent="0.2">
      <c r="A44" s="6" t="str">
        <f>IF(SUM('Base de Datos Sumaria'!J41:Q41)&lt;&gt;0,'Base de Datos Sumaria'!C41," ")</f>
        <v>3</v>
      </c>
      <c r="B44" s="6" t="str">
        <f>IF(SUM('Base de Datos Sumaria'!J41:Q41)&lt;&gt;0,'Base de Datos Sumaria'!D41," ")</f>
        <v>302</v>
      </c>
      <c r="C44" s="7">
        <f>IF(SUM('Base de Datos Sumaria'!J41:Q41)&lt;&gt;0,'Base de Datos Sumaria'!H41," ")</f>
        <v>2304</v>
      </c>
      <c r="D44" s="8" t="str">
        <f>IF(SUM('Base de Datos Sumaria'!J41:Q41)&lt;&gt;0,'Base de Datos Maestro'!L41," ")</f>
        <v>MARIA DORALBA AGUIRRE</v>
      </c>
      <c r="E44" s="9">
        <f>IF('Base de Datos Sumaria'!I41&lt;&gt;0,'Base de Datos Sumaria'!I41,"")</f>
        <v>19</v>
      </c>
      <c r="F44" s="10">
        <f>IF(SUM('Base de Datos Sumaria'!J41:Q41)&lt;&gt;0,'Base de Datos Sumaria'!J41,"")</f>
        <v>3713400</v>
      </c>
      <c r="G44" s="10">
        <f>IF(SUM('Base de Datos Sumaria'!J41:Q41)&lt;&gt;0,'Base de Datos Sumaria'!K41," ")</f>
        <v>900350</v>
      </c>
      <c r="H44" s="10">
        <f>IF(SUM('Base de Datos Sumaria'!J41:Q41)&lt;&gt;0,'Base de Datos Sumaria'!L41," ")</f>
        <v>731900</v>
      </c>
      <c r="I44" s="10">
        <f>IF(SUM('Base de Datos Sumaria'!J41:Q41)&lt;&gt;0,'Base de Datos Sumaria'!M41," ")</f>
        <v>120000</v>
      </c>
      <c r="J44" s="10">
        <f>IF(SUM('Base de Datos Sumaria'!J41:Q41)&lt;&gt;0,'Base de Datos Sumaria'!N41," ")</f>
        <v>225600</v>
      </c>
      <c r="K44" s="10">
        <f>IF(SUM('Base de Datos Sumaria'!J41:Q41)&lt;&gt;0,'Base de Datos Sumaria'!O41," ")</f>
        <v>0</v>
      </c>
      <c r="L44" s="10">
        <f>IF(SUM('Base de Datos Sumaria'!J41:Q41)&lt;&gt;0,'Base de Datos Sumaria'!P41," ")</f>
        <v>0</v>
      </c>
      <c r="M44" s="10">
        <f>IF(SUM('Base de Datos Sumaria'!J41:Q41)&lt;&gt;0,'Base de Datos Sumaria'!Q41," ")</f>
        <v>0</v>
      </c>
      <c r="N44" s="10">
        <f>IF(SUM('Base de Datos Sumaria'!J41:Q41)&lt;&gt;0,SUM(F44:M44)," ")</f>
        <v>5691250</v>
      </c>
    </row>
    <row r="45" spans="1:14" ht="12.95" customHeight="1" x14ac:dyDescent="0.2">
      <c r="A45" s="6" t="str">
        <f>IF(SUM('Base de Datos Sumaria'!J42:Q42)&lt;&gt;0,'Base de Datos Sumaria'!C42," ")</f>
        <v xml:space="preserve"> </v>
      </c>
      <c r="B45" s="6" t="str">
        <f>IF(SUM('Base de Datos Sumaria'!J42:Q42)&lt;&gt;0,'Base de Datos Sumaria'!D42," ")</f>
        <v xml:space="preserve"> </v>
      </c>
      <c r="C45" s="7" t="str">
        <f>IF(SUM('Base de Datos Sumaria'!J42:Q42)&lt;&gt;0,'Base de Datos Sumaria'!H42," ")</f>
        <v xml:space="preserve"> </v>
      </c>
      <c r="D45" s="8" t="str">
        <f>IF(SUM('Base de Datos Sumaria'!J42:Q42)&lt;&gt;0,'Base de Datos Maestro'!L42," ")</f>
        <v xml:space="preserve"> </v>
      </c>
      <c r="E45" s="9" t="str">
        <f>IF('Base de Datos Sumaria'!I42&lt;&gt;0,'Base de Datos Sumaria'!I42,"")</f>
        <v/>
      </c>
      <c r="F45" s="10" t="str">
        <f>IF(SUM('Base de Datos Sumaria'!J42:Q42)&lt;&gt;0,'Base de Datos Sumaria'!J42,"")</f>
        <v/>
      </c>
      <c r="G45" s="10" t="str">
        <f>IF(SUM('Base de Datos Sumaria'!J42:Q42)&lt;&gt;0,'Base de Datos Sumaria'!K42," ")</f>
        <v xml:space="preserve"> </v>
      </c>
      <c r="H45" s="10" t="str">
        <f>IF(SUM('Base de Datos Sumaria'!J42:Q42)&lt;&gt;0,'Base de Datos Sumaria'!L42," ")</f>
        <v xml:space="preserve"> </v>
      </c>
      <c r="I45" s="10" t="str">
        <f>IF(SUM('Base de Datos Sumaria'!J42:Q42)&lt;&gt;0,'Base de Datos Sumaria'!M42," ")</f>
        <v xml:space="preserve"> </v>
      </c>
      <c r="J45" s="10" t="str">
        <f>IF(SUM('Base de Datos Sumaria'!J42:Q42)&lt;&gt;0,'Base de Datos Sumaria'!N42," ")</f>
        <v xml:space="preserve"> </v>
      </c>
      <c r="K45" s="10" t="str">
        <f>IF(SUM('Base de Datos Sumaria'!J42:Q42)&lt;&gt;0,'Base de Datos Sumaria'!O42," ")</f>
        <v xml:space="preserve"> </v>
      </c>
      <c r="L45" s="10" t="str">
        <f>IF(SUM('Base de Datos Sumaria'!J42:Q42)&lt;&gt;0,'Base de Datos Sumaria'!P42," ")</f>
        <v xml:space="preserve"> </v>
      </c>
      <c r="M45" s="10" t="str">
        <f>IF(SUM('Base de Datos Sumaria'!J42:Q42)&lt;&gt;0,'Base de Datos Sumaria'!Q42," ")</f>
        <v xml:space="preserve"> </v>
      </c>
      <c r="N45" s="10" t="str">
        <f>IF(SUM('Base de Datos Sumaria'!J42:Q42)&lt;&gt;0,SUM(F45:M45)," ")</f>
        <v xml:space="preserve"> </v>
      </c>
    </row>
    <row r="46" spans="1:14" ht="12.95" customHeight="1" x14ac:dyDescent="0.2">
      <c r="A46" s="6" t="str">
        <f>IF(SUM('Base de Datos Sumaria'!J43:Q43)&lt;&gt;0,'Base de Datos Sumaria'!C43," ")</f>
        <v xml:space="preserve"> </v>
      </c>
      <c r="B46" s="6" t="str">
        <f>IF(SUM('Base de Datos Sumaria'!J43:Q43)&lt;&gt;0,'Base de Datos Sumaria'!D43," ")</f>
        <v xml:space="preserve"> </v>
      </c>
      <c r="C46" s="7" t="str">
        <f>IF(SUM('Base de Datos Sumaria'!J43:Q43)&lt;&gt;0,'Base de Datos Sumaria'!H43," ")</f>
        <v xml:space="preserve"> </v>
      </c>
      <c r="D46" s="8" t="str">
        <f>IF(SUM('Base de Datos Sumaria'!J43:Q43)&lt;&gt;0,'Base de Datos Maestro'!L43," ")</f>
        <v xml:space="preserve"> </v>
      </c>
      <c r="E46" s="9" t="str">
        <f>IF('Base de Datos Sumaria'!I43&lt;&gt;0,'Base de Datos Sumaria'!I43,"")</f>
        <v/>
      </c>
      <c r="F46" s="10" t="str">
        <f>IF(SUM('Base de Datos Sumaria'!J43:Q43)&lt;&gt;0,'Base de Datos Sumaria'!J43,"")</f>
        <v/>
      </c>
      <c r="G46" s="10" t="str">
        <f>IF(SUM('Base de Datos Sumaria'!J43:Q43)&lt;&gt;0,'Base de Datos Sumaria'!K43," ")</f>
        <v xml:space="preserve"> </v>
      </c>
      <c r="H46" s="10" t="str">
        <f>IF(SUM('Base de Datos Sumaria'!J43:Q43)&lt;&gt;0,'Base de Datos Sumaria'!L43," ")</f>
        <v xml:space="preserve"> </v>
      </c>
      <c r="I46" s="10" t="str">
        <f>IF(SUM('Base de Datos Sumaria'!J43:Q43)&lt;&gt;0,'Base de Datos Sumaria'!M43," ")</f>
        <v xml:space="preserve"> </v>
      </c>
      <c r="J46" s="10" t="str">
        <f>IF(SUM('Base de Datos Sumaria'!J43:Q43)&lt;&gt;0,'Base de Datos Sumaria'!N43," ")</f>
        <v xml:space="preserve"> </v>
      </c>
      <c r="K46" s="10" t="str">
        <f>IF(SUM('Base de Datos Sumaria'!J43:Q43)&lt;&gt;0,'Base de Datos Sumaria'!O43," ")</f>
        <v xml:space="preserve"> </v>
      </c>
      <c r="L46" s="10" t="str">
        <f>IF(SUM('Base de Datos Sumaria'!J43:Q43)&lt;&gt;0,'Base de Datos Sumaria'!P43," ")</f>
        <v xml:space="preserve"> </v>
      </c>
      <c r="M46" s="10" t="str">
        <f>IF(SUM('Base de Datos Sumaria'!J43:Q43)&lt;&gt;0,'Base de Datos Sumaria'!Q43," ")</f>
        <v xml:space="preserve"> </v>
      </c>
      <c r="N46" s="10" t="str">
        <f>IF(SUM('Base de Datos Sumaria'!J43:Q43)&lt;&gt;0,SUM(F46:M46)," ")</f>
        <v xml:space="preserve"> </v>
      </c>
    </row>
    <row r="47" spans="1:14" ht="12.95" customHeight="1" x14ac:dyDescent="0.2">
      <c r="A47" s="6" t="str">
        <f>IF(SUM('Base de Datos Sumaria'!J44:Q44)&lt;&gt;0,'Base de Datos Sumaria'!C44," ")</f>
        <v>3</v>
      </c>
      <c r="B47" s="6" t="str">
        <f>IF(SUM('Base de Datos Sumaria'!J44:Q44)&lt;&gt;0,'Base de Datos Sumaria'!D44," ")</f>
        <v>401</v>
      </c>
      <c r="C47" s="7">
        <f>IF(SUM('Base de Datos Sumaria'!J44:Q44)&lt;&gt;0,'Base de Datos Sumaria'!H44," ")</f>
        <v>2307</v>
      </c>
      <c r="D47" s="8" t="str">
        <f>IF(SUM('Base de Datos Sumaria'!J44:Q44)&lt;&gt;0,'Base de Datos Maestro'!L44," ")</f>
        <v>ALVARO PORRAS</v>
      </c>
      <c r="E47" s="9" t="str">
        <f>IF('Base de Datos Sumaria'!I44&lt;&gt;0,'Base de Datos Sumaria'!I44,"")</f>
        <v/>
      </c>
      <c r="F47" s="10">
        <f>IF(SUM('Base de Datos Sumaria'!J44:Q44)&lt;&gt;0,'Base de Datos Sumaria'!J44,"")</f>
        <v>12360</v>
      </c>
      <c r="G47" s="10">
        <f>IF(SUM('Base de Datos Sumaria'!J44:Q44)&lt;&gt;0,'Base de Datos Sumaria'!K44," ")</f>
        <v>0</v>
      </c>
      <c r="H47" s="10">
        <f>IF(SUM('Base de Datos Sumaria'!J44:Q44)&lt;&gt;0,'Base de Datos Sumaria'!L44," ")</f>
        <v>0</v>
      </c>
      <c r="I47" s="10">
        <f>IF(SUM('Base de Datos Sumaria'!J44:Q44)&lt;&gt;0,'Base de Datos Sumaria'!M44," ")</f>
        <v>0</v>
      </c>
      <c r="J47" s="10">
        <f>IF(SUM('Base de Datos Sumaria'!J44:Q44)&lt;&gt;0,'Base de Datos Sumaria'!N44," ")</f>
        <v>0</v>
      </c>
      <c r="K47" s="10">
        <f>IF(SUM('Base de Datos Sumaria'!J44:Q44)&lt;&gt;0,'Base de Datos Sumaria'!O44," ")</f>
        <v>0</v>
      </c>
      <c r="L47" s="10">
        <f>IF(SUM('Base de Datos Sumaria'!J44:Q44)&lt;&gt;0,'Base de Datos Sumaria'!P44," ")</f>
        <v>0</v>
      </c>
      <c r="M47" s="10">
        <f>IF(SUM('Base de Datos Sumaria'!J44:Q44)&lt;&gt;0,'Base de Datos Sumaria'!Q44," ")</f>
        <v>0</v>
      </c>
      <c r="N47" s="10">
        <f>IF(SUM('Base de Datos Sumaria'!J44:Q44)&lt;&gt;0,SUM(F47:M47)," ")</f>
        <v>12360</v>
      </c>
    </row>
    <row r="48" spans="1:14" ht="12.95" customHeight="1" x14ac:dyDescent="0.2">
      <c r="A48" s="6" t="str">
        <f>IF(SUM('Base de Datos Sumaria'!J45:Q45)&lt;&gt;0,'Base de Datos Sumaria'!C45," ")</f>
        <v>3</v>
      </c>
      <c r="B48" s="6" t="str">
        <f>IF(SUM('Base de Datos Sumaria'!J45:Q45)&lt;&gt;0,'Base de Datos Sumaria'!D45," ")</f>
        <v>402</v>
      </c>
      <c r="C48" s="7">
        <f>IF(SUM('Base de Datos Sumaria'!J45:Q45)&lt;&gt;0,'Base de Datos Sumaria'!H45," ")</f>
        <v>2308</v>
      </c>
      <c r="D48" s="8" t="str">
        <f>IF(SUM('Base de Datos Sumaria'!J45:Q45)&lt;&gt;0,'Base de Datos Maestro'!L45," ")</f>
        <v>HECTOR IVAN HERRERA MUNERA</v>
      </c>
      <c r="E48" s="9">
        <f>IF('Base de Datos Sumaria'!I45&lt;&gt;0,'Base de Datos Sumaria'!I45,"")</f>
        <v>4</v>
      </c>
      <c r="F48" s="10">
        <f>IF(SUM('Base de Datos Sumaria'!J45:Q45)&lt;&gt;0,'Base de Datos Sumaria'!J45,"")</f>
        <v>763152</v>
      </c>
      <c r="G48" s="10">
        <f>IF(SUM('Base de Datos Sumaria'!J45:Q45)&lt;&gt;0,'Base de Datos Sumaria'!K45," ")</f>
        <v>0</v>
      </c>
      <c r="H48" s="10">
        <f>IF(SUM('Base de Datos Sumaria'!J45:Q45)&lt;&gt;0,'Base de Datos Sumaria'!L45," ")</f>
        <v>0</v>
      </c>
      <c r="I48" s="10">
        <f>IF(SUM('Base de Datos Sumaria'!J45:Q45)&lt;&gt;0,'Base de Datos Sumaria'!M45," ")</f>
        <v>0</v>
      </c>
      <c r="J48" s="10">
        <f>IF(SUM('Base de Datos Sumaria'!J45:Q45)&lt;&gt;0,'Base de Datos Sumaria'!N45," ")</f>
        <v>0</v>
      </c>
      <c r="K48" s="10">
        <f>IF(SUM('Base de Datos Sumaria'!J45:Q45)&lt;&gt;0,'Base de Datos Sumaria'!O45," ")</f>
        <v>0</v>
      </c>
      <c r="L48" s="10">
        <f>IF(SUM('Base de Datos Sumaria'!J45:Q45)&lt;&gt;0,'Base de Datos Sumaria'!P45," ")</f>
        <v>0</v>
      </c>
      <c r="M48" s="10">
        <f>IF(SUM('Base de Datos Sumaria'!J45:Q45)&lt;&gt;0,'Base de Datos Sumaria'!Q45," ")</f>
        <v>0</v>
      </c>
      <c r="N48" s="10">
        <f>IF(SUM('Base de Datos Sumaria'!J45:Q45)&lt;&gt;0,SUM(F48:M48)," ")</f>
        <v>763152</v>
      </c>
    </row>
    <row r="49" spans="1:14" ht="12.95" customHeight="1" x14ac:dyDescent="0.2">
      <c r="A49" s="6" t="str">
        <f>IF(SUM('Base de Datos Sumaria'!J46:Q46)&lt;&gt;0,'Base de Datos Sumaria'!C46," ")</f>
        <v xml:space="preserve"> </v>
      </c>
      <c r="B49" s="6" t="str">
        <f>IF(SUM('Base de Datos Sumaria'!J46:Q46)&lt;&gt;0,'Base de Datos Sumaria'!D46," ")</f>
        <v xml:space="preserve"> </v>
      </c>
      <c r="C49" s="7" t="str">
        <f>IF(SUM('Base de Datos Sumaria'!J46:Q46)&lt;&gt;0,'Base de Datos Sumaria'!H46," ")</f>
        <v xml:space="preserve"> </v>
      </c>
      <c r="D49" s="8" t="str">
        <f>IF(SUM('Base de Datos Sumaria'!J46:Q46)&lt;&gt;0,'Base de Datos Maestro'!L46," ")</f>
        <v xml:space="preserve"> </v>
      </c>
      <c r="E49" s="9" t="str">
        <f>IF('Base de Datos Sumaria'!I46&lt;&gt;0,'Base de Datos Sumaria'!I46,"")</f>
        <v/>
      </c>
      <c r="F49" s="10" t="str">
        <f>IF(SUM('Base de Datos Sumaria'!J46:Q46)&lt;&gt;0,'Base de Datos Sumaria'!J46,"")</f>
        <v/>
      </c>
      <c r="G49" s="10" t="str">
        <f>IF(SUM('Base de Datos Sumaria'!J46:Q46)&lt;&gt;0,'Base de Datos Sumaria'!K46," ")</f>
        <v xml:space="preserve"> </v>
      </c>
      <c r="H49" s="10" t="str">
        <f>IF(SUM('Base de Datos Sumaria'!J46:Q46)&lt;&gt;0,'Base de Datos Sumaria'!L46," ")</f>
        <v xml:space="preserve"> </v>
      </c>
      <c r="I49" s="10" t="str">
        <f>IF(SUM('Base de Datos Sumaria'!J46:Q46)&lt;&gt;0,'Base de Datos Sumaria'!M46," ")</f>
        <v xml:space="preserve"> </v>
      </c>
      <c r="J49" s="10" t="str">
        <f>IF(SUM('Base de Datos Sumaria'!J46:Q46)&lt;&gt;0,'Base de Datos Sumaria'!N46," ")</f>
        <v xml:space="preserve"> </v>
      </c>
      <c r="K49" s="10" t="str">
        <f>IF(SUM('Base de Datos Sumaria'!J46:Q46)&lt;&gt;0,'Base de Datos Sumaria'!O46," ")</f>
        <v xml:space="preserve"> </v>
      </c>
      <c r="L49" s="10" t="str">
        <f>IF(SUM('Base de Datos Sumaria'!J46:Q46)&lt;&gt;0,'Base de Datos Sumaria'!P46," ")</f>
        <v xml:space="preserve"> </v>
      </c>
      <c r="M49" s="10" t="str">
        <f>IF(SUM('Base de Datos Sumaria'!J46:Q46)&lt;&gt;0,'Base de Datos Sumaria'!Q46," ")</f>
        <v xml:space="preserve"> </v>
      </c>
      <c r="N49" s="10" t="str">
        <f>IF(SUM('Base de Datos Sumaria'!J46:Q46)&lt;&gt;0,SUM(F49:M49)," ")</f>
        <v xml:space="preserve"> </v>
      </c>
    </row>
    <row r="50" spans="1:14" ht="12.95" customHeight="1" x14ac:dyDescent="0.2">
      <c r="A50" s="6" t="str">
        <f>IF(SUM('Base de Datos Sumaria'!J47:Q47)&lt;&gt;0,'Base de Datos Sumaria'!C47," ")</f>
        <v xml:space="preserve"> </v>
      </c>
      <c r="B50" s="6" t="str">
        <f>IF(SUM('Base de Datos Sumaria'!J47:Q47)&lt;&gt;0,'Base de Datos Sumaria'!D47," ")</f>
        <v xml:space="preserve"> </v>
      </c>
      <c r="C50" s="7" t="str">
        <f>IF(SUM('Base de Datos Sumaria'!J47:Q47)&lt;&gt;0,'Base de Datos Sumaria'!H47," ")</f>
        <v xml:space="preserve"> </v>
      </c>
      <c r="D50" s="8" t="str">
        <f>IF(SUM('Base de Datos Sumaria'!J47:Q47)&lt;&gt;0,'Base de Datos Maestro'!L47," ")</f>
        <v xml:space="preserve"> </v>
      </c>
      <c r="E50" s="9" t="str">
        <f>IF('Base de Datos Sumaria'!I47&lt;&gt;0,'Base de Datos Sumaria'!I47,"")</f>
        <v/>
      </c>
      <c r="F50" s="10" t="str">
        <f>IF(SUM('Base de Datos Sumaria'!J47:Q47)&lt;&gt;0,'Base de Datos Sumaria'!J47,"")</f>
        <v/>
      </c>
      <c r="G50" s="10" t="str">
        <f>IF(SUM('Base de Datos Sumaria'!J47:Q47)&lt;&gt;0,'Base de Datos Sumaria'!K47," ")</f>
        <v xml:space="preserve"> </v>
      </c>
      <c r="H50" s="10" t="str">
        <f>IF(SUM('Base de Datos Sumaria'!J47:Q47)&lt;&gt;0,'Base de Datos Sumaria'!L47," ")</f>
        <v xml:space="preserve"> </v>
      </c>
      <c r="I50" s="10" t="str">
        <f>IF(SUM('Base de Datos Sumaria'!J47:Q47)&lt;&gt;0,'Base de Datos Sumaria'!M47," ")</f>
        <v xml:space="preserve"> </v>
      </c>
      <c r="J50" s="10" t="str">
        <f>IF(SUM('Base de Datos Sumaria'!J47:Q47)&lt;&gt;0,'Base de Datos Sumaria'!N47," ")</f>
        <v xml:space="preserve"> </v>
      </c>
      <c r="K50" s="10" t="str">
        <f>IF(SUM('Base de Datos Sumaria'!J47:Q47)&lt;&gt;0,'Base de Datos Sumaria'!O47," ")</f>
        <v xml:space="preserve"> </v>
      </c>
      <c r="L50" s="10" t="str">
        <f>IF(SUM('Base de Datos Sumaria'!J47:Q47)&lt;&gt;0,'Base de Datos Sumaria'!P47," ")</f>
        <v xml:space="preserve"> </v>
      </c>
      <c r="M50" s="10" t="str">
        <f>IF(SUM('Base de Datos Sumaria'!J47:Q47)&lt;&gt;0,'Base de Datos Sumaria'!Q47," ")</f>
        <v xml:space="preserve"> </v>
      </c>
      <c r="N50" s="10" t="str">
        <f>IF(SUM('Base de Datos Sumaria'!J47:Q47)&lt;&gt;0,SUM(F50:M50)," ")</f>
        <v xml:space="preserve"> </v>
      </c>
    </row>
    <row r="51" spans="1:14" ht="12.95" customHeight="1" x14ac:dyDescent="0.2">
      <c r="A51" s="6" t="str">
        <f>IF(SUM('Base de Datos Sumaria'!J48:Q48)&lt;&gt;0,'Base de Datos Sumaria'!C48," ")</f>
        <v xml:space="preserve"> </v>
      </c>
      <c r="B51" s="6" t="str">
        <f>IF(SUM('Base de Datos Sumaria'!J48:Q48)&lt;&gt;0,'Base de Datos Sumaria'!D48," ")</f>
        <v xml:space="preserve"> </v>
      </c>
      <c r="C51" s="7" t="str">
        <f>IF(SUM('Base de Datos Sumaria'!J48:Q48)&lt;&gt;0,'Base de Datos Sumaria'!H48," ")</f>
        <v xml:space="preserve"> </v>
      </c>
      <c r="D51" s="8" t="str">
        <f>IF(SUM('Base de Datos Sumaria'!J48:Q48)&lt;&gt;0,'Base de Datos Maestro'!L48," ")</f>
        <v xml:space="preserve"> </v>
      </c>
      <c r="E51" s="9">
        <f>IF('Base de Datos Sumaria'!I48&lt;&gt;0,'Base de Datos Sumaria'!I48,"")</f>
        <v>-1</v>
      </c>
      <c r="F51" s="10" t="str">
        <f>IF(SUM('Base de Datos Sumaria'!J48:Q48)&lt;&gt;0,'Base de Datos Sumaria'!J48,"")</f>
        <v/>
      </c>
      <c r="G51" s="10" t="str">
        <f>IF(SUM('Base de Datos Sumaria'!J48:Q48)&lt;&gt;0,'Base de Datos Sumaria'!K48," ")</f>
        <v xml:space="preserve"> </v>
      </c>
      <c r="H51" s="10" t="str">
        <f>IF(SUM('Base de Datos Sumaria'!J48:Q48)&lt;&gt;0,'Base de Datos Sumaria'!L48," ")</f>
        <v xml:space="preserve"> </v>
      </c>
      <c r="I51" s="10" t="str">
        <f>IF(SUM('Base de Datos Sumaria'!J48:Q48)&lt;&gt;0,'Base de Datos Sumaria'!M48," ")</f>
        <v xml:space="preserve"> </v>
      </c>
      <c r="J51" s="10" t="str">
        <f>IF(SUM('Base de Datos Sumaria'!J48:Q48)&lt;&gt;0,'Base de Datos Sumaria'!N48," ")</f>
        <v xml:space="preserve"> </v>
      </c>
      <c r="K51" s="10" t="str">
        <f>IF(SUM('Base de Datos Sumaria'!J48:Q48)&lt;&gt;0,'Base de Datos Sumaria'!O48," ")</f>
        <v xml:space="preserve"> </v>
      </c>
      <c r="L51" s="10" t="str">
        <f>IF(SUM('Base de Datos Sumaria'!J48:Q48)&lt;&gt;0,'Base de Datos Sumaria'!P48," ")</f>
        <v xml:space="preserve"> </v>
      </c>
      <c r="M51" s="10" t="str">
        <f>IF(SUM('Base de Datos Sumaria'!J48:Q48)&lt;&gt;0,'Base de Datos Sumaria'!Q48," ")</f>
        <v xml:space="preserve"> </v>
      </c>
      <c r="N51" s="10" t="str">
        <f>IF(SUM('Base de Datos Sumaria'!J48:Q48)&lt;&gt;0,SUM(F51:M51)," ")</f>
        <v xml:space="preserve"> </v>
      </c>
    </row>
    <row r="52" spans="1:14" ht="12.95" customHeight="1" x14ac:dyDescent="0.2">
      <c r="A52" s="6" t="str">
        <f>IF(SUM('Base de Datos Sumaria'!J49:Q49)&lt;&gt;0,'Base de Datos Sumaria'!C49," ")</f>
        <v xml:space="preserve"> </v>
      </c>
      <c r="B52" s="6" t="str">
        <f>IF(SUM('Base de Datos Sumaria'!J49:Q49)&lt;&gt;0,'Base de Datos Sumaria'!D49," ")</f>
        <v xml:space="preserve"> </v>
      </c>
      <c r="C52" s="7" t="str">
        <f>IF(SUM('Base de Datos Sumaria'!J49:Q49)&lt;&gt;0,'Base de Datos Sumaria'!H49," ")</f>
        <v xml:space="preserve"> </v>
      </c>
      <c r="D52" s="8" t="str">
        <f>IF(SUM('Base de Datos Sumaria'!J49:Q49)&lt;&gt;0,'Base de Datos Maestro'!L49," ")</f>
        <v xml:space="preserve"> </v>
      </c>
      <c r="E52" s="9" t="str">
        <f>IF('Base de Datos Sumaria'!I49&lt;&gt;0,'Base de Datos Sumaria'!I49,"")</f>
        <v/>
      </c>
      <c r="F52" s="10" t="str">
        <f>IF(SUM('Base de Datos Sumaria'!J49:Q49)&lt;&gt;0,'Base de Datos Sumaria'!J49,"")</f>
        <v/>
      </c>
      <c r="G52" s="10" t="str">
        <f>IF(SUM('Base de Datos Sumaria'!J49:Q49)&lt;&gt;0,'Base de Datos Sumaria'!K49," ")</f>
        <v xml:space="preserve"> </v>
      </c>
      <c r="H52" s="10" t="str">
        <f>IF(SUM('Base de Datos Sumaria'!J49:Q49)&lt;&gt;0,'Base de Datos Sumaria'!L49," ")</f>
        <v xml:space="preserve"> </v>
      </c>
      <c r="I52" s="10" t="str">
        <f>IF(SUM('Base de Datos Sumaria'!J49:Q49)&lt;&gt;0,'Base de Datos Sumaria'!M49," ")</f>
        <v xml:space="preserve"> </v>
      </c>
      <c r="J52" s="10" t="str">
        <f>IF(SUM('Base de Datos Sumaria'!J49:Q49)&lt;&gt;0,'Base de Datos Sumaria'!N49," ")</f>
        <v xml:space="preserve"> </v>
      </c>
      <c r="K52" s="10" t="str">
        <f>IF(SUM('Base de Datos Sumaria'!J49:Q49)&lt;&gt;0,'Base de Datos Sumaria'!O49," ")</f>
        <v xml:space="preserve"> </v>
      </c>
      <c r="L52" s="10" t="str">
        <f>IF(SUM('Base de Datos Sumaria'!J49:Q49)&lt;&gt;0,'Base de Datos Sumaria'!P49," ")</f>
        <v xml:space="preserve"> </v>
      </c>
      <c r="M52" s="10" t="str">
        <f>IF(SUM('Base de Datos Sumaria'!J49:Q49)&lt;&gt;0,'Base de Datos Sumaria'!Q49," ")</f>
        <v xml:space="preserve"> </v>
      </c>
      <c r="N52" s="10" t="str">
        <f>IF(SUM('Base de Datos Sumaria'!J49:Q49)&lt;&gt;0,SUM(F52:M52)," ")</f>
        <v xml:space="preserve"> </v>
      </c>
    </row>
    <row r="53" spans="1:14" ht="12.95" customHeight="1" x14ac:dyDescent="0.2">
      <c r="A53" s="6" t="str">
        <f>IF(SUM('Base de Datos Sumaria'!J50:Q50)&lt;&gt;0,'Base de Datos Sumaria'!C50," ")</f>
        <v>3</v>
      </c>
      <c r="B53" s="6" t="str">
        <f>IF(SUM('Base de Datos Sumaria'!J50:Q50)&lt;&gt;0,'Base de Datos Sumaria'!D50," ")</f>
        <v>503</v>
      </c>
      <c r="C53" s="7">
        <f>IF(SUM('Base de Datos Sumaria'!J50:Q50)&lt;&gt;0,'Base de Datos Sumaria'!H50," ")</f>
        <v>2313</v>
      </c>
      <c r="D53" s="8" t="str">
        <f>IF(SUM('Base de Datos Sumaria'!J50:Q50)&lt;&gt;0,'Base de Datos Maestro'!L50," ")</f>
        <v>MARIA JULIA GARZON TABARES</v>
      </c>
      <c r="E53" s="9">
        <f>IF('Base de Datos Sumaria'!I50&lt;&gt;0,'Base de Datos Sumaria'!I50,"")</f>
        <v>1</v>
      </c>
      <c r="F53" s="10">
        <f>IF(SUM('Base de Datos Sumaria'!J50:Q50)&lt;&gt;0,'Base de Datos Sumaria'!J50,"")</f>
        <v>140100</v>
      </c>
      <c r="G53" s="10">
        <f>IF(SUM('Base de Datos Sumaria'!J50:Q50)&lt;&gt;0,'Base de Datos Sumaria'!K50," ")</f>
        <v>0</v>
      </c>
      <c r="H53" s="10">
        <f>IF(SUM('Base de Datos Sumaria'!J50:Q50)&lt;&gt;0,'Base de Datos Sumaria'!L50," ")</f>
        <v>0</v>
      </c>
      <c r="I53" s="10">
        <f>IF(SUM('Base de Datos Sumaria'!J50:Q50)&lt;&gt;0,'Base de Datos Sumaria'!M50," ")</f>
        <v>40000</v>
      </c>
      <c r="J53" s="10">
        <f>IF(SUM('Base de Datos Sumaria'!J50:Q50)&lt;&gt;0,'Base de Datos Sumaria'!N50," ")</f>
        <v>0</v>
      </c>
      <c r="K53" s="10">
        <f>IF(SUM('Base de Datos Sumaria'!J50:Q50)&lt;&gt;0,'Base de Datos Sumaria'!O50," ")</f>
        <v>0</v>
      </c>
      <c r="L53" s="10">
        <f>IF(SUM('Base de Datos Sumaria'!J50:Q50)&lt;&gt;0,'Base de Datos Sumaria'!P50," ")</f>
        <v>0</v>
      </c>
      <c r="M53" s="10">
        <f>IF(SUM('Base de Datos Sumaria'!J50:Q50)&lt;&gt;0,'Base de Datos Sumaria'!Q50," ")</f>
        <v>0</v>
      </c>
      <c r="N53" s="10">
        <f>IF(SUM('Base de Datos Sumaria'!J50:Q50)&lt;&gt;0,SUM(F53:M53)," ")</f>
        <v>180100</v>
      </c>
    </row>
    <row r="54" spans="1:14" ht="12.95" customHeight="1" x14ac:dyDescent="0.2">
      <c r="A54" s="6" t="str">
        <f>IF(SUM('Base de Datos Sumaria'!J51:Q51)&lt;&gt;0,'Base de Datos Sumaria'!C51," ")</f>
        <v>3</v>
      </c>
      <c r="B54" s="6" t="str">
        <f>IF(SUM('Base de Datos Sumaria'!J51:Q51)&lt;&gt;0,'Base de Datos Sumaria'!D51," ")</f>
        <v>504</v>
      </c>
      <c r="C54" s="7">
        <f>IF(SUM('Base de Datos Sumaria'!J51:Q51)&lt;&gt;0,'Base de Datos Sumaria'!H51," ")</f>
        <v>2314</v>
      </c>
      <c r="D54" s="8" t="str">
        <f>IF(SUM('Base de Datos Sumaria'!J51:Q51)&lt;&gt;0,'Base de Datos Maestro'!L51," ")</f>
        <v>HUMBERTO ECHEVERRY</v>
      </c>
      <c r="E54" s="9">
        <f>IF('Base de Datos Sumaria'!I51&lt;&gt;0,'Base de Datos Sumaria'!I51,"")</f>
        <v>2</v>
      </c>
      <c r="F54" s="10">
        <f>IF(SUM('Base de Datos Sumaria'!J51:Q51)&lt;&gt;0,'Base de Datos Sumaria'!J51,"")</f>
        <v>273000</v>
      </c>
      <c r="G54" s="10">
        <f>IF(SUM('Base de Datos Sumaria'!J51:Q51)&lt;&gt;0,'Base de Datos Sumaria'!K51," ")</f>
        <v>0</v>
      </c>
      <c r="H54" s="10">
        <f>IF(SUM('Base de Datos Sumaria'!J51:Q51)&lt;&gt;0,'Base de Datos Sumaria'!L51," ")</f>
        <v>0</v>
      </c>
      <c r="I54" s="10">
        <f>IF(SUM('Base de Datos Sumaria'!J51:Q51)&lt;&gt;0,'Base de Datos Sumaria'!M51," ")</f>
        <v>40000</v>
      </c>
      <c r="J54" s="10">
        <f>IF(SUM('Base de Datos Sumaria'!J51:Q51)&lt;&gt;0,'Base de Datos Sumaria'!N51," ")</f>
        <v>0</v>
      </c>
      <c r="K54" s="10">
        <f>IF(SUM('Base de Datos Sumaria'!J51:Q51)&lt;&gt;0,'Base de Datos Sumaria'!O51," ")</f>
        <v>0</v>
      </c>
      <c r="L54" s="10">
        <f>IF(SUM('Base de Datos Sumaria'!J51:Q51)&lt;&gt;0,'Base de Datos Sumaria'!P51," ")</f>
        <v>0</v>
      </c>
      <c r="M54" s="10">
        <f>IF(SUM('Base de Datos Sumaria'!J51:Q51)&lt;&gt;0,'Base de Datos Sumaria'!Q51," ")</f>
        <v>0</v>
      </c>
      <c r="N54" s="10">
        <f>IF(SUM('Base de Datos Sumaria'!J51:Q51)&lt;&gt;0,SUM(F54:M54)," ")</f>
        <v>313000</v>
      </c>
    </row>
    <row r="55" spans="1:14" ht="12.95" customHeight="1" x14ac:dyDescent="0.2">
      <c r="A55" s="6" t="str">
        <f>IF(SUM('Base de Datos Sumaria'!J52:Q52)&lt;&gt;0,'Base de Datos Sumaria'!C52," ")</f>
        <v>4</v>
      </c>
      <c r="B55" s="6" t="str">
        <f>IF(SUM('Base de Datos Sumaria'!J52:Q52)&lt;&gt;0,'Base de Datos Sumaria'!D52," ")</f>
        <v>101</v>
      </c>
      <c r="C55" s="7">
        <f>IF(SUM('Base de Datos Sumaria'!J52:Q52)&lt;&gt;0,'Base de Datos Sumaria'!H52," ")</f>
        <v>2315</v>
      </c>
      <c r="D55" s="8" t="str">
        <f>IF(SUM('Base de Datos Sumaria'!J52:Q52)&lt;&gt;0,'Base de Datos Maestro'!L52," ")</f>
        <v>GUSTAVO ADOLFO ECHEVERRI VELAS</v>
      </c>
      <c r="E55" s="9">
        <f>IF('Base de Datos Sumaria'!I52&lt;&gt;0,'Base de Datos Sumaria'!I52,"")</f>
        <v>5</v>
      </c>
      <c r="F55" s="10">
        <f>IF(SUM('Base de Datos Sumaria'!J52:Q52)&lt;&gt;0,'Base de Datos Sumaria'!J52,"")</f>
        <v>716790</v>
      </c>
      <c r="G55" s="10">
        <f>IF(SUM('Base de Datos Sumaria'!J52:Q52)&lt;&gt;0,'Base de Datos Sumaria'!K52," ")</f>
        <v>13840</v>
      </c>
      <c r="H55" s="10">
        <f>IF(SUM('Base de Datos Sumaria'!J52:Q52)&lt;&gt;0,'Base de Datos Sumaria'!L52," ")</f>
        <v>0</v>
      </c>
      <c r="I55" s="10">
        <f>IF(SUM('Base de Datos Sumaria'!J52:Q52)&lt;&gt;0,'Base de Datos Sumaria'!M52," ")</f>
        <v>40000</v>
      </c>
      <c r="J55" s="10">
        <f>IF(SUM('Base de Datos Sumaria'!J52:Q52)&lt;&gt;0,'Base de Datos Sumaria'!N52," ")</f>
        <v>0</v>
      </c>
      <c r="K55" s="10">
        <f>IF(SUM('Base de Datos Sumaria'!J52:Q52)&lt;&gt;0,'Base de Datos Sumaria'!O52," ")</f>
        <v>0</v>
      </c>
      <c r="L55" s="10">
        <f>IF(SUM('Base de Datos Sumaria'!J52:Q52)&lt;&gt;0,'Base de Datos Sumaria'!P52," ")</f>
        <v>0</v>
      </c>
      <c r="M55" s="10">
        <f>IF(SUM('Base de Datos Sumaria'!J52:Q52)&lt;&gt;0,'Base de Datos Sumaria'!Q52," ")</f>
        <v>0</v>
      </c>
      <c r="N55" s="10">
        <f>IF(SUM('Base de Datos Sumaria'!J52:Q52)&lt;&gt;0,SUM(F55:M55)," ")</f>
        <v>770630</v>
      </c>
    </row>
    <row r="56" spans="1:14" ht="12.95" customHeight="1" x14ac:dyDescent="0.2">
      <c r="A56" s="6" t="str">
        <f>IF(SUM('Base de Datos Sumaria'!J53:Q53)&lt;&gt;0,'Base de Datos Sumaria'!C53," ")</f>
        <v>4</v>
      </c>
      <c r="B56" s="6" t="str">
        <f>IF(SUM('Base de Datos Sumaria'!J53:Q53)&lt;&gt;0,'Base de Datos Sumaria'!D53," ")</f>
        <v>102</v>
      </c>
      <c r="C56" s="7">
        <f>IF(SUM('Base de Datos Sumaria'!J53:Q53)&lt;&gt;0,'Base de Datos Sumaria'!H53," ")</f>
        <v>2316</v>
      </c>
      <c r="D56" s="8" t="str">
        <f>IF(SUM('Base de Datos Sumaria'!J53:Q53)&lt;&gt;0,'Base de Datos Maestro'!L53," ")</f>
        <v>GABRIEL ANGEL MONTOYA</v>
      </c>
      <c r="E56" s="9">
        <f>IF('Base de Datos Sumaria'!I53&lt;&gt;0,'Base de Datos Sumaria'!I53,"")</f>
        <v>2</v>
      </c>
      <c r="F56" s="10">
        <f>IF(SUM('Base de Datos Sumaria'!J53:Q53)&lt;&gt;0,'Base de Datos Sumaria'!J53,"")</f>
        <v>250520</v>
      </c>
      <c r="G56" s="10">
        <f>IF(SUM('Base de Datos Sumaria'!J53:Q53)&lt;&gt;0,'Base de Datos Sumaria'!K53," ")</f>
        <v>2020</v>
      </c>
      <c r="H56" s="10">
        <f>IF(SUM('Base de Datos Sumaria'!J53:Q53)&lt;&gt;0,'Base de Datos Sumaria'!L53," ")</f>
        <v>0</v>
      </c>
      <c r="I56" s="10">
        <f>IF(SUM('Base de Datos Sumaria'!J53:Q53)&lt;&gt;0,'Base de Datos Sumaria'!M53," ")</f>
        <v>40000</v>
      </c>
      <c r="J56" s="10">
        <f>IF(SUM('Base de Datos Sumaria'!J53:Q53)&lt;&gt;0,'Base de Datos Sumaria'!N53," ")</f>
        <v>0</v>
      </c>
      <c r="K56" s="10">
        <f>IF(SUM('Base de Datos Sumaria'!J53:Q53)&lt;&gt;0,'Base de Datos Sumaria'!O53," ")</f>
        <v>0</v>
      </c>
      <c r="L56" s="10">
        <f>IF(SUM('Base de Datos Sumaria'!J53:Q53)&lt;&gt;0,'Base de Datos Sumaria'!P53," ")</f>
        <v>0</v>
      </c>
      <c r="M56" s="10">
        <f>IF(SUM('Base de Datos Sumaria'!J53:Q53)&lt;&gt;0,'Base de Datos Sumaria'!Q53," ")</f>
        <v>0</v>
      </c>
      <c r="N56" s="10">
        <f>IF(SUM('Base de Datos Sumaria'!J53:Q53)&lt;&gt;0,SUM(F56:M56)," ")</f>
        <v>292540</v>
      </c>
    </row>
    <row r="57" spans="1:14" ht="12.95" customHeight="1" x14ac:dyDescent="0.2">
      <c r="A57" s="6" t="str">
        <f>IF(SUM('Base de Datos Sumaria'!J54:Q54)&lt;&gt;0,'Base de Datos Sumaria'!C54," ")</f>
        <v>4</v>
      </c>
      <c r="B57" s="6" t="str">
        <f>IF(SUM('Base de Datos Sumaria'!J54:Q54)&lt;&gt;0,'Base de Datos Sumaria'!D54," ")</f>
        <v>103</v>
      </c>
      <c r="C57" s="7">
        <f>IF(SUM('Base de Datos Sumaria'!J54:Q54)&lt;&gt;0,'Base de Datos Sumaria'!H54," ")</f>
        <v>2317</v>
      </c>
      <c r="D57" s="8" t="str">
        <f>IF(SUM('Base de Datos Sumaria'!J54:Q54)&lt;&gt;0,'Base de Datos Maestro'!L54," ")</f>
        <v>MARTHA ELENA AGUDELO L.</v>
      </c>
      <c r="E57" s="9">
        <f>IF('Base de Datos Sumaria'!I54&lt;&gt;0,'Base de Datos Sumaria'!I54,"")</f>
        <v>1</v>
      </c>
      <c r="F57" s="10">
        <f>IF(SUM('Base de Datos Sumaria'!J54:Q54)&lt;&gt;0,'Base de Datos Sumaria'!J54,"")</f>
        <v>122920</v>
      </c>
      <c r="G57" s="10">
        <f>IF(SUM('Base de Datos Sumaria'!J54:Q54)&lt;&gt;0,'Base de Datos Sumaria'!K54," ")</f>
        <v>0</v>
      </c>
      <c r="H57" s="10">
        <f>IF(SUM('Base de Datos Sumaria'!J54:Q54)&lt;&gt;0,'Base de Datos Sumaria'!L54," ")</f>
        <v>0</v>
      </c>
      <c r="I57" s="10">
        <f>IF(SUM('Base de Datos Sumaria'!J54:Q54)&lt;&gt;0,'Base de Datos Sumaria'!M54," ")</f>
        <v>0</v>
      </c>
      <c r="J57" s="10">
        <f>IF(SUM('Base de Datos Sumaria'!J54:Q54)&lt;&gt;0,'Base de Datos Sumaria'!N54," ")</f>
        <v>0</v>
      </c>
      <c r="K57" s="10">
        <f>IF(SUM('Base de Datos Sumaria'!J54:Q54)&lt;&gt;0,'Base de Datos Sumaria'!O54," ")</f>
        <v>0</v>
      </c>
      <c r="L57" s="10">
        <f>IF(SUM('Base de Datos Sumaria'!J54:Q54)&lt;&gt;0,'Base de Datos Sumaria'!P54," ")</f>
        <v>0</v>
      </c>
      <c r="M57" s="10">
        <f>IF(SUM('Base de Datos Sumaria'!J54:Q54)&lt;&gt;0,'Base de Datos Sumaria'!Q54," ")</f>
        <v>0</v>
      </c>
      <c r="N57" s="10">
        <f>IF(SUM('Base de Datos Sumaria'!J54:Q54)&lt;&gt;0,SUM(F57:M57)," ")</f>
        <v>122920</v>
      </c>
    </row>
    <row r="58" spans="1:14" ht="12.95" customHeight="1" x14ac:dyDescent="0.2">
      <c r="A58" s="6" t="str">
        <f>IF(SUM('Base de Datos Sumaria'!J55:Q55)&lt;&gt;0,'Base de Datos Sumaria'!C55," ")</f>
        <v xml:space="preserve"> </v>
      </c>
      <c r="B58" s="6" t="str">
        <f>IF(SUM('Base de Datos Sumaria'!J55:Q55)&lt;&gt;0,'Base de Datos Sumaria'!D55," ")</f>
        <v xml:space="preserve"> </v>
      </c>
      <c r="C58" s="7" t="str">
        <f>IF(SUM('Base de Datos Sumaria'!J55:Q55)&lt;&gt;0,'Base de Datos Sumaria'!H55," ")</f>
        <v xml:space="preserve"> </v>
      </c>
      <c r="D58" s="8" t="str">
        <f>IF(SUM('Base de Datos Sumaria'!J55:Q55)&lt;&gt;0,'Base de Datos Maestro'!L55," ")</f>
        <v xml:space="preserve"> </v>
      </c>
      <c r="E58" s="9" t="str">
        <f>IF('Base de Datos Sumaria'!I55&lt;&gt;0,'Base de Datos Sumaria'!I55,"")</f>
        <v/>
      </c>
      <c r="F58" s="10" t="str">
        <f>IF(SUM('Base de Datos Sumaria'!J55:Q55)&lt;&gt;0,'Base de Datos Sumaria'!J55,"")</f>
        <v/>
      </c>
      <c r="G58" s="10" t="str">
        <f>IF(SUM('Base de Datos Sumaria'!J55:Q55)&lt;&gt;0,'Base de Datos Sumaria'!K55," ")</f>
        <v xml:space="preserve"> </v>
      </c>
      <c r="H58" s="10" t="str">
        <f>IF(SUM('Base de Datos Sumaria'!J55:Q55)&lt;&gt;0,'Base de Datos Sumaria'!L55," ")</f>
        <v xml:space="preserve"> </v>
      </c>
      <c r="I58" s="10" t="str">
        <f>IF(SUM('Base de Datos Sumaria'!J55:Q55)&lt;&gt;0,'Base de Datos Sumaria'!M55," ")</f>
        <v xml:space="preserve"> </v>
      </c>
      <c r="J58" s="10" t="str">
        <f>IF(SUM('Base de Datos Sumaria'!J55:Q55)&lt;&gt;0,'Base de Datos Sumaria'!N55," ")</f>
        <v xml:space="preserve"> </v>
      </c>
      <c r="K58" s="10" t="str">
        <f>IF(SUM('Base de Datos Sumaria'!J55:Q55)&lt;&gt;0,'Base de Datos Sumaria'!O55," ")</f>
        <v xml:space="preserve"> </v>
      </c>
      <c r="L58" s="10" t="str">
        <f>IF(SUM('Base de Datos Sumaria'!J55:Q55)&lt;&gt;0,'Base de Datos Sumaria'!P55," ")</f>
        <v xml:space="preserve"> </v>
      </c>
      <c r="M58" s="10" t="str">
        <f>IF(SUM('Base de Datos Sumaria'!J55:Q55)&lt;&gt;0,'Base de Datos Sumaria'!Q55," ")</f>
        <v xml:space="preserve"> </v>
      </c>
      <c r="N58" s="10" t="str">
        <f>IF(SUM('Base de Datos Sumaria'!J55:Q55)&lt;&gt;0,SUM(F58:M58)," ")</f>
        <v xml:space="preserve"> </v>
      </c>
    </row>
    <row r="59" spans="1:14" ht="12.95" customHeight="1" x14ac:dyDescent="0.2">
      <c r="A59" s="6" t="str">
        <f>IF(SUM('Base de Datos Sumaria'!J56:Q56)&lt;&gt;0,'Base de Datos Sumaria'!C56," ")</f>
        <v xml:space="preserve"> </v>
      </c>
      <c r="B59" s="6" t="str">
        <f>IF(SUM('Base de Datos Sumaria'!J56:Q56)&lt;&gt;0,'Base de Datos Sumaria'!D56," ")</f>
        <v xml:space="preserve"> </v>
      </c>
      <c r="C59" s="7" t="str">
        <f>IF(SUM('Base de Datos Sumaria'!J56:Q56)&lt;&gt;0,'Base de Datos Sumaria'!H56," ")</f>
        <v xml:space="preserve"> </v>
      </c>
      <c r="D59" s="8" t="str">
        <f>IF(SUM('Base de Datos Sumaria'!J56:Q56)&lt;&gt;0,'Base de Datos Maestro'!L56," ")</f>
        <v xml:space="preserve"> </v>
      </c>
      <c r="E59" s="9" t="str">
        <f>IF('Base de Datos Sumaria'!I56&lt;&gt;0,'Base de Datos Sumaria'!I56,"")</f>
        <v/>
      </c>
      <c r="F59" s="10" t="str">
        <f>IF(SUM('Base de Datos Sumaria'!J56:Q56)&lt;&gt;0,'Base de Datos Sumaria'!J56,"")</f>
        <v/>
      </c>
      <c r="G59" s="10" t="str">
        <f>IF(SUM('Base de Datos Sumaria'!J56:Q56)&lt;&gt;0,'Base de Datos Sumaria'!K56," ")</f>
        <v xml:space="preserve"> </v>
      </c>
      <c r="H59" s="10" t="str">
        <f>IF(SUM('Base de Datos Sumaria'!J56:Q56)&lt;&gt;0,'Base de Datos Sumaria'!L56," ")</f>
        <v xml:space="preserve"> </v>
      </c>
      <c r="I59" s="10" t="str">
        <f>IF(SUM('Base de Datos Sumaria'!J56:Q56)&lt;&gt;0,'Base de Datos Sumaria'!M56," ")</f>
        <v xml:space="preserve"> </v>
      </c>
      <c r="J59" s="10" t="str">
        <f>IF(SUM('Base de Datos Sumaria'!J56:Q56)&lt;&gt;0,'Base de Datos Sumaria'!N56," ")</f>
        <v xml:space="preserve"> </v>
      </c>
      <c r="K59" s="10" t="str">
        <f>IF(SUM('Base de Datos Sumaria'!J56:Q56)&lt;&gt;0,'Base de Datos Sumaria'!O56," ")</f>
        <v xml:space="preserve"> </v>
      </c>
      <c r="L59" s="10" t="str">
        <f>IF(SUM('Base de Datos Sumaria'!J56:Q56)&lt;&gt;0,'Base de Datos Sumaria'!P56," ")</f>
        <v xml:space="preserve"> </v>
      </c>
      <c r="M59" s="10" t="str">
        <f>IF(SUM('Base de Datos Sumaria'!J56:Q56)&lt;&gt;0,'Base de Datos Sumaria'!Q56," ")</f>
        <v xml:space="preserve"> </v>
      </c>
      <c r="N59" s="10" t="str">
        <f>IF(SUM('Base de Datos Sumaria'!J56:Q56)&lt;&gt;0,SUM(F59:M59)," ")</f>
        <v xml:space="preserve"> </v>
      </c>
    </row>
    <row r="60" spans="1:14" ht="12.95" customHeight="1" x14ac:dyDescent="0.2">
      <c r="A60" s="6" t="str">
        <f>IF(SUM('Base de Datos Sumaria'!J57:Q57)&lt;&gt;0,'Base de Datos Sumaria'!C57," ")</f>
        <v>4</v>
      </c>
      <c r="B60" s="6" t="str">
        <f>IF(SUM('Base de Datos Sumaria'!J57:Q57)&lt;&gt;0,'Base de Datos Sumaria'!D57," ")</f>
        <v>106</v>
      </c>
      <c r="C60" s="7">
        <f>IF(SUM('Base de Datos Sumaria'!J57:Q57)&lt;&gt;0,'Base de Datos Sumaria'!H57," ")</f>
        <v>2320</v>
      </c>
      <c r="D60" s="8" t="str">
        <f>IF(SUM('Base de Datos Sumaria'!J57:Q57)&lt;&gt;0,'Base de Datos Maestro'!L57," ")</f>
        <v>Marcela Pelaez Mejia</v>
      </c>
      <c r="E60" s="9">
        <f>IF('Base de Datos Sumaria'!I57&lt;&gt;0,'Base de Datos Sumaria'!I57,"")</f>
        <v>1</v>
      </c>
      <c r="F60" s="10">
        <f>IF(SUM('Base de Datos Sumaria'!J57:Q57)&lt;&gt;0,'Base de Datos Sumaria'!J57,"")</f>
        <v>216500</v>
      </c>
      <c r="G60" s="10">
        <f>IF(SUM('Base de Datos Sumaria'!J57:Q57)&lt;&gt;0,'Base de Datos Sumaria'!K57," ")</f>
        <v>0</v>
      </c>
      <c r="H60" s="10">
        <f>IF(SUM('Base de Datos Sumaria'!J57:Q57)&lt;&gt;0,'Base de Datos Sumaria'!L57," ")</f>
        <v>33700</v>
      </c>
      <c r="I60" s="10">
        <f>IF(SUM('Base de Datos Sumaria'!J57:Q57)&lt;&gt;0,'Base de Datos Sumaria'!M57," ")</f>
        <v>40000</v>
      </c>
      <c r="J60" s="10">
        <f>IF(SUM('Base de Datos Sumaria'!J57:Q57)&lt;&gt;0,'Base de Datos Sumaria'!N57," ")</f>
        <v>0</v>
      </c>
      <c r="K60" s="10">
        <f>IF(SUM('Base de Datos Sumaria'!J57:Q57)&lt;&gt;0,'Base de Datos Sumaria'!O57," ")</f>
        <v>0</v>
      </c>
      <c r="L60" s="10">
        <f>IF(SUM('Base de Datos Sumaria'!J57:Q57)&lt;&gt;0,'Base de Datos Sumaria'!P57," ")</f>
        <v>0</v>
      </c>
      <c r="M60" s="10">
        <f>IF(SUM('Base de Datos Sumaria'!J57:Q57)&lt;&gt;0,'Base de Datos Sumaria'!Q57," ")</f>
        <v>0</v>
      </c>
      <c r="N60" s="10">
        <f>IF(SUM('Base de Datos Sumaria'!J57:Q57)&lt;&gt;0,SUM(F60:M60)," ")</f>
        <v>290200</v>
      </c>
    </row>
    <row r="61" spans="1:14" ht="12.95" customHeight="1" x14ac:dyDescent="0.2">
      <c r="A61" s="6" t="str">
        <f>IF(SUM('Base de Datos Sumaria'!J58:Q58)&lt;&gt;0,'Base de Datos Sumaria'!C58," ")</f>
        <v xml:space="preserve"> </v>
      </c>
      <c r="B61" s="6" t="str">
        <f>IF(SUM('Base de Datos Sumaria'!J58:Q58)&lt;&gt;0,'Base de Datos Sumaria'!D58," ")</f>
        <v xml:space="preserve"> </v>
      </c>
      <c r="C61" s="7" t="str">
        <f>IF(SUM('Base de Datos Sumaria'!J58:Q58)&lt;&gt;0,'Base de Datos Sumaria'!H58," ")</f>
        <v xml:space="preserve"> </v>
      </c>
      <c r="D61" s="8" t="str">
        <f>IF(SUM('Base de Datos Sumaria'!J58:Q58)&lt;&gt;0,'Base de Datos Maestro'!L58," ")</f>
        <v xml:space="preserve"> </v>
      </c>
      <c r="E61" s="9" t="str">
        <f>IF('Base de Datos Sumaria'!I58&lt;&gt;0,'Base de Datos Sumaria'!I58,"")</f>
        <v/>
      </c>
      <c r="F61" s="10" t="str">
        <f>IF(SUM('Base de Datos Sumaria'!J58:Q58)&lt;&gt;0,'Base de Datos Sumaria'!J58,"")</f>
        <v/>
      </c>
      <c r="G61" s="10" t="str">
        <f>IF(SUM('Base de Datos Sumaria'!J58:Q58)&lt;&gt;0,'Base de Datos Sumaria'!K58," ")</f>
        <v xml:space="preserve"> </v>
      </c>
      <c r="H61" s="10" t="str">
        <f>IF(SUM('Base de Datos Sumaria'!J58:Q58)&lt;&gt;0,'Base de Datos Sumaria'!L58," ")</f>
        <v xml:space="preserve"> </v>
      </c>
      <c r="I61" s="10" t="str">
        <f>IF(SUM('Base de Datos Sumaria'!J58:Q58)&lt;&gt;0,'Base de Datos Sumaria'!M58," ")</f>
        <v xml:space="preserve"> </v>
      </c>
      <c r="J61" s="10" t="str">
        <f>IF(SUM('Base de Datos Sumaria'!J58:Q58)&lt;&gt;0,'Base de Datos Sumaria'!N58," ")</f>
        <v xml:space="preserve"> </v>
      </c>
      <c r="K61" s="10" t="str">
        <f>IF(SUM('Base de Datos Sumaria'!J58:Q58)&lt;&gt;0,'Base de Datos Sumaria'!O58," ")</f>
        <v xml:space="preserve"> </v>
      </c>
      <c r="L61" s="10" t="str">
        <f>IF(SUM('Base de Datos Sumaria'!J58:Q58)&lt;&gt;0,'Base de Datos Sumaria'!P58," ")</f>
        <v xml:space="preserve"> </v>
      </c>
      <c r="M61" s="10" t="str">
        <f>IF(SUM('Base de Datos Sumaria'!J58:Q58)&lt;&gt;0,'Base de Datos Sumaria'!Q58," ")</f>
        <v xml:space="preserve"> </v>
      </c>
      <c r="N61" s="10" t="str">
        <f>IF(SUM('Base de Datos Sumaria'!J58:Q58)&lt;&gt;0,SUM(F61:M61)," ")</f>
        <v xml:space="preserve"> </v>
      </c>
    </row>
    <row r="62" spans="1:14" ht="12.95" customHeight="1" x14ac:dyDescent="0.2">
      <c r="A62" s="6" t="str">
        <f>IF(SUM('Base de Datos Sumaria'!J59:Q59)&lt;&gt;0,'Base de Datos Sumaria'!C59," ")</f>
        <v xml:space="preserve"> </v>
      </c>
      <c r="B62" s="6" t="str">
        <f>IF(SUM('Base de Datos Sumaria'!J59:Q59)&lt;&gt;0,'Base de Datos Sumaria'!D59," ")</f>
        <v xml:space="preserve"> </v>
      </c>
      <c r="C62" s="7" t="str">
        <f>IF(SUM('Base de Datos Sumaria'!J59:Q59)&lt;&gt;0,'Base de Datos Sumaria'!H59," ")</f>
        <v xml:space="preserve"> </v>
      </c>
      <c r="D62" s="8" t="str">
        <f>IF(SUM('Base de Datos Sumaria'!J59:Q59)&lt;&gt;0,'Base de Datos Maestro'!L59," ")</f>
        <v xml:space="preserve"> </v>
      </c>
      <c r="E62" s="9" t="str">
        <f>IF('Base de Datos Sumaria'!I59&lt;&gt;0,'Base de Datos Sumaria'!I59,"")</f>
        <v/>
      </c>
      <c r="F62" s="10" t="str">
        <f>IF(SUM('Base de Datos Sumaria'!J59:Q59)&lt;&gt;0,'Base de Datos Sumaria'!J59,"")</f>
        <v/>
      </c>
      <c r="G62" s="10" t="str">
        <f>IF(SUM('Base de Datos Sumaria'!J59:Q59)&lt;&gt;0,'Base de Datos Sumaria'!K59," ")</f>
        <v xml:space="preserve"> </v>
      </c>
      <c r="H62" s="10" t="str">
        <f>IF(SUM('Base de Datos Sumaria'!J59:Q59)&lt;&gt;0,'Base de Datos Sumaria'!L59," ")</f>
        <v xml:space="preserve"> </v>
      </c>
      <c r="I62" s="10" t="str">
        <f>IF(SUM('Base de Datos Sumaria'!J59:Q59)&lt;&gt;0,'Base de Datos Sumaria'!M59," ")</f>
        <v xml:space="preserve"> </v>
      </c>
      <c r="J62" s="10" t="str">
        <f>IF(SUM('Base de Datos Sumaria'!J59:Q59)&lt;&gt;0,'Base de Datos Sumaria'!N59," ")</f>
        <v xml:space="preserve"> </v>
      </c>
      <c r="K62" s="10" t="str">
        <f>IF(SUM('Base de Datos Sumaria'!J59:Q59)&lt;&gt;0,'Base de Datos Sumaria'!O59," ")</f>
        <v xml:space="preserve"> </v>
      </c>
      <c r="L62" s="10" t="str">
        <f>IF(SUM('Base de Datos Sumaria'!J59:Q59)&lt;&gt;0,'Base de Datos Sumaria'!P59," ")</f>
        <v xml:space="preserve"> </v>
      </c>
      <c r="M62" s="10" t="str">
        <f>IF(SUM('Base de Datos Sumaria'!J59:Q59)&lt;&gt;0,'Base de Datos Sumaria'!Q59," ")</f>
        <v xml:space="preserve"> </v>
      </c>
      <c r="N62" s="10" t="str">
        <f>IF(SUM('Base de Datos Sumaria'!J59:Q59)&lt;&gt;0,SUM(F62:M62)," ")</f>
        <v xml:space="preserve"> </v>
      </c>
    </row>
    <row r="63" spans="1:14" ht="12.95" customHeight="1" x14ac:dyDescent="0.2">
      <c r="A63" s="6" t="str">
        <f>IF(SUM('Base de Datos Sumaria'!J60:Q60)&lt;&gt;0,'Base de Datos Sumaria'!C60," ")</f>
        <v xml:space="preserve"> </v>
      </c>
      <c r="B63" s="6" t="str">
        <f>IF(SUM('Base de Datos Sumaria'!J60:Q60)&lt;&gt;0,'Base de Datos Sumaria'!D60," ")</f>
        <v xml:space="preserve"> </v>
      </c>
      <c r="C63" s="7" t="str">
        <f>IF(SUM('Base de Datos Sumaria'!J60:Q60)&lt;&gt;0,'Base de Datos Sumaria'!H60," ")</f>
        <v xml:space="preserve"> </v>
      </c>
      <c r="D63" s="8" t="str">
        <f>IF(SUM('Base de Datos Sumaria'!J60:Q60)&lt;&gt;0,'Base de Datos Maestro'!L60," ")</f>
        <v xml:space="preserve"> </v>
      </c>
      <c r="E63" s="9" t="str">
        <f>IF('Base de Datos Sumaria'!I60&lt;&gt;0,'Base de Datos Sumaria'!I60,"")</f>
        <v/>
      </c>
      <c r="F63" s="10" t="str">
        <f>IF(SUM('Base de Datos Sumaria'!J60:Q60)&lt;&gt;0,'Base de Datos Sumaria'!J60,"")</f>
        <v/>
      </c>
      <c r="G63" s="10" t="str">
        <f>IF(SUM('Base de Datos Sumaria'!J60:Q60)&lt;&gt;0,'Base de Datos Sumaria'!K60," ")</f>
        <v xml:space="preserve"> </v>
      </c>
      <c r="H63" s="10" t="str">
        <f>IF(SUM('Base de Datos Sumaria'!J60:Q60)&lt;&gt;0,'Base de Datos Sumaria'!L60," ")</f>
        <v xml:space="preserve"> </v>
      </c>
      <c r="I63" s="10" t="str">
        <f>IF(SUM('Base de Datos Sumaria'!J60:Q60)&lt;&gt;0,'Base de Datos Sumaria'!M60," ")</f>
        <v xml:space="preserve"> </v>
      </c>
      <c r="J63" s="10" t="str">
        <f>IF(SUM('Base de Datos Sumaria'!J60:Q60)&lt;&gt;0,'Base de Datos Sumaria'!N60," ")</f>
        <v xml:space="preserve"> </v>
      </c>
      <c r="K63" s="10" t="str">
        <f>IF(SUM('Base de Datos Sumaria'!J60:Q60)&lt;&gt;0,'Base de Datos Sumaria'!O60," ")</f>
        <v xml:space="preserve"> </v>
      </c>
      <c r="L63" s="10" t="str">
        <f>IF(SUM('Base de Datos Sumaria'!J60:Q60)&lt;&gt;0,'Base de Datos Sumaria'!P60," ")</f>
        <v xml:space="preserve"> </v>
      </c>
      <c r="M63" s="10" t="str">
        <f>IF(SUM('Base de Datos Sumaria'!J60:Q60)&lt;&gt;0,'Base de Datos Sumaria'!Q60," ")</f>
        <v xml:space="preserve"> </v>
      </c>
      <c r="N63" s="10" t="str">
        <f>IF(SUM('Base de Datos Sumaria'!J60:Q60)&lt;&gt;0,SUM(F63:M63)," ")</f>
        <v xml:space="preserve"> </v>
      </c>
    </row>
    <row r="64" spans="1:14" ht="12.95" customHeight="1" x14ac:dyDescent="0.2">
      <c r="A64" s="6" t="str">
        <f>IF(SUM('Base de Datos Sumaria'!J61:Q61)&lt;&gt;0,'Base de Datos Sumaria'!C61," ")</f>
        <v>4</v>
      </c>
      <c r="B64" s="6" t="str">
        <f>IF(SUM('Base de Datos Sumaria'!J61:Q61)&lt;&gt;0,'Base de Datos Sumaria'!D61," ")</f>
        <v>202</v>
      </c>
      <c r="C64" s="7">
        <f>IF(SUM('Base de Datos Sumaria'!J61:Q61)&lt;&gt;0,'Base de Datos Sumaria'!H61," ")</f>
        <v>2324</v>
      </c>
      <c r="D64" s="8" t="str">
        <f>IF(SUM('Base de Datos Sumaria'!J61:Q61)&lt;&gt;0,'Base de Datos Maestro'!L61," ")</f>
        <v>MARIA BELARMINA SILVA LONDOÑO</v>
      </c>
      <c r="E64" s="9" t="str">
        <f>IF('Base de Datos Sumaria'!I61&lt;&gt;0,'Base de Datos Sumaria'!I61,"")</f>
        <v/>
      </c>
      <c r="F64" s="10">
        <f>IF(SUM('Base de Datos Sumaria'!J61:Q61)&lt;&gt;0,'Base de Datos Sumaria'!J61,"")</f>
        <v>-8670</v>
      </c>
      <c r="G64" s="10">
        <f>IF(SUM('Base de Datos Sumaria'!J61:Q61)&lt;&gt;0,'Base de Datos Sumaria'!K61," ")</f>
        <v>0</v>
      </c>
      <c r="H64" s="10">
        <f>IF(SUM('Base de Datos Sumaria'!J61:Q61)&lt;&gt;0,'Base de Datos Sumaria'!L61," ")</f>
        <v>0</v>
      </c>
      <c r="I64" s="10">
        <f>IF(SUM('Base de Datos Sumaria'!J61:Q61)&lt;&gt;0,'Base de Datos Sumaria'!M61," ")</f>
        <v>0</v>
      </c>
      <c r="J64" s="10">
        <f>IF(SUM('Base de Datos Sumaria'!J61:Q61)&lt;&gt;0,'Base de Datos Sumaria'!N61," ")</f>
        <v>0</v>
      </c>
      <c r="K64" s="10">
        <f>IF(SUM('Base de Datos Sumaria'!J61:Q61)&lt;&gt;0,'Base de Datos Sumaria'!O61," ")</f>
        <v>0</v>
      </c>
      <c r="L64" s="10">
        <f>IF(SUM('Base de Datos Sumaria'!J61:Q61)&lt;&gt;0,'Base de Datos Sumaria'!P61," ")</f>
        <v>0</v>
      </c>
      <c r="M64" s="10">
        <f>IF(SUM('Base de Datos Sumaria'!J61:Q61)&lt;&gt;0,'Base de Datos Sumaria'!Q61," ")</f>
        <v>0</v>
      </c>
      <c r="N64" s="10">
        <f>IF(SUM('Base de Datos Sumaria'!J61:Q61)&lt;&gt;0,SUM(F64:M64)," ")</f>
        <v>-8670</v>
      </c>
    </row>
    <row r="65" spans="1:14" ht="12.95" customHeight="1" x14ac:dyDescent="0.2">
      <c r="A65" s="6" t="str">
        <f>IF(SUM('Base de Datos Sumaria'!J62:Q62)&lt;&gt;0,'Base de Datos Sumaria'!C62," ")</f>
        <v>4</v>
      </c>
      <c r="B65" s="6" t="str">
        <f>IF(SUM('Base de Datos Sumaria'!J62:Q62)&lt;&gt;0,'Base de Datos Sumaria'!D62," ")</f>
        <v>203</v>
      </c>
      <c r="C65" s="7">
        <f>IF(SUM('Base de Datos Sumaria'!J62:Q62)&lt;&gt;0,'Base de Datos Sumaria'!H62," ")</f>
        <v>2325</v>
      </c>
      <c r="D65" s="8" t="str">
        <f>IF(SUM('Base de Datos Sumaria'!J62:Q62)&lt;&gt;0,'Base de Datos Maestro'!L62," ")</f>
        <v>CARLOS EFREN MONTOYA RAMIREZ</v>
      </c>
      <c r="E65" s="9">
        <f>IF('Base de Datos Sumaria'!I62&lt;&gt;0,'Base de Datos Sumaria'!I62,"")</f>
        <v>30</v>
      </c>
      <c r="F65" s="10">
        <f>IF(SUM('Base de Datos Sumaria'!J62:Q62)&lt;&gt;0,'Base de Datos Sumaria'!J62,"")</f>
        <v>5379527</v>
      </c>
      <c r="G65" s="10">
        <f>IF(SUM('Base de Datos Sumaria'!J62:Q62)&lt;&gt;0,'Base de Datos Sumaria'!K62," ")</f>
        <v>0</v>
      </c>
      <c r="H65" s="10">
        <f>IF(SUM('Base de Datos Sumaria'!J62:Q62)&lt;&gt;0,'Base de Datos Sumaria'!L62," ")</f>
        <v>0</v>
      </c>
      <c r="I65" s="10">
        <f>IF(SUM('Base de Datos Sumaria'!J62:Q62)&lt;&gt;0,'Base de Datos Sumaria'!M62," ")</f>
        <v>40000</v>
      </c>
      <c r="J65" s="10">
        <f>IF(SUM('Base de Datos Sumaria'!J62:Q62)&lt;&gt;0,'Base de Datos Sumaria'!N62," ")</f>
        <v>0</v>
      </c>
      <c r="K65" s="10">
        <f>IF(SUM('Base de Datos Sumaria'!J62:Q62)&lt;&gt;0,'Base de Datos Sumaria'!O62," ")</f>
        <v>0</v>
      </c>
      <c r="L65" s="10">
        <f>IF(SUM('Base de Datos Sumaria'!J62:Q62)&lt;&gt;0,'Base de Datos Sumaria'!P62," ")</f>
        <v>0</v>
      </c>
      <c r="M65" s="10">
        <f>IF(SUM('Base de Datos Sumaria'!J62:Q62)&lt;&gt;0,'Base de Datos Sumaria'!Q62," ")</f>
        <v>0</v>
      </c>
      <c r="N65" s="10">
        <f>IF(SUM('Base de Datos Sumaria'!J62:Q62)&lt;&gt;0,SUM(F65:M65)," ")</f>
        <v>5419527</v>
      </c>
    </row>
    <row r="66" spans="1:14" ht="12.95" customHeight="1" x14ac:dyDescent="0.2">
      <c r="A66" s="6" t="str">
        <f>IF(SUM('Base de Datos Sumaria'!J63:Q63)&lt;&gt;0,'Base de Datos Sumaria'!C63," ")</f>
        <v>4</v>
      </c>
      <c r="B66" s="6" t="str">
        <f>IF(SUM('Base de Datos Sumaria'!J63:Q63)&lt;&gt;0,'Base de Datos Sumaria'!D63," ")</f>
        <v>204</v>
      </c>
      <c r="C66" s="7">
        <f>IF(SUM('Base de Datos Sumaria'!J63:Q63)&lt;&gt;0,'Base de Datos Sumaria'!H63," ")</f>
        <v>2326</v>
      </c>
      <c r="D66" s="8" t="str">
        <f>IF(SUM('Base de Datos Sumaria'!J63:Q63)&lt;&gt;0,'Base de Datos Maestro'!L63," ")</f>
        <v>AUGUSTO BEDOYA ANGEL</v>
      </c>
      <c r="E66" s="9">
        <f>IF('Base de Datos Sumaria'!I63&lt;&gt;0,'Base de Datos Sumaria'!I63,"")</f>
        <v>1</v>
      </c>
      <c r="F66" s="10">
        <f>IF(SUM('Base de Datos Sumaria'!J63:Q63)&lt;&gt;0,'Base de Datos Sumaria'!J63,"")</f>
        <v>196402</v>
      </c>
      <c r="G66" s="10">
        <f>IF(SUM('Base de Datos Sumaria'!J63:Q63)&lt;&gt;0,'Base de Datos Sumaria'!K63," ")</f>
        <v>110</v>
      </c>
      <c r="H66" s="10">
        <f>IF(SUM('Base de Datos Sumaria'!J63:Q63)&lt;&gt;0,'Base de Datos Sumaria'!L63," ")</f>
        <v>0</v>
      </c>
      <c r="I66" s="10">
        <f>IF(SUM('Base de Datos Sumaria'!J63:Q63)&lt;&gt;0,'Base de Datos Sumaria'!M63," ")</f>
        <v>40000</v>
      </c>
      <c r="J66" s="10">
        <f>IF(SUM('Base de Datos Sumaria'!J63:Q63)&lt;&gt;0,'Base de Datos Sumaria'!N63," ")</f>
        <v>0</v>
      </c>
      <c r="K66" s="10">
        <f>IF(SUM('Base de Datos Sumaria'!J63:Q63)&lt;&gt;0,'Base de Datos Sumaria'!O63," ")</f>
        <v>62900</v>
      </c>
      <c r="L66" s="10">
        <f>IF(SUM('Base de Datos Sumaria'!J63:Q63)&lt;&gt;0,'Base de Datos Sumaria'!P63," ")</f>
        <v>0</v>
      </c>
      <c r="M66" s="10">
        <f>IF(SUM('Base de Datos Sumaria'!J63:Q63)&lt;&gt;0,'Base de Datos Sumaria'!Q63," ")</f>
        <v>0</v>
      </c>
      <c r="N66" s="10">
        <f>IF(SUM('Base de Datos Sumaria'!J63:Q63)&lt;&gt;0,SUM(F66:M66)," ")</f>
        <v>299412</v>
      </c>
    </row>
    <row r="67" spans="1:14" ht="12.95" customHeight="1" x14ac:dyDescent="0.2">
      <c r="A67" s="6" t="str">
        <f>IF(SUM('Base de Datos Sumaria'!J64:Q64)&lt;&gt;0,'Base de Datos Sumaria'!C64," ")</f>
        <v xml:space="preserve"> </v>
      </c>
      <c r="B67" s="6" t="str">
        <f>IF(SUM('Base de Datos Sumaria'!J64:Q64)&lt;&gt;0,'Base de Datos Sumaria'!D64," ")</f>
        <v xml:space="preserve"> </v>
      </c>
      <c r="C67" s="7" t="str">
        <f>IF(SUM('Base de Datos Sumaria'!J64:Q64)&lt;&gt;0,'Base de Datos Sumaria'!H64," ")</f>
        <v xml:space="preserve"> </v>
      </c>
      <c r="D67" s="8" t="str">
        <f>IF(SUM('Base de Datos Sumaria'!J64:Q64)&lt;&gt;0,'Base de Datos Maestro'!L64," ")</f>
        <v xml:space="preserve"> </v>
      </c>
      <c r="E67" s="9" t="str">
        <f>IF('Base de Datos Sumaria'!I64&lt;&gt;0,'Base de Datos Sumaria'!I64,"")</f>
        <v/>
      </c>
      <c r="F67" s="10" t="str">
        <f>IF(SUM('Base de Datos Sumaria'!J64:Q64)&lt;&gt;0,'Base de Datos Sumaria'!J64,"")</f>
        <v/>
      </c>
      <c r="G67" s="10" t="str">
        <f>IF(SUM('Base de Datos Sumaria'!J64:Q64)&lt;&gt;0,'Base de Datos Sumaria'!K64," ")</f>
        <v xml:space="preserve"> </v>
      </c>
      <c r="H67" s="10" t="str">
        <f>IF(SUM('Base de Datos Sumaria'!J64:Q64)&lt;&gt;0,'Base de Datos Sumaria'!L64," ")</f>
        <v xml:space="preserve"> </v>
      </c>
      <c r="I67" s="10" t="str">
        <f>IF(SUM('Base de Datos Sumaria'!J64:Q64)&lt;&gt;0,'Base de Datos Sumaria'!M64," ")</f>
        <v xml:space="preserve"> </v>
      </c>
      <c r="J67" s="10" t="str">
        <f>IF(SUM('Base de Datos Sumaria'!J64:Q64)&lt;&gt;0,'Base de Datos Sumaria'!N64," ")</f>
        <v xml:space="preserve"> </v>
      </c>
      <c r="K67" s="10" t="str">
        <f>IF(SUM('Base de Datos Sumaria'!J64:Q64)&lt;&gt;0,'Base de Datos Sumaria'!O64," ")</f>
        <v xml:space="preserve"> </v>
      </c>
      <c r="L67" s="10" t="str">
        <f>IF(SUM('Base de Datos Sumaria'!J64:Q64)&lt;&gt;0,'Base de Datos Sumaria'!P64," ")</f>
        <v xml:space="preserve"> </v>
      </c>
      <c r="M67" s="10" t="str">
        <f>IF(SUM('Base de Datos Sumaria'!J64:Q64)&lt;&gt;0,'Base de Datos Sumaria'!Q64," ")</f>
        <v xml:space="preserve"> </v>
      </c>
      <c r="N67" s="10" t="str">
        <f>IF(SUM('Base de Datos Sumaria'!J64:Q64)&lt;&gt;0,SUM(F67:M67)," ")</f>
        <v xml:space="preserve"> </v>
      </c>
    </row>
    <row r="68" spans="1:14" ht="12.95" customHeight="1" x14ac:dyDescent="0.2">
      <c r="A68" s="6" t="str">
        <f>IF(SUM('Base de Datos Sumaria'!J65:Q65)&lt;&gt;0,'Base de Datos Sumaria'!C65," ")</f>
        <v xml:space="preserve"> </v>
      </c>
      <c r="B68" s="6" t="str">
        <f>IF(SUM('Base de Datos Sumaria'!J65:Q65)&lt;&gt;0,'Base de Datos Sumaria'!D65," ")</f>
        <v xml:space="preserve"> </v>
      </c>
      <c r="C68" s="7" t="str">
        <f>IF(SUM('Base de Datos Sumaria'!J65:Q65)&lt;&gt;0,'Base de Datos Sumaria'!H65," ")</f>
        <v xml:space="preserve"> </v>
      </c>
      <c r="D68" s="8" t="str">
        <f>IF(SUM('Base de Datos Sumaria'!J65:Q65)&lt;&gt;0,'Base de Datos Maestro'!L65," ")</f>
        <v xml:space="preserve"> </v>
      </c>
      <c r="E68" s="9" t="str">
        <f>IF('Base de Datos Sumaria'!I65&lt;&gt;0,'Base de Datos Sumaria'!I65,"")</f>
        <v/>
      </c>
      <c r="F68" s="10" t="str">
        <f>IF(SUM('Base de Datos Sumaria'!J65:Q65)&lt;&gt;0,'Base de Datos Sumaria'!J65,"")</f>
        <v/>
      </c>
      <c r="G68" s="10" t="str">
        <f>IF(SUM('Base de Datos Sumaria'!J65:Q65)&lt;&gt;0,'Base de Datos Sumaria'!K65," ")</f>
        <v xml:space="preserve"> </v>
      </c>
      <c r="H68" s="10" t="str">
        <f>IF(SUM('Base de Datos Sumaria'!J65:Q65)&lt;&gt;0,'Base de Datos Sumaria'!L65," ")</f>
        <v xml:space="preserve"> </v>
      </c>
      <c r="I68" s="10" t="str">
        <f>IF(SUM('Base de Datos Sumaria'!J65:Q65)&lt;&gt;0,'Base de Datos Sumaria'!M65," ")</f>
        <v xml:space="preserve"> </v>
      </c>
      <c r="J68" s="10" t="str">
        <f>IF(SUM('Base de Datos Sumaria'!J65:Q65)&lt;&gt;0,'Base de Datos Sumaria'!N65," ")</f>
        <v xml:space="preserve"> </v>
      </c>
      <c r="K68" s="10" t="str">
        <f>IF(SUM('Base de Datos Sumaria'!J65:Q65)&lt;&gt;0,'Base de Datos Sumaria'!O65," ")</f>
        <v xml:space="preserve"> </v>
      </c>
      <c r="L68" s="10" t="str">
        <f>IF(SUM('Base de Datos Sumaria'!J65:Q65)&lt;&gt;0,'Base de Datos Sumaria'!P65," ")</f>
        <v xml:space="preserve"> </v>
      </c>
      <c r="M68" s="10" t="str">
        <f>IF(SUM('Base de Datos Sumaria'!J65:Q65)&lt;&gt;0,'Base de Datos Sumaria'!Q65," ")</f>
        <v xml:space="preserve"> </v>
      </c>
      <c r="N68" s="10" t="str">
        <f>IF(SUM('Base de Datos Sumaria'!J65:Q65)&lt;&gt;0,SUM(F68:M68)," ")</f>
        <v xml:space="preserve"> </v>
      </c>
    </row>
    <row r="69" spans="1:14" ht="12.95" customHeight="1" x14ac:dyDescent="0.2">
      <c r="A69" s="6" t="str">
        <f>IF(SUM('Base de Datos Sumaria'!J66:Q66)&lt;&gt;0,'Base de Datos Sumaria'!C66," ")</f>
        <v xml:space="preserve"> </v>
      </c>
      <c r="B69" s="6" t="str">
        <f>IF(SUM('Base de Datos Sumaria'!J66:Q66)&lt;&gt;0,'Base de Datos Sumaria'!D66," ")</f>
        <v xml:space="preserve"> </v>
      </c>
      <c r="C69" s="7" t="str">
        <f>IF(SUM('Base de Datos Sumaria'!J66:Q66)&lt;&gt;0,'Base de Datos Sumaria'!H66," ")</f>
        <v xml:space="preserve"> </v>
      </c>
      <c r="D69" s="8" t="str">
        <f>IF(SUM('Base de Datos Sumaria'!J66:Q66)&lt;&gt;0,'Base de Datos Maestro'!L66," ")</f>
        <v xml:space="preserve"> </v>
      </c>
      <c r="E69" s="9" t="str">
        <f>IF('Base de Datos Sumaria'!I66&lt;&gt;0,'Base de Datos Sumaria'!I66,"")</f>
        <v/>
      </c>
      <c r="F69" s="10" t="str">
        <f>IF(SUM('Base de Datos Sumaria'!J66:Q66)&lt;&gt;0,'Base de Datos Sumaria'!J66,"")</f>
        <v/>
      </c>
      <c r="G69" s="10" t="str">
        <f>IF(SUM('Base de Datos Sumaria'!J66:Q66)&lt;&gt;0,'Base de Datos Sumaria'!K66," ")</f>
        <v xml:space="preserve"> </v>
      </c>
      <c r="H69" s="10" t="str">
        <f>IF(SUM('Base de Datos Sumaria'!J66:Q66)&lt;&gt;0,'Base de Datos Sumaria'!L66," ")</f>
        <v xml:space="preserve"> </v>
      </c>
      <c r="I69" s="10" t="str">
        <f>IF(SUM('Base de Datos Sumaria'!J66:Q66)&lt;&gt;0,'Base de Datos Sumaria'!M66," ")</f>
        <v xml:space="preserve"> </v>
      </c>
      <c r="J69" s="10" t="str">
        <f>IF(SUM('Base de Datos Sumaria'!J66:Q66)&lt;&gt;0,'Base de Datos Sumaria'!N66," ")</f>
        <v xml:space="preserve"> </v>
      </c>
      <c r="K69" s="10" t="str">
        <f>IF(SUM('Base de Datos Sumaria'!J66:Q66)&lt;&gt;0,'Base de Datos Sumaria'!O66," ")</f>
        <v xml:space="preserve"> </v>
      </c>
      <c r="L69" s="10" t="str">
        <f>IF(SUM('Base de Datos Sumaria'!J66:Q66)&lt;&gt;0,'Base de Datos Sumaria'!P66," ")</f>
        <v xml:space="preserve"> </v>
      </c>
      <c r="M69" s="10" t="str">
        <f>IF(SUM('Base de Datos Sumaria'!J66:Q66)&lt;&gt;0,'Base de Datos Sumaria'!Q66," ")</f>
        <v xml:space="preserve"> </v>
      </c>
      <c r="N69" s="10" t="str">
        <f>IF(SUM('Base de Datos Sumaria'!J66:Q66)&lt;&gt;0,SUM(F69:M69)," ")</f>
        <v xml:space="preserve"> </v>
      </c>
    </row>
    <row r="70" spans="1:14" ht="12.95" customHeight="1" x14ac:dyDescent="0.2">
      <c r="A70" s="6" t="str">
        <f>IF(SUM('Base de Datos Sumaria'!J67:Q67)&lt;&gt;0,'Base de Datos Sumaria'!C67," ")</f>
        <v xml:space="preserve"> </v>
      </c>
      <c r="B70" s="6" t="str">
        <f>IF(SUM('Base de Datos Sumaria'!J67:Q67)&lt;&gt;0,'Base de Datos Sumaria'!D67," ")</f>
        <v xml:space="preserve"> </v>
      </c>
      <c r="C70" s="7" t="str">
        <f>IF(SUM('Base de Datos Sumaria'!J67:Q67)&lt;&gt;0,'Base de Datos Sumaria'!H67," ")</f>
        <v xml:space="preserve"> </v>
      </c>
      <c r="D70" s="8" t="str">
        <f>IF(SUM('Base de Datos Sumaria'!J67:Q67)&lt;&gt;0,'Base de Datos Maestro'!L67," ")</f>
        <v xml:space="preserve"> </v>
      </c>
      <c r="E70" s="9" t="str">
        <f>IF('Base de Datos Sumaria'!I67&lt;&gt;0,'Base de Datos Sumaria'!I67,"")</f>
        <v/>
      </c>
      <c r="F70" s="10" t="str">
        <f>IF(SUM('Base de Datos Sumaria'!J67:Q67)&lt;&gt;0,'Base de Datos Sumaria'!J67,"")</f>
        <v/>
      </c>
      <c r="G70" s="10" t="str">
        <f>IF(SUM('Base de Datos Sumaria'!J67:Q67)&lt;&gt;0,'Base de Datos Sumaria'!K67," ")</f>
        <v xml:space="preserve"> </v>
      </c>
      <c r="H70" s="10" t="str">
        <f>IF(SUM('Base de Datos Sumaria'!J67:Q67)&lt;&gt;0,'Base de Datos Sumaria'!L67," ")</f>
        <v xml:space="preserve"> </v>
      </c>
      <c r="I70" s="10" t="str">
        <f>IF(SUM('Base de Datos Sumaria'!J67:Q67)&lt;&gt;0,'Base de Datos Sumaria'!M67," ")</f>
        <v xml:space="preserve"> </v>
      </c>
      <c r="J70" s="10" t="str">
        <f>IF(SUM('Base de Datos Sumaria'!J67:Q67)&lt;&gt;0,'Base de Datos Sumaria'!N67," ")</f>
        <v xml:space="preserve"> </v>
      </c>
      <c r="K70" s="10" t="str">
        <f>IF(SUM('Base de Datos Sumaria'!J67:Q67)&lt;&gt;0,'Base de Datos Sumaria'!O67," ")</f>
        <v xml:space="preserve"> </v>
      </c>
      <c r="L70" s="10" t="str">
        <f>IF(SUM('Base de Datos Sumaria'!J67:Q67)&lt;&gt;0,'Base de Datos Sumaria'!P67," ")</f>
        <v xml:space="preserve"> </v>
      </c>
      <c r="M70" s="10" t="str">
        <f>IF(SUM('Base de Datos Sumaria'!J67:Q67)&lt;&gt;0,'Base de Datos Sumaria'!Q67," ")</f>
        <v xml:space="preserve"> </v>
      </c>
      <c r="N70" s="10" t="str">
        <f>IF(SUM('Base de Datos Sumaria'!J67:Q67)&lt;&gt;0,SUM(F70:M70)," ")</f>
        <v xml:space="preserve"> </v>
      </c>
    </row>
    <row r="71" spans="1:14" ht="12.95" customHeight="1" x14ac:dyDescent="0.2">
      <c r="A71" s="6" t="str">
        <f>IF(SUM('Base de Datos Sumaria'!J68:Q68)&lt;&gt;0,'Base de Datos Sumaria'!C68," ")</f>
        <v>4</v>
      </c>
      <c r="B71" s="6" t="str">
        <f>IF(SUM('Base de Datos Sumaria'!J68:Q68)&lt;&gt;0,'Base de Datos Sumaria'!D68," ")</f>
        <v>301</v>
      </c>
      <c r="C71" s="7">
        <f>IF(SUM('Base de Datos Sumaria'!J68:Q68)&lt;&gt;0,'Base de Datos Sumaria'!H68," ")</f>
        <v>2331</v>
      </c>
      <c r="D71" s="8" t="str">
        <f>IF(SUM('Base de Datos Sumaria'!J68:Q68)&lt;&gt;0,'Base de Datos Maestro'!L68," ")</f>
        <v>CELMIRA DEL SOCORRO TOBON VELA</v>
      </c>
      <c r="E71" s="9" t="str">
        <f>IF('Base de Datos Sumaria'!I68&lt;&gt;0,'Base de Datos Sumaria'!I68,"")</f>
        <v/>
      </c>
      <c r="F71" s="10">
        <f>IF(SUM('Base de Datos Sumaria'!J68:Q68)&lt;&gt;0,'Base de Datos Sumaria'!J68,"")</f>
        <v>-5990</v>
      </c>
      <c r="G71" s="10">
        <f>IF(SUM('Base de Datos Sumaria'!J68:Q68)&lt;&gt;0,'Base de Datos Sumaria'!K68," ")</f>
        <v>0</v>
      </c>
      <c r="H71" s="10">
        <f>IF(SUM('Base de Datos Sumaria'!J68:Q68)&lt;&gt;0,'Base de Datos Sumaria'!L68," ")</f>
        <v>0</v>
      </c>
      <c r="I71" s="10">
        <f>IF(SUM('Base de Datos Sumaria'!J68:Q68)&lt;&gt;0,'Base de Datos Sumaria'!M68," ")</f>
        <v>0</v>
      </c>
      <c r="J71" s="10">
        <f>IF(SUM('Base de Datos Sumaria'!J68:Q68)&lt;&gt;0,'Base de Datos Sumaria'!N68," ")</f>
        <v>0</v>
      </c>
      <c r="K71" s="10">
        <f>IF(SUM('Base de Datos Sumaria'!J68:Q68)&lt;&gt;0,'Base de Datos Sumaria'!O68," ")</f>
        <v>0</v>
      </c>
      <c r="L71" s="10">
        <f>IF(SUM('Base de Datos Sumaria'!J68:Q68)&lt;&gt;0,'Base de Datos Sumaria'!P68," ")</f>
        <v>0</v>
      </c>
      <c r="M71" s="10">
        <f>IF(SUM('Base de Datos Sumaria'!J68:Q68)&lt;&gt;0,'Base de Datos Sumaria'!Q68," ")</f>
        <v>0</v>
      </c>
      <c r="N71" s="10">
        <f>IF(SUM('Base de Datos Sumaria'!J68:Q68)&lt;&gt;0,SUM(F71:M71)," ")</f>
        <v>-5990</v>
      </c>
    </row>
    <row r="72" spans="1:14" ht="12.95" customHeight="1" x14ac:dyDescent="0.2">
      <c r="A72" s="6" t="str">
        <f>IF(SUM('Base de Datos Sumaria'!J69:Q69)&lt;&gt;0,'Base de Datos Sumaria'!C69," ")</f>
        <v>4</v>
      </c>
      <c r="B72" s="6" t="str">
        <f>IF(SUM('Base de Datos Sumaria'!J69:Q69)&lt;&gt;0,'Base de Datos Sumaria'!D69," ")</f>
        <v>302</v>
      </c>
      <c r="C72" s="7">
        <f>IF(SUM('Base de Datos Sumaria'!J69:Q69)&lt;&gt;0,'Base de Datos Sumaria'!H69," ")</f>
        <v>2332</v>
      </c>
      <c r="D72" s="8" t="str">
        <f>IF(SUM('Base de Datos Sumaria'!J69:Q69)&lt;&gt;0,'Base de Datos Maestro'!L69," ")</f>
        <v>CARLOS MARIO ARANGO PUERTA</v>
      </c>
      <c r="E72" s="9" t="str">
        <f>IF('Base de Datos Sumaria'!I69&lt;&gt;0,'Base de Datos Sumaria'!I69,"")</f>
        <v/>
      </c>
      <c r="F72" s="10">
        <f>IF(SUM('Base de Datos Sumaria'!J69:Q69)&lt;&gt;0,'Base de Datos Sumaria'!J69,"")</f>
        <v>-100</v>
      </c>
      <c r="G72" s="10">
        <f>IF(SUM('Base de Datos Sumaria'!J69:Q69)&lt;&gt;0,'Base de Datos Sumaria'!K69," ")</f>
        <v>0</v>
      </c>
      <c r="H72" s="10">
        <f>IF(SUM('Base de Datos Sumaria'!J69:Q69)&lt;&gt;0,'Base de Datos Sumaria'!L69," ")</f>
        <v>0</v>
      </c>
      <c r="I72" s="10">
        <f>IF(SUM('Base de Datos Sumaria'!J69:Q69)&lt;&gt;0,'Base de Datos Sumaria'!M69," ")</f>
        <v>0</v>
      </c>
      <c r="J72" s="10">
        <f>IF(SUM('Base de Datos Sumaria'!J69:Q69)&lt;&gt;0,'Base de Datos Sumaria'!N69," ")</f>
        <v>0</v>
      </c>
      <c r="K72" s="10">
        <f>IF(SUM('Base de Datos Sumaria'!J69:Q69)&lt;&gt;0,'Base de Datos Sumaria'!O69," ")</f>
        <v>0</v>
      </c>
      <c r="L72" s="10">
        <f>IF(SUM('Base de Datos Sumaria'!J69:Q69)&lt;&gt;0,'Base de Datos Sumaria'!P69," ")</f>
        <v>0</v>
      </c>
      <c r="M72" s="10">
        <f>IF(SUM('Base de Datos Sumaria'!J69:Q69)&lt;&gt;0,'Base de Datos Sumaria'!Q69," ")</f>
        <v>0</v>
      </c>
      <c r="N72" s="10">
        <f>IF(SUM('Base de Datos Sumaria'!J69:Q69)&lt;&gt;0,SUM(F72:M72)," ")</f>
        <v>-100</v>
      </c>
    </row>
    <row r="73" spans="1:14" ht="12.95" customHeight="1" x14ac:dyDescent="0.2">
      <c r="A73" s="6" t="str">
        <f>IF(SUM('Base de Datos Sumaria'!J70:Q70)&lt;&gt;0,'Base de Datos Sumaria'!C70," ")</f>
        <v xml:space="preserve"> </v>
      </c>
      <c r="B73" s="6" t="str">
        <f>IF(SUM('Base de Datos Sumaria'!J70:Q70)&lt;&gt;0,'Base de Datos Sumaria'!D70," ")</f>
        <v xml:space="preserve"> </v>
      </c>
      <c r="C73" s="7" t="str">
        <f>IF(SUM('Base de Datos Sumaria'!J70:Q70)&lt;&gt;0,'Base de Datos Sumaria'!H70," ")</f>
        <v xml:space="preserve"> </v>
      </c>
      <c r="D73" s="8" t="str">
        <f>IF(SUM('Base de Datos Sumaria'!J70:Q70)&lt;&gt;0,'Base de Datos Maestro'!L70," ")</f>
        <v xml:space="preserve"> </v>
      </c>
      <c r="E73" s="9" t="str">
        <f>IF('Base de Datos Sumaria'!I70&lt;&gt;0,'Base de Datos Sumaria'!I70,"")</f>
        <v/>
      </c>
      <c r="F73" s="10" t="str">
        <f>IF(SUM('Base de Datos Sumaria'!J70:Q70)&lt;&gt;0,'Base de Datos Sumaria'!J70,"")</f>
        <v/>
      </c>
      <c r="G73" s="10" t="str">
        <f>IF(SUM('Base de Datos Sumaria'!J70:Q70)&lt;&gt;0,'Base de Datos Sumaria'!K70," ")</f>
        <v xml:space="preserve"> </v>
      </c>
      <c r="H73" s="10" t="str">
        <f>IF(SUM('Base de Datos Sumaria'!J70:Q70)&lt;&gt;0,'Base de Datos Sumaria'!L70," ")</f>
        <v xml:space="preserve"> </v>
      </c>
      <c r="I73" s="10" t="str">
        <f>IF(SUM('Base de Datos Sumaria'!J70:Q70)&lt;&gt;0,'Base de Datos Sumaria'!M70," ")</f>
        <v xml:space="preserve"> </v>
      </c>
      <c r="J73" s="10" t="str">
        <f>IF(SUM('Base de Datos Sumaria'!J70:Q70)&lt;&gt;0,'Base de Datos Sumaria'!N70," ")</f>
        <v xml:space="preserve"> </v>
      </c>
      <c r="K73" s="10" t="str">
        <f>IF(SUM('Base de Datos Sumaria'!J70:Q70)&lt;&gt;0,'Base de Datos Sumaria'!O70," ")</f>
        <v xml:space="preserve"> </v>
      </c>
      <c r="L73" s="10" t="str">
        <f>IF(SUM('Base de Datos Sumaria'!J70:Q70)&lt;&gt;0,'Base de Datos Sumaria'!P70," ")</f>
        <v xml:space="preserve"> </v>
      </c>
      <c r="M73" s="10" t="str">
        <f>IF(SUM('Base de Datos Sumaria'!J70:Q70)&lt;&gt;0,'Base de Datos Sumaria'!Q70," ")</f>
        <v xml:space="preserve"> </v>
      </c>
      <c r="N73" s="10" t="str">
        <f>IF(SUM('Base de Datos Sumaria'!J70:Q70)&lt;&gt;0,SUM(F73:M73)," ")</f>
        <v xml:space="preserve"> </v>
      </c>
    </row>
    <row r="74" spans="1:14" ht="12.95" customHeight="1" x14ac:dyDescent="0.2">
      <c r="A74" s="6" t="str">
        <f>IF(SUM('Base de Datos Sumaria'!J71:Q71)&lt;&gt;0,'Base de Datos Sumaria'!C71," ")</f>
        <v xml:space="preserve"> </v>
      </c>
      <c r="B74" s="6" t="str">
        <f>IF(SUM('Base de Datos Sumaria'!J71:Q71)&lt;&gt;0,'Base de Datos Sumaria'!D71," ")</f>
        <v xml:space="preserve"> </v>
      </c>
      <c r="C74" s="7" t="str">
        <f>IF(SUM('Base de Datos Sumaria'!J71:Q71)&lt;&gt;0,'Base de Datos Sumaria'!H71," ")</f>
        <v xml:space="preserve"> </v>
      </c>
      <c r="D74" s="8" t="str">
        <f>IF(SUM('Base de Datos Sumaria'!J71:Q71)&lt;&gt;0,'Base de Datos Maestro'!L71," ")</f>
        <v xml:space="preserve"> </v>
      </c>
      <c r="E74" s="9" t="str">
        <f>IF('Base de Datos Sumaria'!I71&lt;&gt;0,'Base de Datos Sumaria'!I71,"")</f>
        <v/>
      </c>
      <c r="F74" s="10" t="str">
        <f>IF(SUM('Base de Datos Sumaria'!J71:Q71)&lt;&gt;0,'Base de Datos Sumaria'!J71,"")</f>
        <v/>
      </c>
      <c r="G74" s="10" t="str">
        <f>IF(SUM('Base de Datos Sumaria'!J71:Q71)&lt;&gt;0,'Base de Datos Sumaria'!K71," ")</f>
        <v xml:space="preserve"> </v>
      </c>
      <c r="H74" s="10" t="str">
        <f>IF(SUM('Base de Datos Sumaria'!J71:Q71)&lt;&gt;0,'Base de Datos Sumaria'!L71," ")</f>
        <v xml:space="preserve"> </v>
      </c>
      <c r="I74" s="10" t="str">
        <f>IF(SUM('Base de Datos Sumaria'!J71:Q71)&lt;&gt;0,'Base de Datos Sumaria'!M71," ")</f>
        <v xml:space="preserve"> </v>
      </c>
      <c r="J74" s="10" t="str">
        <f>IF(SUM('Base de Datos Sumaria'!J71:Q71)&lt;&gt;0,'Base de Datos Sumaria'!N71," ")</f>
        <v xml:space="preserve"> </v>
      </c>
      <c r="K74" s="10" t="str">
        <f>IF(SUM('Base de Datos Sumaria'!J71:Q71)&lt;&gt;0,'Base de Datos Sumaria'!O71," ")</f>
        <v xml:space="preserve"> </v>
      </c>
      <c r="L74" s="10" t="str">
        <f>IF(SUM('Base de Datos Sumaria'!J71:Q71)&lt;&gt;0,'Base de Datos Sumaria'!P71," ")</f>
        <v xml:space="preserve"> </v>
      </c>
      <c r="M74" s="10" t="str">
        <f>IF(SUM('Base de Datos Sumaria'!J71:Q71)&lt;&gt;0,'Base de Datos Sumaria'!Q71," ")</f>
        <v xml:space="preserve"> </v>
      </c>
      <c r="N74" s="10" t="str">
        <f>IF(SUM('Base de Datos Sumaria'!J71:Q71)&lt;&gt;0,SUM(F74:M74)," ")</f>
        <v xml:space="preserve"> </v>
      </c>
    </row>
    <row r="75" spans="1:14" ht="12.95" customHeight="1" x14ac:dyDescent="0.2">
      <c r="A75" s="6" t="str">
        <f>IF(SUM('Base de Datos Sumaria'!J72:Q72)&lt;&gt;0,'Base de Datos Sumaria'!C72," ")</f>
        <v xml:space="preserve"> </v>
      </c>
      <c r="B75" s="6" t="str">
        <f>IF(SUM('Base de Datos Sumaria'!J72:Q72)&lt;&gt;0,'Base de Datos Sumaria'!D72," ")</f>
        <v xml:space="preserve"> </v>
      </c>
      <c r="C75" s="7" t="str">
        <f>IF(SUM('Base de Datos Sumaria'!J72:Q72)&lt;&gt;0,'Base de Datos Sumaria'!H72," ")</f>
        <v xml:space="preserve"> </v>
      </c>
      <c r="D75" s="8" t="str">
        <f>IF(SUM('Base de Datos Sumaria'!J72:Q72)&lt;&gt;0,'Base de Datos Maestro'!L72," ")</f>
        <v xml:space="preserve"> </v>
      </c>
      <c r="E75" s="9" t="str">
        <f>IF('Base de Datos Sumaria'!I72&lt;&gt;0,'Base de Datos Sumaria'!I72,"")</f>
        <v/>
      </c>
      <c r="F75" s="10" t="str">
        <f>IF(SUM('Base de Datos Sumaria'!J72:Q72)&lt;&gt;0,'Base de Datos Sumaria'!J72,"")</f>
        <v/>
      </c>
      <c r="G75" s="10" t="str">
        <f>IF(SUM('Base de Datos Sumaria'!J72:Q72)&lt;&gt;0,'Base de Datos Sumaria'!K72," ")</f>
        <v xml:space="preserve"> </v>
      </c>
      <c r="H75" s="10" t="str">
        <f>IF(SUM('Base de Datos Sumaria'!J72:Q72)&lt;&gt;0,'Base de Datos Sumaria'!L72," ")</f>
        <v xml:space="preserve"> </v>
      </c>
      <c r="I75" s="10" t="str">
        <f>IF(SUM('Base de Datos Sumaria'!J72:Q72)&lt;&gt;0,'Base de Datos Sumaria'!M72," ")</f>
        <v xml:space="preserve"> </v>
      </c>
      <c r="J75" s="10" t="str">
        <f>IF(SUM('Base de Datos Sumaria'!J72:Q72)&lt;&gt;0,'Base de Datos Sumaria'!N72," ")</f>
        <v xml:space="preserve"> </v>
      </c>
      <c r="K75" s="10" t="str">
        <f>IF(SUM('Base de Datos Sumaria'!J72:Q72)&lt;&gt;0,'Base de Datos Sumaria'!O72," ")</f>
        <v xml:space="preserve"> </v>
      </c>
      <c r="L75" s="10" t="str">
        <f>IF(SUM('Base de Datos Sumaria'!J72:Q72)&lt;&gt;0,'Base de Datos Sumaria'!P72," ")</f>
        <v xml:space="preserve"> </v>
      </c>
      <c r="M75" s="10" t="str">
        <f>IF(SUM('Base de Datos Sumaria'!J72:Q72)&lt;&gt;0,'Base de Datos Sumaria'!Q72," ")</f>
        <v xml:space="preserve"> </v>
      </c>
      <c r="N75" s="10" t="str">
        <f>IF(SUM('Base de Datos Sumaria'!J72:Q72)&lt;&gt;0,SUM(F75:M75)," ")</f>
        <v xml:space="preserve"> </v>
      </c>
    </row>
    <row r="76" spans="1:14" ht="12.95" customHeight="1" x14ac:dyDescent="0.2">
      <c r="A76" s="6" t="str">
        <f>IF(SUM('Base de Datos Sumaria'!J73:Q73)&lt;&gt;0,'Base de Datos Sumaria'!C73," ")</f>
        <v xml:space="preserve"> </v>
      </c>
      <c r="B76" s="6" t="str">
        <f>IF(SUM('Base de Datos Sumaria'!J73:Q73)&lt;&gt;0,'Base de Datos Sumaria'!D73," ")</f>
        <v xml:space="preserve"> </v>
      </c>
      <c r="C76" s="7" t="str">
        <f>IF(SUM('Base de Datos Sumaria'!J73:Q73)&lt;&gt;0,'Base de Datos Sumaria'!H73," ")</f>
        <v xml:space="preserve"> </v>
      </c>
      <c r="D76" s="8" t="str">
        <f>IF(SUM('Base de Datos Sumaria'!J73:Q73)&lt;&gt;0,'Base de Datos Maestro'!L73," ")</f>
        <v xml:space="preserve"> </v>
      </c>
      <c r="E76" s="9" t="str">
        <f>IF('Base de Datos Sumaria'!I73&lt;&gt;0,'Base de Datos Sumaria'!I73,"")</f>
        <v/>
      </c>
      <c r="F76" s="10" t="str">
        <f>IF(SUM('Base de Datos Sumaria'!J73:Q73)&lt;&gt;0,'Base de Datos Sumaria'!J73,"")</f>
        <v/>
      </c>
      <c r="G76" s="10" t="str">
        <f>IF(SUM('Base de Datos Sumaria'!J73:Q73)&lt;&gt;0,'Base de Datos Sumaria'!K73," ")</f>
        <v xml:space="preserve"> </v>
      </c>
      <c r="H76" s="10" t="str">
        <f>IF(SUM('Base de Datos Sumaria'!J73:Q73)&lt;&gt;0,'Base de Datos Sumaria'!L73," ")</f>
        <v xml:space="preserve"> </v>
      </c>
      <c r="I76" s="10" t="str">
        <f>IF(SUM('Base de Datos Sumaria'!J73:Q73)&lt;&gt;0,'Base de Datos Sumaria'!M73," ")</f>
        <v xml:space="preserve"> </v>
      </c>
      <c r="J76" s="10" t="str">
        <f>IF(SUM('Base de Datos Sumaria'!J73:Q73)&lt;&gt;0,'Base de Datos Sumaria'!N73," ")</f>
        <v xml:space="preserve"> </v>
      </c>
      <c r="K76" s="10" t="str">
        <f>IF(SUM('Base de Datos Sumaria'!J73:Q73)&lt;&gt;0,'Base de Datos Sumaria'!O73," ")</f>
        <v xml:space="preserve"> </v>
      </c>
      <c r="L76" s="10" t="str">
        <f>IF(SUM('Base de Datos Sumaria'!J73:Q73)&lt;&gt;0,'Base de Datos Sumaria'!P73," ")</f>
        <v xml:space="preserve"> </v>
      </c>
      <c r="M76" s="10" t="str">
        <f>IF(SUM('Base de Datos Sumaria'!J73:Q73)&lt;&gt;0,'Base de Datos Sumaria'!Q73," ")</f>
        <v xml:space="preserve"> </v>
      </c>
      <c r="N76" s="10" t="str">
        <f>IF(SUM('Base de Datos Sumaria'!J73:Q73)&lt;&gt;0,SUM(F76:M76)," ")</f>
        <v xml:space="preserve"> </v>
      </c>
    </row>
    <row r="77" spans="1:14" ht="12.95" customHeight="1" x14ac:dyDescent="0.2">
      <c r="A77" s="6" t="str">
        <f>IF(SUM('Base de Datos Sumaria'!J74:Q74)&lt;&gt;0,'Base de Datos Sumaria'!C74," ")</f>
        <v>4</v>
      </c>
      <c r="B77" s="6" t="str">
        <f>IF(SUM('Base de Datos Sumaria'!J74:Q74)&lt;&gt;0,'Base de Datos Sumaria'!D74," ")</f>
        <v>307</v>
      </c>
      <c r="C77" s="7">
        <f>IF(SUM('Base de Datos Sumaria'!J74:Q74)&lt;&gt;0,'Base de Datos Sumaria'!H74," ")</f>
        <v>2337</v>
      </c>
      <c r="D77" s="8" t="str">
        <f>IF(SUM('Base de Datos Sumaria'!J74:Q74)&lt;&gt;0,'Base de Datos Maestro'!L74," ")</f>
        <v>DEISY ALEXANDRA ARROYAVE</v>
      </c>
      <c r="E77" s="9">
        <f>IF('Base de Datos Sumaria'!I74&lt;&gt;0,'Base de Datos Sumaria'!I74,"")</f>
        <v>2</v>
      </c>
      <c r="F77" s="10">
        <f>IF(SUM('Base de Datos Sumaria'!J74:Q74)&lt;&gt;0,'Base de Datos Sumaria'!J74,"")</f>
        <v>236200</v>
      </c>
      <c r="G77" s="10">
        <f>IF(SUM('Base de Datos Sumaria'!J74:Q74)&lt;&gt;0,'Base de Datos Sumaria'!K74," ")</f>
        <v>0</v>
      </c>
      <c r="H77" s="10">
        <f>IF(SUM('Base de Datos Sumaria'!J74:Q74)&lt;&gt;0,'Base de Datos Sumaria'!L74," ")</f>
        <v>0</v>
      </c>
      <c r="I77" s="10">
        <f>IF(SUM('Base de Datos Sumaria'!J74:Q74)&lt;&gt;0,'Base de Datos Sumaria'!M74," ")</f>
        <v>0</v>
      </c>
      <c r="J77" s="10">
        <f>IF(SUM('Base de Datos Sumaria'!J74:Q74)&lt;&gt;0,'Base de Datos Sumaria'!N74," ")</f>
        <v>0</v>
      </c>
      <c r="K77" s="10">
        <f>IF(SUM('Base de Datos Sumaria'!J74:Q74)&lt;&gt;0,'Base de Datos Sumaria'!O74," ")</f>
        <v>0</v>
      </c>
      <c r="L77" s="10">
        <f>IF(SUM('Base de Datos Sumaria'!J74:Q74)&lt;&gt;0,'Base de Datos Sumaria'!P74," ")</f>
        <v>0</v>
      </c>
      <c r="M77" s="10">
        <f>IF(SUM('Base de Datos Sumaria'!J74:Q74)&lt;&gt;0,'Base de Datos Sumaria'!Q74," ")</f>
        <v>0</v>
      </c>
      <c r="N77" s="10">
        <f>IF(SUM('Base de Datos Sumaria'!J74:Q74)&lt;&gt;0,SUM(F77:M77)," ")</f>
        <v>236200</v>
      </c>
    </row>
    <row r="78" spans="1:14" ht="12.95" customHeight="1" x14ac:dyDescent="0.2">
      <c r="A78" s="6" t="str">
        <f>IF(SUM('Base de Datos Sumaria'!J75:Q75)&lt;&gt;0,'Base de Datos Sumaria'!C75," ")</f>
        <v xml:space="preserve"> </v>
      </c>
      <c r="B78" s="6" t="str">
        <f>IF(SUM('Base de Datos Sumaria'!J75:Q75)&lt;&gt;0,'Base de Datos Sumaria'!D75," ")</f>
        <v xml:space="preserve"> </v>
      </c>
      <c r="C78" s="7" t="str">
        <f>IF(SUM('Base de Datos Sumaria'!J75:Q75)&lt;&gt;0,'Base de Datos Sumaria'!H75," ")</f>
        <v xml:space="preserve"> </v>
      </c>
      <c r="D78" s="8" t="str">
        <f>IF(SUM('Base de Datos Sumaria'!J75:Q75)&lt;&gt;0,'Base de Datos Maestro'!L75," ")</f>
        <v xml:space="preserve"> </v>
      </c>
      <c r="E78" s="9" t="str">
        <f>IF('Base de Datos Sumaria'!I75&lt;&gt;0,'Base de Datos Sumaria'!I75,"")</f>
        <v/>
      </c>
      <c r="F78" s="10" t="str">
        <f>IF(SUM('Base de Datos Sumaria'!J75:Q75)&lt;&gt;0,'Base de Datos Sumaria'!J75,"")</f>
        <v/>
      </c>
      <c r="G78" s="10" t="str">
        <f>IF(SUM('Base de Datos Sumaria'!J75:Q75)&lt;&gt;0,'Base de Datos Sumaria'!K75," ")</f>
        <v xml:space="preserve"> </v>
      </c>
      <c r="H78" s="10" t="str">
        <f>IF(SUM('Base de Datos Sumaria'!J75:Q75)&lt;&gt;0,'Base de Datos Sumaria'!L75," ")</f>
        <v xml:space="preserve"> </v>
      </c>
      <c r="I78" s="10" t="str">
        <f>IF(SUM('Base de Datos Sumaria'!J75:Q75)&lt;&gt;0,'Base de Datos Sumaria'!M75," ")</f>
        <v xml:space="preserve"> </v>
      </c>
      <c r="J78" s="10" t="str">
        <f>IF(SUM('Base de Datos Sumaria'!J75:Q75)&lt;&gt;0,'Base de Datos Sumaria'!N75," ")</f>
        <v xml:space="preserve"> </v>
      </c>
      <c r="K78" s="10" t="str">
        <f>IF(SUM('Base de Datos Sumaria'!J75:Q75)&lt;&gt;0,'Base de Datos Sumaria'!O75," ")</f>
        <v xml:space="preserve"> </v>
      </c>
      <c r="L78" s="10" t="str">
        <f>IF(SUM('Base de Datos Sumaria'!J75:Q75)&lt;&gt;0,'Base de Datos Sumaria'!P75," ")</f>
        <v xml:space="preserve"> </v>
      </c>
      <c r="M78" s="10" t="str">
        <f>IF(SUM('Base de Datos Sumaria'!J75:Q75)&lt;&gt;0,'Base de Datos Sumaria'!Q75," ")</f>
        <v xml:space="preserve"> </v>
      </c>
      <c r="N78" s="10" t="str">
        <f>IF(SUM('Base de Datos Sumaria'!J75:Q75)&lt;&gt;0,SUM(F78:M78)," ")</f>
        <v xml:space="preserve"> </v>
      </c>
    </row>
    <row r="79" spans="1:14" ht="12.95" customHeight="1" x14ac:dyDescent="0.2">
      <c r="A79" s="6" t="str">
        <f>IF(SUM('Base de Datos Sumaria'!J76:Q76)&lt;&gt;0,'Base de Datos Sumaria'!C76," ")</f>
        <v xml:space="preserve"> </v>
      </c>
      <c r="B79" s="6" t="str">
        <f>IF(SUM('Base de Datos Sumaria'!J76:Q76)&lt;&gt;0,'Base de Datos Sumaria'!D76," ")</f>
        <v xml:space="preserve"> </v>
      </c>
      <c r="C79" s="7" t="str">
        <f>IF(SUM('Base de Datos Sumaria'!J76:Q76)&lt;&gt;0,'Base de Datos Sumaria'!H76," ")</f>
        <v xml:space="preserve"> </v>
      </c>
      <c r="D79" s="8" t="str">
        <f>IF(SUM('Base de Datos Sumaria'!J76:Q76)&lt;&gt;0,'Base de Datos Maestro'!L76," ")</f>
        <v xml:space="preserve"> </v>
      </c>
      <c r="E79" s="9" t="str">
        <f>IF('Base de Datos Sumaria'!I76&lt;&gt;0,'Base de Datos Sumaria'!I76,"")</f>
        <v/>
      </c>
      <c r="F79" s="10" t="str">
        <f>IF(SUM('Base de Datos Sumaria'!J76:Q76)&lt;&gt;0,'Base de Datos Sumaria'!J76,"")</f>
        <v/>
      </c>
      <c r="G79" s="10" t="str">
        <f>IF(SUM('Base de Datos Sumaria'!J76:Q76)&lt;&gt;0,'Base de Datos Sumaria'!K76," ")</f>
        <v xml:space="preserve"> </v>
      </c>
      <c r="H79" s="10" t="str">
        <f>IF(SUM('Base de Datos Sumaria'!J76:Q76)&lt;&gt;0,'Base de Datos Sumaria'!L76," ")</f>
        <v xml:space="preserve"> </v>
      </c>
      <c r="I79" s="10" t="str">
        <f>IF(SUM('Base de Datos Sumaria'!J76:Q76)&lt;&gt;0,'Base de Datos Sumaria'!M76," ")</f>
        <v xml:space="preserve"> </v>
      </c>
      <c r="J79" s="10" t="str">
        <f>IF(SUM('Base de Datos Sumaria'!J76:Q76)&lt;&gt;0,'Base de Datos Sumaria'!N76," ")</f>
        <v xml:space="preserve"> </v>
      </c>
      <c r="K79" s="10" t="str">
        <f>IF(SUM('Base de Datos Sumaria'!J76:Q76)&lt;&gt;0,'Base de Datos Sumaria'!O76," ")</f>
        <v xml:space="preserve"> </v>
      </c>
      <c r="L79" s="10" t="str">
        <f>IF(SUM('Base de Datos Sumaria'!J76:Q76)&lt;&gt;0,'Base de Datos Sumaria'!P76," ")</f>
        <v xml:space="preserve"> </v>
      </c>
      <c r="M79" s="10" t="str">
        <f>IF(SUM('Base de Datos Sumaria'!J76:Q76)&lt;&gt;0,'Base de Datos Sumaria'!Q76," ")</f>
        <v xml:space="preserve"> </v>
      </c>
      <c r="N79" s="10" t="str">
        <f>IF(SUM('Base de Datos Sumaria'!J76:Q76)&lt;&gt;0,SUM(F79:M79)," ")</f>
        <v xml:space="preserve"> </v>
      </c>
    </row>
    <row r="80" spans="1:14" ht="12.95" customHeight="1" x14ac:dyDescent="0.2">
      <c r="A80" s="6" t="str">
        <f>IF(SUM('Base de Datos Sumaria'!J77:Q77)&lt;&gt;0,'Base de Datos Sumaria'!C77," ")</f>
        <v xml:space="preserve"> </v>
      </c>
      <c r="B80" s="6" t="str">
        <f>IF(SUM('Base de Datos Sumaria'!J77:Q77)&lt;&gt;0,'Base de Datos Sumaria'!D77," ")</f>
        <v xml:space="preserve"> </v>
      </c>
      <c r="C80" s="7" t="str">
        <f>IF(SUM('Base de Datos Sumaria'!J77:Q77)&lt;&gt;0,'Base de Datos Sumaria'!H77," ")</f>
        <v xml:space="preserve"> </v>
      </c>
      <c r="D80" s="8" t="str">
        <f>IF(SUM('Base de Datos Sumaria'!J77:Q77)&lt;&gt;0,'Base de Datos Maestro'!L77," ")</f>
        <v xml:space="preserve"> </v>
      </c>
      <c r="E80" s="9" t="str">
        <f>IF('Base de Datos Sumaria'!I77&lt;&gt;0,'Base de Datos Sumaria'!I77,"")</f>
        <v/>
      </c>
      <c r="F80" s="10" t="str">
        <f>IF(SUM('Base de Datos Sumaria'!J77:Q77)&lt;&gt;0,'Base de Datos Sumaria'!J77,"")</f>
        <v/>
      </c>
      <c r="G80" s="10" t="str">
        <f>IF(SUM('Base de Datos Sumaria'!J77:Q77)&lt;&gt;0,'Base de Datos Sumaria'!K77," ")</f>
        <v xml:space="preserve"> </v>
      </c>
      <c r="H80" s="10" t="str">
        <f>IF(SUM('Base de Datos Sumaria'!J77:Q77)&lt;&gt;0,'Base de Datos Sumaria'!L77," ")</f>
        <v xml:space="preserve"> </v>
      </c>
      <c r="I80" s="10" t="str">
        <f>IF(SUM('Base de Datos Sumaria'!J77:Q77)&lt;&gt;0,'Base de Datos Sumaria'!M77," ")</f>
        <v xml:space="preserve"> </v>
      </c>
      <c r="J80" s="10" t="str">
        <f>IF(SUM('Base de Datos Sumaria'!J77:Q77)&lt;&gt;0,'Base de Datos Sumaria'!N77," ")</f>
        <v xml:space="preserve"> </v>
      </c>
      <c r="K80" s="10" t="str">
        <f>IF(SUM('Base de Datos Sumaria'!J77:Q77)&lt;&gt;0,'Base de Datos Sumaria'!O77," ")</f>
        <v xml:space="preserve"> </v>
      </c>
      <c r="L80" s="10" t="str">
        <f>IF(SUM('Base de Datos Sumaria'!J77:Q77)&lt;&gt;0,'Base de Datos Sumaria'!P77," ")</f>
        <v xml:space="preserve"> </v>
      </c>
      <c r="M80" s="10" t="str">
        <f>IF(SUM('Base de Datos Sumaria'!J77:Q77)&lt;&gt;0,'Base de Datos Sumaria'!Q77," ")</f>
        <v xml:space="preserve"> </v>
      </c>
      <c r="N80" s="10" t="str">
        <f>IF(SUM('Base de Datos Sumaria'!J77:Q77)&lt;&gt;0,SUM(F80:M80)," ")</f>
        <v xml:space="preserve"> </v>
      </c>
    </row>
    <row r="81" spans="1:14" ht="12.95" customHeight="1" x14ac:dyDescent="0.2">
      <c r="A81" s="6" t="str">
        <f>IF(SUM('Base de Datos Sumaria'!J78:Q78)&lt;&gt;0,'Base de Datos Sumaria'!C78," ")</f>
        <v xml:space="preserve"> </v>
      </c>
      <c r="B81" s="6" t="str">
        <f>IF(SUM('Base de Datos Sumaria'!J78:Q78)&lt;&gt;0,'Base de Datos Sumaria'!D78," ")</f>
        <v xml:space="preserve"> </v>
      </c>
      <c r="C81" s="7" t="str">
        <f>IF(SUM('Base de Datos Sumaria'!J78:Q78)&lt;&gt;0,'Base de Datos Sumaria'!H78," ")</f>
        <v xml:space="preserve"> </v>
      </c>
      <c r="D81" s="8" t="str">
        <f>IF(SUM('Base de Datos Sumaria'!J78:Q78)&lt;&gt;0,'Base de Datos Maestro'!L78," ")</f>
        <v xml:space="preserve"> </v>
      </c>
      <c r="E81" s="9" t="str">
        <f>IF('Base de Datos Sumaria'!I78&lt;&gt;0,'Base de Datos Sumaria'!I78,"")</f>
        <v/>
      </c>
      <c r="F81" s="10" t="str">
        <f>IF(SUM('Base de Datos Sumaria'!J78:Q78)&lt;&gt;0,'Base de Datos Sumaria'!J78,"")</f>
        <v/>
      </c>
      <c r="G81" s="10" t="str">
        <f>IF(SUM('Base de Datos Sumaria'!J78:Q78)&lt;&gt;0,'Base de Datos Sumaria'!K78," ")</f>
        <v xml:space="preserve"> </v>
      </c>
      <c r="H81" s="10" t="str">
        <f>IF(SUM('Base de Datos Sumaria'!J78:Q78)&lt;&gt;0,'Base de Datos Sumaria'!L78," ")</f>
        <v xml:space="preserve"> </v>
      </c>
      <c r="I81" s="10" t="str">
        <f>IF(SUM('Base de Datos Sumaria'!J78:Q78)&lt;&gt;0,'Base de Datos Sumaria'!M78," ")</f>
        <v xml:space="preserve"> </v>
      </c>
      <c r="J81" s="10" t="str">
        <f>IF(SUM('Base de Datos Sumaria'!J78:Q78)&lt;&gt;0,'Base de Datos Sumaria'!N78," ")</f>
        <v xml:space="preserve"> </v>
      </c>
      <c r="K81" s="10" t="str">
        <f>IF(SUM('Base de Datos Sumaria'!J78:Q78)&lt;&gt;0,'Base de Datos Sumaria'!O78," ")</f>
        <v xml:space="preserve"> </v>
      </c>
      <c r="L81" s="10" t="str">
        <f>IF(SUM('Base de Datos Sumaria'!J78:Q78)&lt;&gt;0,'Base de Datos Sumaria'!P78," ")</f>
        <v xml:space="preserve"> </v>
      </c>
      <c r="M81" s="10" t="str">
        <f>IF(SUM('Base de Datos Sumaria'!J78:Q78)&lt;&gt;0,'Base de Datos Sumaria'!Q78," ")</f>
        <v xml:space="preserve"> </v>
      </c>
      <c r="N81" s="10" t="str">
        <f>IF(SUM('Base de Datos Sumaria'!J78:Q78)&lt;&gt;0,SUM(F81:M81)," ")</f>
        <v xml:space="preserve"> </v>
      </c>
    </row>
    <row r="82" spans="1:14" ht="12.95" customHeight="1" x14ac:dyDescent="0.2">
      <c r="A82" s="6" t="str">
        <f>IF(SUM('Base de Datos Sumaria'!J79:Q79)&lt;&gt;0,'Base de Datos Sumaria'!C79," ")</f>
        <v>4</v>
      </c>
      <c r="B82" s="6" t="str">
        <f>IF(SUM('Base de Datos Sumaria'!J79:Q79)&lt;&gt;0,'Base de Datos Sumaria'!D79," ")</f>
        <v>404</v>
      </c>
      <c r="C82" s="7">
        <f>IF(SUM('Base de Datos Sumaria'!J79:Q79)&lt;&gt;0,'Base de Datos Sumaria'!H79," ")</f>
        <v>2342</v>
      </c>
      <c r="D82" s="8" t="str">
        <f>IF(SUM('Base de Datos Sumaria'!J79:Q79)&lt;&gt;0,'Base de Datos Maestro'!L79," ")</f>
        <v>LEON HUMBERTO ALVAREZ MESA</v>
      </c>
      <c r="E82" s="9">
        <f>IF('Base de Datos Sumaria'!I79&lt;&gt;0,'Base de Datos Sumaria'!I79,"")</f>
        <v>7</v>
      </c>
      <c r="F82" s="10">
        <f>IF(SUM('Base de Datos Sumaria'!J79:Q79)&lt;&gt;0,'Base de Datos Sumaria'!J79,"")</f>
        <v>1343300</v>
      </c>
      <c r="G82" s="10">
        <f>IF(SUM('Base de Datos Sumaria'!J79:Q79)&lt;&gt;0,'Base de Datos Sumaria'!K79," ")</f>
        <v>97810</v>
      </c>
      <c r="H82" s="10">
        <f>IF(SUM('Base de Datos Sumaria'!J79:Q79)&lt;&gt;0,'Base de Datos Sumaria'!L79," ")</f>
        <v>0</v>
      </c>
      <c r="I82" s="10">
        <f>IF(SUM('Base de Datos Sumaria'!J79:Q79)&lt;&gt;0,'Base de Datos Sumaria'!M79," ")</f>
        <v>120000</v>
      </c>
      <c r="J82" s="10">
        <f>IF(SUM('Base de Datos Sumaria'!J79:Q79)&lt;&gt;0,'Base de Datos Sumaria'!N79," ")</f>
        <v>0</v>
      </c>
      <c r="K82" s="10">
        <f>IF(SUM('Base de Datos Sumaria'!J79:Q79)&lt;&gt;0,'Base de Datos Sumaria'!O79," ")</f>
        <v>0</v>
      </c>
      <c r="L82" s="10">
        <f>IF(SUM('Base de Datos Sumaria'!J79:Q79)&lt;&gt;0,'Base de Datos Sumaria'!P79," ")</f>
        <v>0</v>
      </c>
      <c r="M82" s="10">
        <f>IF(SUM('Base de Datos Sumaria'!J79:Q79)&lt;&gt;0,'Base de Datos Sumaria'!Q79," ")</f>
        <v>0</v>
      </c>
      <c r="N82" s="10">
        <f>IF(SUM('Base de Datos Sumaria'!J79:Q79)&lt;&gt;0,SUM(F82:M82)," ")</f>
        <v>1561110</v>
      </c>
    </row>
    <row r="83" spans="1:14" ht="12.95" customHeight="1" x14ac:dyDescent="0.2">
      <c r="A83" s="6" t="str">
        <f>IF(SUM('Base de Datos Sumaria'!J80:Q80)&lt;&gt;0,'Base de Datos Sumaria'!C80," ")</f>
        <v>4</v>
      </c>
      <c r="B83" s="6" t="str">
        <f>IF(SUM('Base de Datos Sumaria'!J80:Q80)&lt;&gt;0,'Base de Datos Sumaria'!D80," ")</f>
        <v>405</v>
      </c>
      <c r="C83" s="7">
        <f>IF(SUM('Base de Datos Sumaria'!J80:Q80)&lt;&gt;0,'Base de Datos Sumaria'!H80," ")</f>
        <v>2343</v>
      </c>
      <c r="D83" s="8" t="str">
        <f>IF(SUM('Base de Datos Sumaria'!J80:Q80)&lt;&gt;0,'Base de Datos Maestro'!L80," ")</f>
        <v>JORGE ALBERTO ARCILA Q</v>
      </c>
      <c r="E83" s="9">
        <f>IF('Base de Datos Sumaria'!I80&lt;&gt;0,'Base de Datos Sumaria'!I80,"")</f>
        <v>1</v>
      </c>
      <c r="F83" s="10">
        <f>IF(SUM('Base de Datos Sumaria'!J80:Q80)&lt;&gt;0,'Base de Datos Sumaria'!J80,"")</f>
        <v>176600</v>
      </c>
      <c r="G83" s="10">
        <f>IF(SUM('Base de Datos Sumaria'!J80:Q80)&lt;&gt;0,'Base de Datos Sumaria'!K80," ")</f>
        <v>0</v>
      </c>
      <c r="H83" s="10">
        <f>IF(SUM('Base de Datos Sumaria'!J80:Q80)&lt;&gt;0,'Base de Datos Sumaria'!L80," ")</f>
        <v>0</v>
      </c>
      <c r="I83" s="10">
        <f>IF(SUM('Base de Datos Sumaria'!J80:Q80)&lt;&gt;0,'Base de Datos Sumaria'!M80," ")</f>
        <v>40000</v>
      </c>
      <c r="J83" s="10">
        <f>IF(SUM('Base de Datos Sumaria'!J80:Q80)&lt;&gt;0,'Base de Datos Sumaria'!N80," ")</f>
        <v>0</v>
      </c>
      <c r="K83" s="10">
        <f>IF(SUM('Base de Datos Sumaria'!J80:Q80)&lt;&gt;0,'Base de Datos Sumaria'!O80," ")</f>
        <v>62900</v>
      </c>
      <c r="L83" s="10">
        <f>IF(SUM('Base de Datos Sumaria'!J80:Q80)&lt;&gt;0,'Base de Datos Sumaria'!P80," ")</f>
        <v>4300</v>
      </c>
      <c r="M83" s="10">
        <f>IF(SUM('Base de Datos Sumaria'!J80:Q80)&lt;&gt;0,'Base de Datos Sumaria'!Q80," ")</f>
        <v>0</v>
      </c>
      <c r="N83" s="10">
        <f>IF(SUM('Base de Datos Sumaria'!J80:Q80)&lt;&gt;0,SUM(F83:M83)," ")</f>
        <v>283800</v>
      </c>
    </row>
    <row r="84" spans="1:14" ht="12.95" customHeight="1" x14ac:dyDescent="0.2">
      <c r="A84" s="6" t="str">
        <f>IF(SUM('Base de Datos Sumaria'!J81:Q81)&lt;&gt;0,'Base de Datos Sumaria'!C81," ")</f>
        <v xml:space="preserve"> </v>
      </c>
      <c r="B84" s="6" t="str">
        <f>IF(SUM('Base de Datos Sumaria'!J81:Q81)&lt;&gt;0,'Base de Datos Sumaria'!D81," ")</f>
        <v xml:space="preserve"> </v>
      </c>
      <c r="C84" s="7" t="str">
        <f>IF(SUM('Base de Datos Sumaria'!J81:Q81)&lt;&gt;0,'Base de Datos Sumaria'!H81," ")</f>
        <v xml:space="preserve"> </v>
      </c>
      <c r="D84" s="8" t="str">
        <f>IF(SUM('Base de Datos Sumaria'!J81:Q81)&lt;&gt;0,'Base de Datos Maestro'!L81," ")</f>
        <v xml:space="preserve"> </v>
      </c>
      <c r="E84" s="9" t="str">
        <f>IF('Base de Datos Sumaria'!I81&lt;&gt;0,'Base de Datos Sumaria'!I81,"")</f>
        <v/>
      </c>
      <c r="F84" s="10" t="str">
        <f>IF(SUM('Base de Datos Sumaria'!J81:Q81)&lt;&gt;0,'Base de Datos Sumaria'!J81,"")</f>
        <v/>
      </c>
      <c r="G84" s="10" t="str">
        <f>IF(SUM('Base de Datos Sumaria'!J81:Q81)&lt;&gt;0,'Base de Datos Sumaria'!K81," ")</f>
        <v xml:space="preserve"> </v>
      </c>
      <c r="H84" s="10" t="str">
        <f>IF(SUM('Base de Datos Sumaria'!J81:Q81)&lt;&gt;0,'Base de Datos Sumaria'!L81," ")</f>
        <v xml:space="preserve"> </v>
      </c>
      <c r="I84" s="10" t="str">
        <f>IF(SUM('Base de Datos Sumaria'!J81:Q81)&lt;&gt;0,'Base de Datos Sumaria'!M81," ")</f>
        <v xml:space="preserve"> </v>
      </c>
      <c r="J84" s="10" t="str">
        <f>IF(SUM('Base de Datos Sumaria'!J81:Q81)&lt;&gt;0,'Base de Datos Sumaria'!N81," ")</f>
        <v xml:space="preserve"> </v>
      </c>
      <c r="K84" s="10" t="str">
        <f>IF(SUM('Base de Datos Sumaria'!J81:Q81)&lt;&gt;0,'Base de Datos Sumaria'!O81," ")</f>
        <v xml:space="preserve"> </v>
      </c>
      <c r="L84" s="10" t="str">
        <f>IF(SUM('Base de Datos Sumaria'!J81:Q81)&lt;&gt;0,'Base de Datos Sumaria'!P81," ")</f>
        <v xml:space="preserve"> </v>
      </c>
      <c r="M84" s="10" t="str">
        <f>IF(SUM('Base de Datos Sumaria'!J81:Q81)&lt;&gt;0,'Base de Datos Sumaria'!Q81," ")</f>
        <v xml:space="preserve"> </v>
      </c>
      <c r="N84" s="10" t="str">
        <f>IF(SUM('Base de Datos Sumaria'!J81:Q81)&lt;&gt;0,SUM(F84:M84)," ")</f>
        <v xml:space="preserve"> </v>
      </c>
    </row>
    <row r="85" spans="1:14" ht="12.95" customHeight="1" x14ac:dyDescent="0.2">
      <c r="A85" s="6" t="str">
        <f>IF(SUM('Base de Datos Sumaria'!J82:Q82)&lt;&gt;0,'Base de Datos Sumaria'!C82," ")</f>
        <v xml:space="preserve"> </v>
      </c>
      <c r="B85" s="6" t="str">
        <f>IF(SUM('Base de Datos Sumaria'!J82:Q82)&lt;&gt;0,'Base de Datos Sumaria'!D82," ")</f>
        <v xml:space="preserve"> </v>
      </c>
      <c r="C85" s="7" t="str">
        <f>IF(SUM('Base de Datos Sumaria'!J82:Q82)&lt;&gt;0,'Base de Datos Sumaria'!H82," ")</f>
        <v xml:space="preserve"> </v>
      </c>
      <c r="D85" s="8" t="str">
        <f>IF(SUM('Base de Datos Sumaria'!J82:Q82)&lt;&gt;0,'Base de Datos Maestro'!L82," ")</f>
        <v xml:space="preserve"> </v>
      </c>
      <c r="E85" s="9" t="str">
        <f>IF('Base de Datos Sumaria'!I82&lt;&gt;0,'Base de Datos Sumaria'!I82,"")</f>
        <v/>
      </c>
      <c r="F85" s="10" t="str">
        <f>IF(SUM('Base de Datos Sumaria'!J82:Q82)&lt;&gt;0,'Base de Datos Sumaria'!J82,"")</f>
        <v/>
      </c>
      <c r="G85" s="10" t="str">
        <f>IF(SUM('Base de Datos Sumaria'!J82:Q82)&lt;&gt;0,'Base de Datos Sumaria'!K82," ")</f>
        <v xml:space="preserve"> </v>
      </c>
      <c r="H85" s="10" t="str">
        <f>IF(SUM('Base de Datos Sumaria'!J82:Q82)&lt;&gt;0,'Base de Datos Sumaria'!L82," ")</f>
        <v xml:space="preserve"> </v>
      </c>
      <c r="I85" s="10" t="str">
        <f>IF(SUM('Base de Datos Sumaria'!J82:Q82)&lt;&gt;0,'Base de Datos Sumaria'!M82," ")</f>
        <v xml:space="preserve"> </v>
      </c>
      <c r="J85" s="10" t="str">
        <f>IF(SUM('Base de Datos Sumaria'!J82:Q82)&lt;&gt;0,'Base de Datos Sumaria'!N82," ")</f>
        <v xml:space="preserve"> </v>
      </c>
      <c r="K85" s="10" t="str">
        <f>IF(SUM('Base de Datos Sumaria'!J82:Q82)&lt;&gt;0,'Base de Datos Sumaria'!O82," ")</f>
        <v xml:space="preserve"> </v>
      </c>
      <c r="L85" s="10" t="str">
        <f>IF(SUM('Base de Datos Sumaria'!J82:Q82)&lt;&gt;0,'Base de Datos Sumaria'!P82," ")</f>
        <v xml:space="preserve"> </v>
      </c>
      <c r="M85" s="10" t="str">
        <f>IF(SUM('Base de Datos Sumaria'!J82:Q82)&lt;&gt;0,'Base de Datos Sumaria'!Q82," ")</f>
        <v xml:space="preserve"> </v>
      </c>
      <c r="N85" s="10" t="str">
        <f>IF(SUM('Base de Datos Sumaria'!J82:Q82)&lt;&gt;0,SUM(F85:M85)," ")</f>
        <v xml:space="preserve"> </v>
      </c>
    </row>
    <row r="86" spans="1:14" ht="12.95" customHeight="1" x14ac:dyDescent="0.2">
      <c r="A86" s="6" t="str">
        <f>IF(SUM('Base de Datos Sumaria'!J83:Q83)&lt;&gt;0,'Base de Datos Sumaria'!C83," ")</f>
        <v xml:space="preserve"> </v>
      </c>
      <c r="B86" s="6" t="str">
        <f>IF(SUM('Base de Datos Sumaria'!J83:Q83)&lt;&gt;0,'Base de Datos Sumaria'!D83," ")</f>
        <v xml:space="preserve"> </v>
      </c>
      <c r="C86" s="7" t="str">
        <f>IF(SUM('Base de Datos Sumaria'!J83:Q83)&lt;&gt;0,'Base de Datos Sumaria'!H83," ")</f>
        <v xml:space="preserve"> </v>
      </c>
      <c r="D86" s="8" t="str">
        <f>IF(SUM('Base de Datos Sumaria'!J83:Q83)&lt;&gt;0,'Base de Datos Maestro'!L83," ")</f>
        <v xml:space="preserve"> </v>
      </c>
      <c r="E86" s="9" t="str">
        <f>IF('Base de Datos Sumaria'!I83&lt;&gt;0,'Base de Datos Sumaria'!I83,"")</f>
        <v/>
      </c>
      <c r="F86" s="10" t="str">
        <f>IF(SUM('Base de Datos Sumaria'!J83:Q83)&lt;&gt;0,'Base de Datos Sumaria'!J83,"")</f>
        <v/>
      </c>
      <c r="G86" s="10" t="str">
        <f>IF(SUM('Base de Datos Sumaria'!J83:Q83)&lt;&gt;0,'Base de Datos Sumaria'!K83," ")</f>
        <v xml:space="preserve"> </v>
      </c>
      <c r="H86" s="10" t="str">
        <f>IF(SUM('Base de Datos Sumaria'!J83:Q83)&lt;&gt;0,'Base de Datos Sumaria'!L83," ")</f>
        <v xml:space="preserve"> </v>
      </c>
      <c r="I86" s="10" t="str">
        <f>IF(SUM('Base de Datos Sumaria'!J83:Q83)&lt;&gt;0,'Base de Datos Sumaria'!M83," ")</f>
        <v xml:space="preserve"> </v>
      </c>
      <c r="J86" s="10" t="str">
        <f>IF(SUM('Base de Datos Sumaria'!J83:Q83)&lt;&gt;0,'Base de Datos Sumaria'!N83," ")</f>
        <v xml:space="preserve"> </v>
      </c>
      <c r="K86" s="10" t="str">
        <f>IF(SUM('Base de Datos Sumaria'!J83:Q83)&lt;&gt;0,'Base de Datos Sumaria'!O83," ")</f>
        <v xml:space="preserve"> </v>
      </c>
      <c r="L86" s="10" t="str">
        <f>IF(SUM('Base de Datos Sumaria'!J83:Q83)&lt;&gt;0,'Base de Datos Sumaria'!P83," ")</f>
        <v xml:space="preserve"> </v>
      </c>
      <c r="M86" s="10" t="str">
        <f>IF(SUM('Base de Datos Sumaria'!J83:Q83)&lt;&gt;0,'Base de Datos Sumaria'!Q83," ")</f>
        <v xml:space="preserve"> </v>
      </c>
      <c r="N86" s="10" t="str">
        <f>IF(SUM('Base de Datos Sumaria'!J83:Q83)&lt;&gt;0,SUM(F86:M86)," ")</f>
        <v xml:space="preserve"> </v>
      </c>
    </row>
    <row r="87" spans="1:14" ht="12.95" customHeight="1" x14ac:dyDescent="0.2">
      <c r="A87" s="6" t="str">
        <f>IF(SUM('Base de Datos Sumaria'!J84:Q84)&lt;&gt;0,'Base de Datos Sumaria'!C84," ")</f>
        <v>4</v>
      </c>
      <c r="B87" s="6" t="str">
        <f>IF(SUM('Base de Datos Sumaria'!J84:Q84)&lt;&gt;0,'Base de Datos Sumaria'!D84," ")</f>
        <v>501</v>
      </c>
      <c r="C87" s="7">
        <f>IF(SUM('Base de Datos Sumaria'!J84:Q84)&lt;&gt;0,'Base de Datos Sumaria'!H84," ")</f>
        <v>2347</v>
      </c>
      <c r="D87" s="8" t="str">
        <f>IF(SUM('Base de Datos Sumaria'!J84:Q84)&lt;&gt;0,'Base de Datos Maestro'!L84," ")</f>
        <v>Nelson Escudero</v>
      </c>
      <c r="E87" s="9">
        <f>IF('Base de Datos Sumaria'!I84&lt;&gt;0,'Base de Datos Sumaria'!I84,"")</f>
        <v>-5</v>
      </c>
      <c r="F87" s="10">
        <f>IF(SUM('Base de Datos Sumaria'!J84:Q84)&lt;&gt;0,'Base de Datos Sumaria'!J84,"")</f>
        <v>-700500</v>
      </c>
      <c r="G87" s="10">
        <f>IF(SUM('Base de Datos Sumaria'!J84:Q84)&lt;&gt;0,'Base de Datos Sumaria'!K84," ")</f>
        <v>0</v>
      </c>
      <c r="H87" s="10">
        <f>IF(SUM('Base de Datos Sumaria'!J84:Q84)&lt;&gt;0,'Base de Datos Sumaria'!L84," ")</f>
        <v>0</v>
      </c>
      <c r="I87" s="10">
        <f>IF(SUM('Base de Datos Sumaria'!J84:Q84)&lt;&gt;0,'Base de Datos Sumaria'!M84," ")</f>
        <v>120000</v>
      </c>
      <c r="J87" s="10">
        <f>IF(SUM('Base de Datos Sumaria'!J84:Q84)&lt;&gt;0,'Base de Datos Sumaria'!N84," ")</f>
        <v>0</v>
      </c>
      <c r="K87" s="10">
        <f>IF(SUM('Base de Datos Sumaria'!J84:Q84)&lt;&gt;0,'Base de Datos Sumaria'!O84," ")</f>
        <v>0</v>
      </c>
      <c r="L87" s="10">
        <f>IF(SUM('Base de Datos Sumaria'!J84:Q84)&lt;&gt;0,'Base de Datos Sumaria'!P84," ")</f>
        <v>0</v>
      </c>
      <c r="M87" s="10">
        <f>IF(SUM('Base de Datos Sumaria'!J84:Q84)&lt;&gt;0,'Base de Datos Sumaria'!Q84," ")</f>
        <v>0</v>
      </c>
      <c r="N87" s="10">
        <f>IF(SUM('Base de Datos Sumaria'!J84:Q84)&lt;&gt;0,SUM(F87:M87)," ")</f>
        <v>-580500</v>
      </c>
    </row>
    <row r="88" spans="1:14" ht="12.95" customHeight="1" x14ac:dyDescent="0.2">
      <c r="A88" s="6" t="str">
        <f>IF(SUM('Base de Datos Sumaria'!J85:Q85)&lt;&gt;0,'Base de Datos Sumaria'!C85," ")</f>
        <v xml:space="preserve"> </v>
      </c>
      <c r="B88" s="6" t="str">
        <f>IF(SUM('Base de Datos Sumaria'!J85:Q85)&lt;&gt;0,'Base de Datos Sumaria'!D85," ")</f>
        <v xml:space="preserve"> </v>
      </c>
      <c r="C88" s="7" t="str">
        <f>IF(SUM('Base de Datos Sumaria'!J85:Q85)&lt;&gt;0,'Base de Datos Sumaria'!H85," ")</f>
        <v xml:space="preserve"> </v>
      </c>
      <c r="D88" s="8" t="str">
        <f>IF(SUM('Base de Datos Sumaria'!J85:Q85)&lt;&gt;0,'Base de Datos Maestro'!L85," ")</f>
        <v xml:space="preserve"> </v>
      </c>
      <c r="E88" s="9" t="str">
        <f>IF('Base de Datos Sumaria'!I85&lt;&gt;0,'Base de Datos Sumaria'!I85,"")</f>
        <v/>
      </c>
      <c r="F88" s="10" t="str">
        <f>IF(SUM('Base de Datos Sumaria'!J85:Q85)&lt;&gt;0,'Base de Datos Sumaria'!J85,"")</f>
        <v/>
      </c>
      <c r="G88" s="10" t="str">
        <f>IF(SUM('Base de Datos Sumaria'!J85:Q85)&lt;&gt;0,'Base de Datos Sumaria'!K85," ")</f>
        <v xml:space="preserve"> </v>
      </c>
      <c r="H88" s="10" t="str">
        <f>IF(SUM('Base de Datos Sumaria'!J85:Q85)&lt;&gt;0,'Base de Datos Sumaria'!L85," ")</f>
        <v xml:space="preserve"> </v>
      </c>
      <c r="I88" s="10" t="str">
        <f>IF(SUM('Base de Datos Sumaria'!J85:Q85)&lt;&gt;0,'Base de Datos Sumaria'!M85," ")</f>
        <v xml:space="preserve"> </v>
      </c>
      <c r="J88" s="10" t="str">
        <f>IF(SUM('Base de Datos Sumaria'!J85:Q85)&lt;&gt;0,'Base de Datos Sumaria'!N85," ")</f>
        <v xml:space="preserve"> </v>
      </c>
      <c r="K88" s="10" t="str">
        <f>IF(SUM('Base de Datos Sumaria'!J85:Q85)&lt;&gt;0,'Base de Datos Sumaria'!O85," ")</f>
        <v xml:space="preserve"> </v>
      </c>
      <c r="L88" s="10" t="str">
        <f>IF(SUM('Base de Datos Sumaria'!J85:Q85)&lt;&gt;0,'Base de Datos Sumaria'!P85," ")</f>
        <v xml:space="preserve"> </v>
      </c>
      <c r="M88" s="10" t="str">
        <f>IF(SUM('Base de Datos Sumaria'!J85:Q85)&lt;&gt;0,'Base de Datos Sumaria'!Q85," ")</f>
        <v xml:space="preserve"> </v>
      </c>
      <c r="N88" s="10" t="str">
        <f>IF(SUM('Base de Datos Sumaria'!J85:Q85)&lt;&gt;0,SUM(F88:M88)," ")</f>
        <v xml:space="preserve"> </v>
      </c>
    </row>
    <row r="89" spans="1:14" ht="12.95" customHeight="1" x14ac:dyDescent="0.2">
      <c r="A89" s="6" t="str">
        <f>IF(SUM('Base de Datos Sumaria'!J86:Q86)&lt;&gt;0,'Base de Datos Sumaria'!C86," ")</f>
        <v>4</v>
      </c>
      <c r="B89" s="6" t="str">
        <f>IF(SUM('Base de Datos Sumaria'!J86:Q86)&lt;&gt;0,'Base de Datos Sumaria'!D86," ")</f>
        <v>503</v>
      </c>
      <c r="C89" s="7">
        <f>IF(SUM('Base de Datos Sumaria'!J86:Q86)&lt;&gt;0,'Base de Datos Sumaria'!H86," ")</f>
        <v>2349</v>
      </c>
      <c r="D89" s="8" t="str">
        <f>IF(SUM('Base de Datos Sumaria'!J86:Q86)&lt;&gt;0,'Base de Datos Maestro'!L86," ")</f>
        <v>MARTHA ELENA GUTIERREZ PALACIO</v>
      </c>
      <c r="E89" s="9">
        <f>IF('Base de Datos Sumaria'!I86&lt;&gt;0,'Base de Datos Sumaria'!I86,"")</f>
        <v>-1</v>
      </c>
      <c r="F89" s="10">
        <f>IF(SUM('Base de Datos Sumaria'!J86:Q86)&lt;&gt;0,'Base de Datos Sumaria'!J86,"")</f>
        <v>-148800</v>
      </c>
      <c r="G89" s="10">
        <f>IF(SUM('Base de Datos Sumaria'!J86:Q86)&lt;&gt;0,'Base de Datos Sumaria'!K86," ")</f>
        <v>0</v>
      </c>
      <c r="H89" s="10">
        <f>IF(SUM('Base de Datos Sumaria'!J86:Q86)&lt;&gt;0,'Base de Datos Sumaria'!L86," ")</f>
        <v>0</v>
      </c>
      <c r="I89" s="10">
        <f>IF(SUM('Base de Datos Sumaria'!J86:Q86)&lt;&gt;0,'Base de Datos Sumaria'!M86," ")</f>
        <v>0</v>
      </c>
      <c r="J89" s="10">
        <f>IF(SUM('Base de Datos Sumaria'!J86:Q86)&lt;&gt;0,'Base de Datos Sumaria'!N86," ")</f>
        <v>0</v>
      </c>
      <c r="K89" s="10">
        <f>IF(SUM('Base de Datos Sumaria'!J86:Q86)&lt;&gt;0,'Base de Datos Sumaria'!O86," ")</f>
        <v>0</v>
      </c>
      <c r="L89" s="10">
        <f>IF(SUM('Base de Datos Sumaria'!J86:Q86)&lt;&gt;0,'Base de Datos Sumaria'!P86," ")</f>
        <v>0</v>
      </c>
      <c r="M89" s="10">
        <f>IF(SUM('Base de Datos Sumaria'!J86:Q86)&lt;&gt;0,'Base de Datos Sumaria'!Q86," ")</f>
        <v>0</v>
      </c>
      <c r="N89" s="10">
        <f>IF(SUM('Base de Datos Sumaria'!J86:Q86)&lt;&gt;0,SUM(F89:M89)," ")</f>
        <v>-148800</v>
      </c>
    </row>
    <row r="90" spans="1:14" ht="12.95" customHeight="1" x14ac:dyDescent="0.2">
      <c r="A90" s="6" t="str">
        <f>IF(SUM('Base de Datos Sumaria'!J87:Q87)&lt;&gt;0,'Base de Datos Sumaria'!C87," ")</f>
        <v>4</v>
      </c>
      <c r="B90" s="6" t="str">
        <f>IF(SUM('Base de Datos Sumaria'!J87:Q87)&lt;&gt;0,'Base de Datos Sumaria'!D87," ")</f>
        <v>504</v>
      </c>
      <c r="C90" s="7">
        <f>IF(SUM('Base de Datos Sumaria'!J87:Q87)&lt;&gt;0,'Base de Datos Sumaria'!H87," ")</f>
        <v>2350</v>
      </c>
      <c r="D90" s="8" t="str">
        <f>IF(SUM('Base de Datos Sumaria'!J87:Q87)&lt;&gt;0,'Base de Datos Maestro'!L87," ")</f>
        <v>CARLOS ARTURO LONDOÑO GIRALDO</v>
      </c>
      <c r="E90" s="9">
        <f>IF('Base de Datos Sumaria'!I87&lt;&gt;0,'Base de Datos Sumaria'!I87,"")</f>
        <v>1</v>
      </c>
      <c r="F90" s="10">
        <f>IF(SUM('Base de Datos Sumaria'!J87:Q87)&lt;&gt;0,'Base de Datos Sumaria'!J87,"")</f>
        <v>122920</v>
      </c>
      <c r="G90" s="10">
        <f>IF(SUM('Base de Datos Sumaria'!J87:Q87)&lt;&gt;0,'Base de Datos Sumaria'!K87," ")</f>
        <v>0</v>
      </c>
      <c r="H90" s="10">
        <f>IF(SUM('Base de Datos Sumaria'!J87:Q87)&lt;&gt;0,'Base de Datos Sumaria'!L87," ")</f>
        <v>0</v>
      </c>
      <c r="I90" s="10">
        <f>IF(SUM('Base de Datos Sumaria'!J87:Q87)&lt;&gt;0,'Base de Datos Sumaria'!M87," ")</f>
        <v>0</v>
      </c>
      <c r="J90" s="10">
        <f>IF(SUM('Base de Datos Sumaria'!J87:Q87)&lt;&gt;0,'Base de Datos Sumaria'!N87," ")</f>
        <v>0</v>
      </c>
      <c r="K90" s="10">
        <f>IF(SUM('Base de Datos Sumaria'!J87:Q87)&lt;&gt;0,'Base de Datos Sumaria'!O87," ")</f>
        <v>0</v>
      </c>
      <c r="L90" s="10">
        <f>IF(SUM('Base de Datos Sumaria'!J87:Q87)&lt;&gt;0,'Base de Datos Sumaria'!P87," ")</f>
        <v>0</v>
      </c>
      <c r="M90" s="10">
        <f>IF(SUM('Base de Datos Sumaria'!J87:Q87)&lt;&gt;0,'Base de Datos Sumaria'!Q87," ")</f>
        <v>0</v>
      </c>
      <c r="N90" s="10">
        <f>IF(SUM('Base de Datos Sumaria'!J87:Q87)&lt;&gt;0,SUM(F90:M90)," ")</f>
        <v>122920</v>
      </c>
    </row>
    <row r="91" spans="1:14" ht="12.95" customHeight="1" x14ac:dyDescent="0.2">
      <c r="A91" s="6" t="str">
        <f>IF(SUM('Base de Datos Sumaria'!J88:Q88)&lt;&gt;0,'Base de Datos Sumaria'!C88," ")</f>
        <v>4</v>
      </c>
      <c r="B91" s="6" t="str">
        <f>IF(SUM('Base de Datos Sumaria'!J88:Q88)&lt;&gt;0,'Base de Datos Sumaria'!D88," ")</f>
        <v>505</v>
      </c>
      <c r="C91" s="7">
        <f>IF(SUM('Base de Datos Sumaria'!J88:Q88)&lt;&gt;0,'Base de Datos Sumaria'!H88," ")</f>
        <v>2351</v>
      </c>
      <c r="D91" s="8" t="str">
        <f>IF(SUM('Base de Datos Sumaria'!J88:Q88)&lt;&gt;0,'Base de Datos Maestro'!L88," ")</f>
        <v>SANDRA EUGENIA OLAYA</v>
      </c>
      <c r="E91" s="9" t="str">
        <f>IF('Base de Datos Sumaria'!I88&lt;&gt;0,'Base de Datos Sumaria'!I88,"")</f>
        <v/>
      </c>
      <c r="F91" s="10">
        <f>IF(SUM('Base de Datos Sumaria'!J88:Q88)&lt;&gt;0,'Base de Datos Sumaria'!J88,"")</f>
        <v>-79700</v>
      </c>
      <c r="G91" s="10">
        <f>IF(SUM('Base de Datos Sumaria'!J88:Q88)&lt;&gt;0,'Base de Datos Sumaria'!K88," ")</f>
        <v>0</v>
      </c>
      <c r="H91" s="10">
        <f>IF(SUM('Base de Datos Sumaria'!J88:Q88)&lt;&gt;0,'Base de Datos Sumaria'!L88," ")</f>
        <v>0</v>
      </c>
      <c r="I91" s="10">
        <f>IF(SUM('Base de Datos Sumaria'!J88:Q88)&lt;&gt;0,'Base de Datos Sumaria'!M88," ")</f>
        <v>80000</v>
      </c>
      <c r="J91" s="10">
        <f>IF(SUM('Base de Datos Sumaria'!J88:Q88)&lt;&gt;0,'Base de Datos Sumaria'!N88," ")</f>
        <v>0</v>
      </c>
      <c r="K91" s="10">
        <f>IF(SUM('Base de Datos Sumaria'!J88:Q88)&lt;&gt;0,'Base de Datos Sumaria'!O88," ")</f>
        <v>0</v>
      </c>
      <c r="L91" s="10">
        <f>IF(SUM('Base de Datos Sumaria'!J88:Q88)&lt;&gt;0,'Base de Datos Sumaria'!P88," ")</f>
        <v>0</v>
      </c>
      <c r="M91" s="10">
        <f>IF(SUM('Base de Datos Sumaria'!J88:Q88)&lt;&gt;0,'Base de Datos Sumaria'!Q88," ")</f>
        <v>0</v>
      </c>
      <c r="N91" s="10">
        <f>IF(SUM('Base de Datos Sumaria'!J88:Q88)&lt;&gt;0,SUM(F91:M91)," ")</f>
        <v>300</v>
      </c>
    </row>
    <row r="92" spans="1:14" ht="12.95" customHeight="1" x14ac:dyDescent="0.2">
      <c r="A92" s="6" t="str">
        <f>IF(SUM('Base de Datos Sumaria'!J89:Q89)&lt;&gt;0,'Base de Datos Sumaria'!C89," ")</f>
        <v>4</v>
      </c>
      <c r="B92" s="6" t="str">
        <f>IF(SUM('Base de Datos Sumaria'!J89:Q89)&lt;&gt;0,'Base de Datos Sumaria'!D89," ")</f>
        <v>506</v>
      </c>
      <c r="C92" s="7">
        <f>IF(SUM('Base de Datos Sumaria'!J89:Q89)&lt;&gt;0,'Base de Datos Sumaria'!H89," ")</f>
        <v>2352</v>
      </c>
      <c r="D92" s="8" t="str">
        <f>IF(SUM('Base de Datos Sumaria'!J89:Q89)&lt;&gt;0,'Base de Datos Maestro'!L89," ")</f>
        <v>MARIBEL MORALES VARGAS</v>
      </c>
      <c r="E92" s="9">
        <f>IF('Base de Datos Sumaria'!I89&lt;&gt;0,'Base de Datos Sumaria'!I89,"")</f>
        <v>1</v>
      </c>
      <c r="F92" s="10">
        <f>IF(SUM('Base de Datos Sumaria'!J89:Q89)&lt;&gt;0,'Base de Datos Sumaria'!J89,"")</f>
        <v>191371</v>
      </c>
      <c r="G92" s="10">
        <f>IF(SUM('Base de Datos Sumaria'!J89:Q89)&lt;&gt;0,'Base de Datos Sumaria'!K89," ")</f>
        <v>0</v>
      </c>
      <c r="H92" s="10">
        <f>IF(SUM('Base de Datos Sumaria'!J89:Q89)&lt;&gt;0,'Base de Datos Sumaria'!L89," ")</f>
        <v>0</v>
      </c>
      <c r="I92" s="10">
        <f>IF(SUM('Base de Datos Sumaria'!J89:Q89)&lt;&gt;0,'Base de Datos Sumaria'!M89," ")</f>
        <v>40000</v>
      </c>
      <c r="J92" s="10">
        <f>IF(SUM('Base de Datos Sumaria'!J89:Q89)&lt;&gt;0,'Base de Datos Sumaria'!N89," ")</f>
        <v>0</v>
      </c>
      <c r="K92" s="10">
        <f>IF(SUM('Base de Datos Sumaria'!J89:Q89)&lt;&gt;0,'Base de Datos Sumaria'!O89," ")</f>
        <v>62900</v>
      </c>
      <c r="L92" s="10">
        <f>IF(SUM('Base de Datos Sumaria'!J89:Q89)&lt;&gt;0,'Base de Datos Sumaria'!P89," ")</f>
        <v>0</v>
      </c>
      <c r="M92" s="10">
        <f>IF(SUM('Base de Datos Sumaria'!J89:Q89)&lt;&gt;0,'Base de Datos Sumaria'!Q89," ")</f>
        <v>0</v>
      </c>
      <c r="N92" s="10">
        <f>IF(SUM('Base de Datos Sumaria'!J89:Q89)&lt;&gt;0,SUM(F92:M92)," ")</f>
        <v>294271</v>
      </c>
    </row>
    <row r="93" spans="1:14" ht="12.95" customHeight="1" x14ac:dyDescent="0.2">
      <c r="A93" s="6" t="str">
        <f>IF(SUM('Base de Datos Sumaria'!J90:Q90)&lt;&gt;0,'Base de Datos Sumaria'!C90," ")</f>
        <v xml:space="preserve"> </v>
      </c>
      <c r="B93" s="6" t="str">
        <f>IF(SUM('Base de Datos Sumaria'!J90:Q90)&lt;&gt;0,'Base de Datos Sumaria'!D90," ")</f>
        <v xml:space="preserve"> </v>
      </c>
      <c r="C93" s="7" t="str">
        <f>IF(SUM('Base de Datos Sumaria'!J90:Q90)&lt;&gt;0,'Base de Datos Sumaria'!H90," ")</f>
        <v xml:space="preserve"> </v>
      </c>
      <c r="D93" s="8" t="str">
        <f>IF(SUM('Base de Datos Sumaria'!J90:Q90)&lt;&gt;0,'Base de Datos Maestro'!L90," ")</f>
        <v xml:space="preserve"> </v>
      </c>
      <c r="E93" s="9" t="str">
        <f>IF('Base de Datos Sumaria'!I90&lt;&gt;0,'Base de Datos Sumaria'!I90,"")</f>
        <v/>
      </c>
      <c r="F93" s="10" t="str">
        <f>IF(SUM('Base de Datos Sumaria'!J90:Q90)&lt;&gt;0,'Base de Datos Sumaria'!J90,"")</f>
        <v/>
      </c>
      <c r="G93" s="10" t="str">
        <f>IF(SUM('Base de Datos Sumaria'!J90:Q90)&lt;&gt;0,'Base de Datos Sumaria'!K90," ")</f>
        <v xml:space="preserve"> </v>
      </c>
      <c r="H93" s="10" t="str">
        <f>IF(SUM('Base de Datos Sumaria'!J90:Q90)&lt;&gt;0,'Base de Datos Sumaria'!L90," ")</f>
        <v xml:space="preserve"> </v>
      </c>
      <c r="I93" s="10" t="str">
        <f>IF(SUM('Base de Datos Sumaria'!J90:Q90)&lt;&gt;0,'Base de Datos Sumaria'!M90," ")</f>
        <v xml:space="preserve"> </v>
      </c>
      <c r="J93" s="10" t="str">
        <f>IF(SUM('Base de Datos Sumaria'!J90:Q90)&lt;&gt;0,'Base de Datos Sumaria'!N90," ")</f>
        <v xml:space="preserve"> </v>
      </c>
      <c r="K93" s="10" t="str">
        <f>IF(SUM('Base de Datos Sumaria'!J90:Q90)&lt;&gt;0,'Base de Datos Sumaria'!O90," ")</f>
        <v xml:space="preserve"> </v>
      </c>
      <c r="L93" s="10" t="str">
        <f>IF(SUM('Base de Datos Sumaria'!J90:Q90)&lt;&gt;0,'Base de Datos Sumaria'!P90," ")</f>
        <v xml:space="preserve"> </v>
      </c>
      <c r="M93" s="10" t="str">
        <f>IF(SUM('Base de Datos Sumaria'!J90:Q90)&lt;&gt;0,'Base de Datos Sumaria'!Q90," ")</f>
        <v xml:space="preserve"> </v>
      </c>
      <c r="N93" s="10" t="str">
        <f>IF(SUM('Base de Datos Sumaria'!J90:Q90)&lt;&gt;0,SUM(F93:M93)," ")</f>
        <v xml:space="preserve"> </v>
      </c>
    </row>
    <row r="94" spans="1:14" ht="12.95" customHeight="1" x14ac:dyDescent="0.2">
      <c r="A94" s="6" t="str">
        <f>IF(SUM('Base de Datos Sumaria'!J91:Q91)&lt;&gt;0,'Base de Datos Sumaria'!C91," ")</f>
        <v xml:space="preserve"> </v>
      </c>
      <c r="B94" s="6" t="str">
        <f>IF(SUM('Base de Datos Sumaria'!J91:Q91)&lt;&gt;0,'Base de Datos Sumaria'!D91," ")</f>
        <v xml:space="preserve"> </v>
      </c>
      <c r="C94" s="7" t="str">
        <f>IF(SUM('Base de Datos Sumaria'!J91:Q91)&lt;&gt;0,'Base de Datos Sumaria'!H91," ")</f>
        <v xml:space="preserve"> </v>
      </c>
      <c r="D94" s="8" t="str">
        <f>IF(SUM('Base de Datos Sumaria'!J91:Q91)&lt;&gt;0,'Base de Datos Maestro'!L91," ")</f>
        <v xml:space="preserve"> </v>
      </c>
      <c r="E94" s="9" t="str">
        <f>IF('Base de Datos Sumaria'!I91&lt;&gt;0,'Base de Datos Sumaria'!I91,"")</f>
        <v/>
      </c>
      <c r="F94" s="10" t="str">
        <f>IF(SUM('Base de Datos Sumaria'!J91:Q91)&lt;&gt;0,'Base de Datos Sumaria'!J91,"")</f>
        <v/>
      </c>
      <c r="G94" s="10" t="str">
        <f>IF(SUM('Base de Datos Sumaria'!J91:Q91)&lt;&gt;0,'Base de Datos Sumaria'!K91," ")</f>
        <v xml:space="preserve"> </v>
      </c>
      <c r="H94" s="10" t="str">
        <f>IF(SUM('Base de Datos Sumaria'!J91:Q91)&lt;&gt;0,'Base de Datos Sumaria'!L91," ")</f>
        <v xml:space="preserve"> </v>
      </c>
      <c r="I94" s="10" t="str">
        <f>IF(SUM('Base de Datos Sumaria'!J91:Q91)&lt;&gt;0,'Base de Datos Sumaria'!M91," ")</f>
        <v xml:space="preserve"> </v>
      </c>
      <c r="J94" s="10" t="str">
        <f>IF(SUM('Base de Datos Sumaria'!J91:Q91)&lt;&gt;0,'Base de Datos Sumaria'!N91," ")</f>
        <v xml:space="preserve"> </v>
      </c>
      <c r="K94" s="10" t="str">
        <f>IF(SUM('Base de Datos Sumaria'!J91:Q91)&lt;&gt;0,'Base de Datos Sumaria'!O91," ")</f>
        <v xml:space="preserve"> </v>
      </c>
      <c r="L94" s="10" t="str">
        <f>IF(SUM('Base de Datos Sumaria'!J91:Q91)&lt;&gt;0,'Base de Datos Sumaria'!P91," ")</f>
        <v xml:space="preserve"> </v>
      </c>
      <c r="M94" s="10" t="str">
        <f>IF(SUM('Base de Datos Sumaria'!J91:Q91)&lt;&gt;0,'Base de Datos Sumaria'!Q91," ")</f>
        <v xml:space="preserve"> </v>
      </c>
      <c r="N94" s="10" t="str">
        <f>IF(SUM('Base de Datos Sumaria'!J91:Q91)&lt;&gt;0,SUM(F94:M94)," ")</f>
        <v xml:space="preserve"> </v>
      </c>
    </row>
    <row r="95" spans="1:14" ht="12.95" customHeight="1" x14ac:dyDescent="0.2">
      <c r="A95" s="6" t="str">
        <f>IF(SUM('Base de Datos Sumaria'!J92:Q92)&lt;&gt;0,'Base de Datos Sumaria'!C92," ")</f>
        <v>P4</v>
      </c>
      <c r="B95" s="6" t="str">
        <f>IF(SUM('Base de Datos Sumaria'!J92:Q92)&lt;&gt;0,'Base de Datos Sumaria'!D92," ")</f>
        <v>502</v>
      </c>
      <c r="C95" s="7">
        <f>IF(SUM('Base de Datos Sumaria'!J92:Q92)&lt;&gt;0,'Base de Datos Sumaria'!H92," ")</f>
        <v>2355</v>
      </c>
      <c r="D95" s="8" t="str">
        <f>IF(SUM('Base de Datos Sumaria'!J92:Q92)&lt;&gt;0,'Base de Datos Maestro'!L92," ")</f>
        <v>WILLIAM VILLAMIL</v>
      </c>
      <c r="E95" s="9" t="str">
        <f>IF('Base de Datos Sumaria'!I92&lt;&gt;0,'Base de Datos Sumaria'!I92,"")</f>
        <v/>
      </c>
      <c r="F95" s="10">
        <f>IF(SUM('Base de Datos Sumaria'!J92:Q92)&lt;&gt;0,'Base de Datos Sumaria'!J92,"")</f>
        <v>0</v>
      </c>
      <c r="G95" s="10">
        <f>IF(SUM('Base de Datos Sumaria'!J92:Q92)&lt;&gt;0,'Base de Datos Sumaria'!K92," ")</f>
        <v>0</v>
      </c>
      <c r="H95" s="10">
        <f>IF(SUM('Base de Datos Sumaria'!J92:Q92)&lt;&gt;0,'Base de Datos Sumaria'!L92," ")</f>
        <v>0</v>
      </c>
      <c r="I95" s="10">
        <f>IF(SUM('Base de Datos Sumaria'!J92:Q92)&lt;&gt;0,'Base de Datos Sumaria'!M92," ")</f>
        <v>0</v>
      </c>
      <c r="J95" s="10">
        <f>IF(SUM('Base de Datos Sumaria'!J92:Q92)&lt;&gt;0,'Base de Datos Sumaria'!N92," ")</f>
        <v>0</v>
      </c>
      <c r="K95" s="10">
        <f>IF(SUM('Base de Datos Sumaria'!J92:Q92)&lt;&gt;0,'Base de Datos Sumaria'!O92," ")</f>
        <v>125800</v>
      </c>
      <c r="L95" s="10">
        <f>IF(SUM('Base de Datos Sumaria'!J92:Q92)&lt;&gt;0,'Base de Datos Sumaria'!P92," ")</f>
        <v>0</v>
      </c>
      <c r="M95" s="10">
        <f>IF(SUM('Base de Datos Sumaria'!J92:Q92)&lt;&gt;0,'Base de Datos Sumaria'!Q92," ")</f>
        <v>0</v>
      </c>
      <c r="N95" s="10">
        <f>IF(SUM('Base de Datos Sumaria'!J92:Q92)&lt;&gt;0,SUM(F95:M95)," ")</f>
        <v>125800</v>
      </c>
    </row>
    <row r="96" spans="1:14" ht="12.95" customHeight="1" x14ac:dyDescent="0.2">
      <c r="A96" s="6" t="str">
        <f>IF(SUM('Base de Datos Sumaria'!J93:Q93)&lt;&gt;0,'Base de Datos Sumaria'!C93," ")</f>
        <v>B1</v>
      </c>
      <c r="B96" s="6" t="str">
        <f>IF(SUM('Base de Datos Sumaria'!J93:Q93)&lt;&gt;0,'Base de Datos Sumaria'!D93," ")</f>
        <v>301</v>
      </c>
      <c r="C96" s="7">
        <f>IF(SUM('Base de Datos Sumaria'!J93:Q93)&lt;&gt;0,'Base de Datos Sumaria'!H93," ")</f>
        <v>2356</v>
      </c>
      <c r="D96" s="8" t="str">
        <f>IF(SUM('Base de Datos Sumaria'!J93:Q93)&lt;&gt;0,'Base de Datos Maestro'!L93," ")</f>
        <v>JOSE MARIA OCHOA/ADRIANA LOPEZ</v>
      </c>
      <c r="E96" s="9" t="str">
        <f>IF('Base de Datos Sumaria'!I93&lt;&gt;0,'Base de Datos Sumaria'!I93,"")</f>
        <v/>
      </c>
      <c r="F96" s="10">
        <f>IF(SUM('Base de Datos Sumaria'!J93:Q93)&lt;&gt;0,'Base de Datos Sumaria'!J93,"")</f>
        <v>0</v>
      </c>
      <c r="G96" s="10">
        <f>IF(SUM('Base de Datos Sumaria'!J93:Q93)&lt;&gt;0,'Base de Datos Sumaria'!K93," ")</f>
        <v>0</v>
      </c>
      <c r="H96" s="10">
        <f>IF(SUM('Base de Datos Sumaria'!J93:Q93)&lt;&gt;0,'Base de Datos Sumaria'!L93," ")</f>
        <v>0</v>
      </c>
      <c r="I96" s="10">
        <f>IF(SUM('Base de Datos Sumaria'!J93:Q93)&lt;&gt;0,'Base de Datos Sumaria'!M93," ")</f>
        <v>0</v>
      </c>
      <c r="J96" s="10">
        <f>IF(SUM('Base de Datos Sumaria'!J93:Q93)&lt;&gt;0,'Base de Datos Sumaria'!N93," ")</f>
        <v>0</v>
      </c>
      <c r="K96" s="10">
        <f>IF(SUM('Base de Datos Sumaria'!J93:Q93)&lt;&gt;0,'Base de Datos Sumaria'!O93," ")</f>
        <v>0</v>
      </c>
      <c r="L96" s="10">
        <f>IF(SUM('Base de Datos Sumaria'!J93:Q93)&lt;&gt;0,'Base de Datos Sumaria'!P93," ")</f>
        <v>228100</v>
      </c>
      <c r="M96" s="10">
        <f>IF(SUM('Base de Datos Sumaria'!J93:Q93)&lt;&gt;0,'Base de Datos Sumaria'!Q93," ")</f>
        <v>0</v>
      </c>
      <c r="N96" s="10">
        <f>IF(SUM('Base de Datos Sumaria'!J93:Q93)&lt;&gt;0,SUM(F96:M96)," ")</f>
        <v>228100</v>
      </c>
    </row>
    <row r="97" spans="1:25" ht="12.95" customHeight="1" x14ac:dyDescent="0.2">
      <c r="A97" s="6" t="str">
        <f>IF(SUM('Base de Datos Sumaria'!J94:Q94)&lt;&gt;0,'Base de Datos Sumaria'!C94," ")</f>
        <v>B4</v>
      </c>
      <c r="B97" s="6" t="str">
        <f>IF(SUM('Base de Datos Sumaria'!J94:Q94)&lt;&gt;0,'Base de Datos Sumaria'!D94," ")</f>
        <v>302</v>
      </c>
      <c r="C97" s="7">
        <f>IF(SUM('Base de Datos Sumaria'!J94:Q94)&lt;&gt;0,'Base de Datos Sumaria'!H94," ")</f>
        <v>2357</v>
      </c>
      <c r="D97" s="8" t="str">
        <f>IF(SUM('Base de Datos Sumaria'!J94:Q94)&lt;&gt;0,'Base de Datos Maestro'!L94," ")</f>
        <v>NATALIA CORDOBA</v>
      </c>
      <c r="E97" s="9" t="str">
        <f>IF('Base de Datos Sumaria'!I94&lt;&gt;0,'Base de Datos Sumaria'!I94,"")</f>
        <v/>
      </c>
      <c r="F97" s="10">
        <f>IF(SUM('Base de Datos Sumaria'!J94:Q94)&lt;&gt;0,'Base de Datos Sumaria'!J94,"")</f>
        <v>0</v>
      </c>
      <c r="G97" s="10">
        <f>IF(SUM('Base de Datos Sumaria'!J94:Q94)&lt;&gt;0,'Base de Datos Sumaria'!K94," ")</f>
        <v>0</v>
      </c>
      <c r="H97" s="10">
        <f>IF(SUM('Base de Datos Sumaria'!J94:Q94)&lt;&gt;0,'Base de Datos Sumaria'!L94," ")</f>
        <v>0</v>
      </c>
      <c r="I97" s="10">
        <f>IF(SUM('Base de Datos Sumaria'!J94:Q94)&lt;&gt;0,'Base de Datos Sumaria'!M94," ")</f>
        <v>0</v>
      </c>
      <c r="J97" s="10">
        <f>IF(SUM('Base de Datos Sumaria'!J94:Q94)&lt;&gt;0,'Base de Datos Sumaria'!N94," ")</f>
        <v>0</v>
      </c>
      <c r="K97" s="10">
        <f>IF(SUM('Base de Datos Sumaria'!J94:Q94)&lt;&gt;0,'Base de Datos Sumaria'!O94," ")</f>
        <v>0</v>
      </c>
      <c r="L97" s="10">
        <f>IF(SUM('Base de Datos Sumaria'!J94:Q94)&lt;&gt;0,'Base de Datos Sumaria'!P94," ")</f>
        <v>51000</v>
      </c>
      <c r="M97" s="10">
        <f>IF(SUM('Base de Datos Sumaria'!J94:Q94)&lt;&gt;0,'Base de Datos Sumaria'!Q94," ")</f>
        <v>0</v>
      </c>
      <c r="N97" s="10">
        <f>IF(SUM('Base de Datos Sumaria'!J94:Q94)&lt;&gt;0,SUM(F97:M97)," ")</f>
        <v>51000</v>
      </c>
    </row>
    <row r="98" spans="1:25" ht="12.95" customHeight="1" x14ac:dyDescent="0.2">
      <c r="A98" s="6" t="str">
        <f>IF(SUM('Base de Datos Sumaria'!J95:Q95)&lt;&gt;0,'Base de Datos Sumaria'!C95," ")</f>
        <v xml:space="preserve"> </v>
      </c>
      <c r="B98" s="6" t="str">
        <f>IF(SUM('Base de Datos Sumaria'!J95:Q95)&lt;&gt;0,'Base de Datos Sumaria'!D95," ")</f>
        <v xml:space="preserve"> </v>
      </c>
      <c r="C98" s="7" t="str">
        <f>IF(SUM('Base de Datos Sumaria'!J95:Q95)&lt;&gt;0,'Base de Datos Sumaria'!H95," ")</f>
        <v xml:space="preserve"> </v>
      </c>
      <c r="D98" s="8" t="str">
        <f>IF(SUM('Base de Datos Sumaria'!J95:Q95)&lt;&gt;0,'Base de Datos Maestro'!L95," ")</f>
        <v xml:space="preserve"> </v>
      </c>
      <c r="E98" s="9" t="str">
        <f>IF('Base de Datos Sumaria'!I95&lt;&gt;0,'Base de Datos Sumaria'!I95,"")</f>
        <v/>
      </c>
      <c r="F98" s="10" t="str">
        <f>IF(SUM('Base de Datos Sumaria'!J95:Q95)&lt;&gt;0,'Base de Datos Sumaria'!J95,"")</f>
        <v/>
      </c>
      <c r="G98" s="10" t="str">
        <f>IF(SUM('Base de Datos Sumaria'!J95:Q95)&lt;&gt;0,'Base de Datos Sumaria'!K95," ")</f>
        <v xml:space="preserve"> </v>
      </c>
      <c r="H98" s="10" t="str">
        <f>IF(SUM('Base de Datos Sumaria'!J95:Q95)&lt;&gt;0,'Base de Datos Sumaria'!L95," ")</f>
        <v xml:space="preserve"> </v>
      </c>
      <c r="I98" s="10" t="str">
        <f>IF(SUM('Base de Datos Sumaria'!J95:Q95)&lt;&gt;0,'Base de Datos Sumaria'!M95," ")</f>
        <v xml:space="preserve"> </v>
      </c>
      <c r="J98" s="10" t="str">
        <f>IF(SUM('Base de Datos Sumaria'!J95:Q95)&lt;&gt;0,'Base de Datos Sumaria'!N95," ")</f>
        <v xml:space="preserve"> </v>
      </c>
      <c r="K98" s="10" t="str">
        <f>IF(SUM('Base de Datos Sumaria'!J95:Q95)&lt;&gt;0,'Base de Datos Sumaria'!O95," ")</f>
        <v xml:space="preserve"> </v>
      </c>
      <c r="L98" s="10" t="str">
        <f>IF(SUM('Base de Datos Sumaria'!J95:Q95)&lt;&gt;0,'Base de Datos Sumaria'!P95," ")</f>
        <v xml:space="preserve"> </v>
      </c>
      <c r="M98" s="10" t="str">
        <f>IF(SUM('Base de Datos Sumaria'!J95:Q95)&lt;&gt;0,'Base de Datos Sumaria'!Q95," ")</f>
        <v xml:space="preserve"> </v>
      </c>
      <c r="N98" s="10" t="str">
        <f>IF(SUM('Base de Datos Sumaria'!J95:Q95)&lt;&gt;0,SUM(F98:M98)," ")</f>
        <v xml:space="preserve"> </v>
      </c>
    </row>
    <row r="99" spans="1:25" ht="12.95" customHeight="1" x14ac:dyDescent="0.2">
      <c r="A99" s="6" t="str">
        <f>IF(SUM('Base de Datos Sumaria'!J96:Q96)&lt;&gt;0,'Base de Datos Sumaria'!C96," ")</f>
        <v xml:space="preserve"> </v>
      </c>
      <c r="B99" s="6" t="str">
        <f>IF(SUM('Base de Datos Sumaria'!J96:Q96)&lt;&gt;0,'Base de Datos Sumaria'!D96," ")</f>
        <v xml:space="preserve"> </v>
      </c>
      <c r="C99" s="7" t="str">
        <f>IF(SUM('Base de Datos Sumaria'!J96:Q96)&lt;&gt;0,'Base de Datos Sumaria'!H96," ")</f>
        <v xml:space="preserve"> </v>
      </c>
      <c r="D99" s="8" t="str">
        <f>IF(SUM('Base de Datos Sumaria'!J96:Q96)&lt;&gt;0,'Base de Datos Maestro'!L96," ")</f>
        <v xml:space="preserve"> </v>
      </c>
      <c r="E99" s="9" t="str">
        <f>IF('Base de Datos Sumaria'!I96&lt;&gt;0,'Base de Datos Sumaria'!I96,"")</f>
        <v/>
      </c>
      <c r="F99" s="10" t="str">
        <f>IF(SUM('Base de Datos Sumaria'!J96:Q96)&lt;&gt;0,'Base de Datos Sumaria'!J96,"")</f>
        <v/>
      </c>
      <c r="G99" s="10" t="str">
        <f>IF(SUM('Base de Datos Sumaria'!J96:Q96)&lt;&gt;0,'Base de Datos Sumaria'!K96," ")</f>
        <v xml:space="preserve"> </v>
      </c>
      <c r="H99" s="10" t="str">
        <f>IF(SUM('Base de Datos Sumaria'!J96:Q96)&lt;&gt;0,'Base de Datos Sumaria'!L96," ")</f>
        <v xml:space="preserve"> </v>
      </c>
      <c r="I99" s="10" t="str">
        <f>IF(SUM('Base de Datos Sumaria'!J96:Q96)&lt;&gt;0,'Base de Datos Sumaria'!M96," ")</f>
        <v xml:space="preserve"> </v>
      </c>
      <c r="J99" s="10" t="str">
        <f>IF(SUM('Base de Datos Sumaria'!J96:Q96)&lt;&gt;0,'Base de Datos Sumaria'!N96," ")</f>
        <v xml:space="preserve"> </v>
      </c>
      <c r="K99" s="10" t="str">
        <f>IF(SUM('Base de Datos Sumaria'!J96:Q96)&lt;&gt;0,'Base de Datos Sumaria'!O96," ")</f>
        <v xml:space="preserve"> </v>
      </c>
      <c r="L99" s="10" t="str">
        <f>IF(SUM('Base de Datos Sumaria'!J96:Q96)&lt;&gt;0,'Base de Datos Sumaria'!P96," ")</f>
        <v xml:space="preserve"> </v>
      </c>
      <c r="M99" s="10" t="str">
        <f>IF(SUM('Base de Datos Sumaria'!J96:Q96)&lt;&gt;0,'Base de Datos Sumaria'!Q96," ")</f>
        <v xml:space="preserve"> </v>
      </c>
      <c r="N99" s="10" t="str">
        <f>IF(SUM('Base de Datos Sumaria'!J96:Q96)&lt;&gt;0,SUM(F99:M99)," ")</f>
        <v xml:space="preserve"> </v>
      </c>
    </row>
    <row r="100" spans="1:25" ht="12.95" customHeight="1" x14ac:dyDescent="0.2">
      <c r="A100" s="6" t="str">
        <f>IF(SUM('Base de Datos Sumaria'!J97:Q97)&lt;&gt;0,'Base de Datos Sumaria'!C97," ")</f>
        <v xml:space="preserve"> </v>
      </c>
      <c r="B100" s="6" t="str">
        <f>IF(SUM('Base de Datos Sumaria'!J97:Q97)&lt;&gt;0,'Base de Datos Sumaria'!D97," ")</f>
        <v xml:space="preserve"> </v>
      </c>
      <c r="C100" s="7" t="str">
        <f>IF(SUM('Base de Datos Sumaria'!J97:Q97)&lt;&gt;0,'Base de Datos Sumaria'!H97," ")</f>
        <v xml:space="preserve"> </v>
      </c>
      <c r="D100" s="8" t="str">
        <f>IF(SUM('Base de Datos Sumaria'!J97:Q97)&lt;&gt;0,'Base de Datos Maestro'!L97," ")</f>
        <v xml:space="preserve"> </v>
      </c>
      <c r="E100" s="9" t="str">
        <f>IF('Base de Datos Sumaria'!I97&lt;&gt;0,'Base de Datos Sumaria'!I97,"")</f>
        <v/>
      </c>
      <c r="F100" s="10" t="str">
        <f>IF(SUM('Base de Datos Sumaria'!J97:Q97)&lt;&gt;0,'Base de Datos Sumaria'!J97,"")</f>
        <v/>
      </c>
      <c r="G100" s="10" t="str">
        <f>IF(SUM('Base de Datos Sumaria'!J97:Q97)&lt;&gt;0,'Base de Datos Sumaria'!K97," ")</f>
        <v xml:space="preserve"> </v>
      </c>
      <c r="H100" s="10" t="str">
        <f>IF(SUM('Base de Datos Sumaria'!J97:Q97)&lt;&gt;0,'Base de Datos Sumaria'!L97," ")</f>
        <v xml:space="preserve"> </v>
      </c>
      <c r="I100" s="10" t="str">
        <f>IF(SUM('Base de Datos Sumaria'!J97:Q97)&lt;&gt;0,'Base de Datos Sumaria'!M97," ")</f>
        <v xml:space="preserve"> </v>
      </c>
      <c r="J100" s="10" t="str">
        <f>IF(SUM('Base de Datos Sumaria'!J97:Q97)&lt;&gt;0,'Base de Datos Sumaria'!N97," ")</f>
        <v xml:space="preserve"> </v>
      </c>
      <c r="K100" s="10" t="str">
        <f>IF(SUM('Base de Datos Sumaria'!J97:Q97)&lt;&gt;0,'Base de Datos Sumaria'!O97," ")</f>
        <v xml:space="preserve"> </v>
      </c>
      <c r="L100" s="10" t="str">
        <f>IF(SUM('Base de Datos Sumaria'!J97:Q97)&lt;&gt;0,'Base de Datos Sumaria'!P97," ")</f>
        <v xml:space="preserve"> </v>
      </c>
      <c r="M100" s="10" t="str">
        <f>IF(SUM('Base de Datos Sumaria'!J97:Q97)&lt;&gt;0,'Base de Datos Sumaria'!Q97," ")</f>
        <v xml:space="preserve"> </v>
      </c>
      <c r="N100" s="10" t="str">
        <f>IF(SUM('Base de Datos Sumaria'!J97:Q97)&lt;&gt;0,SUM(F100:M100)," ")</f>
        <v xml:space="preserve"> </v>
      </c>
    </row>
    <row r="101" spans="1:25" ht="12.95" customHeight="1" x14ac:dyDescent="0.2">
      <c r="A101" s="6" t="str">
        <f>IF(SUM('Base de Datos Sumaria'!J98:Q98)&lt;&gt;0,'Base de Datos Sumaria'!C98," ")</f>
        <v xml:space="preserve"> </v>
      </c>
      <c r="B101" s="6" t="str">
        <f>IF(SUM('Base de Datos Sumaria'!J98:Q98)&lt;&gt;0,'Base de Datos Sumaria'!D98," ")</f>
        <v xml:space="preserve"> </v>
      </c>
      <c r="C101" s="7" t="str">
        <f>IF(SUM('Base de Datos Sumaria'!J98:Q98)&lt;&gt;0,'Base de Datos Sumaria'!H98," ")</f>
        <v xml:space="preserve"> </v>
      </c>
      <c r="D101" s="8" t="str">
        <f>IF(SUM('Base de Datos Sumaria'!J98:Q98)&lt;&gt;0,'Base de Datos Maestro'!L98," ")</f>
        <v xml:space="preserve"> </v>
      </c>
      <c r="E101" s="9" t="str">
        <f>IF('Base de Datos Sumaria'!I98&lt;&gt;0,'Base de Datos Sumaria'!I98,"")</f>
        <v/>
      </c>
      <c r="F101" s="10" t="str">
        <f>IF(SUM('Base de Datos Sumaria'!J98:Q98)&lt;&gt;0,'Base de Datos Sumaria'!J98,"")</f>
        <v/>
      </c>
      <c r="G101" s="10" t="str">
        <f>IF(SUM('Base de Datos Sumaria'!J98:Q98)&lt;&gt;0,'Base de Datos Sumaria'!K98," ")</f>
        <v xml:space="preserve"> </v>
      </c>
      <c r="H101" s="10" t="str">
        <f>IF(SUM('Base de Datos Sumaria'!J98:Q98)&lt;&gt;0,'Base de Datos Sumaria'!L98," ")</f>
        <v xml:space="preserve"> </v>
      </c>
      <c r="I101" s="10" t="str">
        <f>IF(SUM('Base de Datos Sumaria'!J98:Q98)&lt;&gt;0,'Base de Datos Sumaria'!M98," ")</f>
        <v xml:space="preserve"> </v>
      </c>
      <c r="J101" s="10" t="str">
        <f>IF(SUM('Base de Datos Sumaria'!J98:Q98)&lt;&gt;0,'Base de Datos Sumaria'!N98," ")</f>
        <v xml:space="preserve"> </v>
      </c>
      <c r="K101" s="10" t="str">
        <f>IF(SUM('Base de Datos Sumaria'!J98:Q98)&lt;&gt;0,'Base de Datos Sumaria'!O98," ")</f>
        <v xml:space="preserve"> </v>
      </c>
      <c r="L101" s="10" t="str">
        <f>IF(SUM('Base de Datos Sumaria'!J98:Q98)&lt;&gt;0,'Base de Datos Sumaria'!P98," ")</f>
        <v xml:space="preserve"> </v>
      </c>
      <c r="M101" s="10" t="str">
        <f>IF(SUM('Base de Datos Sumaria'!J98:Q98)&lt;&gt;0,'Base de Datos Sumaria'!Q98," ")</f>
        <v xml:space="preserve"> </v>
      </c>
      <c r="N101" s="10" t="str">
        <f>IF(SUM('Base de Datos Sumaria'!J98:Q98)&lt;&gt;0,SUM(F101:M101)," ")</f>
        <v xml:space="preserve"> </v>
      </c>
    </row>
    <row r="102" spans="1:25" ht="12.95" customHeight="1" x14ac:dyDescent="0.2">
      <c r="A102" s="6" t="str">
        <f>IF(SUM('Base de Datos Sumaria'!J99:Q99)&lt;&gt;0,'Base de Datos Sumaria'!C99," ")</f>
        <v xml:space="preserve"> </v>
      </c>
      <c r="B102" s="6" t="str">
        <f>IF(SUM('Base de Datos Sumaria'!J99:Q99)&lt;&gt;0,'Base de Datos Sumaria'!D99," ")</f>
        <v xml:space="preserve"> </v>
      </c>
      <c r="C102" s="7" t="str">
        <f>IF(SUM('Base de Datos Sumaria'!J99:Q99)&lt;&gt;0,'Base de Datos Sumaria'!H99," ")</f>
        <v xml:space="preserve"> </v>
      </c>
      <c r="D102" s="8" t="str">
        <f>IF(SUM('Base de Datos Sumaria'!J99:Q99)&lt;&gt;0,'Base de Datos Maestro'!L99," ")</f>
        <v xml:space="preserve"> </v>
      </c>
      <c r="E102" s="9" t="str">
        <f>IF('Base de Datos Sumaria'!I99&lt;&gt;0,'Base de Datos Sumaria'!I99,"")</f>
        <v/>
      </c>
      <c r="F102" s="10" t="str">
        <f>IF(SUM('Base de Datos Sumaria'!J99:Q99)&lt;&gt;0,'Base de Datos Sumaria'!J99,"")</f>
        <v/>
      </c>
      <c r="G102" s="10" t="str">
        <f>IF(SUM('Base de Datos Sumaria'!J99:Q99)&lt;&gt;0,'Base de Datos Sumaria'!K99," ")</f>
        <v xml:space="preserve"> </v>
      </c>
      <c r="H102" s="10" t="str">
        <f>IF(SUM('Base de Datos Sumaria'!J99:Q99)&lt;&gt;0,'Base de Datos Sumaria'!L99," ")</f>
        <v xml:space="preserve"> </v>
      </c>
      <c r="I102" s="10" t="str">
        <f>IF(SUM('Base de Datos Sumaria'!J99:Q99)&lt;&gt;0,'Base de Datos Sumaria'!M99," ")</f>
        <v xml:space="preserve"> </v>
      </c>
      <c r="J102" s="10" t="str">
        <f>IF(SUM('Base de Datos Sumaria'!J99:Q99)&lt;&gt;0,'Base de Datos Sumaria'!N99," ")</f>
        <v xml:space="preserve"> </v>
      </c>
      <c r="K102" s="10" t="str">
        <f>IF(SUM('Base de Datos Sumaria'!J99:Q99)&lt;&gt;0,'Base de Datos Sumaria'!O99," ")</f>
        <v xml:space="preserve"> </v>
      </c>
      <c r="L102" s="10" t="str">
        <f>IF(SUM('Base de Datos Sumaria'!J99:Q99)&lt;&gt;0,'Base de Datos Sumaria'!P99," ")</f>
        <v xml:space="preserve"> </v>
      </c>
      <c r="M102" s="10" t="str">
        <f>IF(SUM('Base de Datos Sumaria'!J99:Q99)&lt;&gt;0,'Base de Datos Sumaria'!Q99," ")</f>
        <v xml:space="preserve"> </v>
      </c>
      <c r="N102" s="10" t="str">
        <f>IF(SUM('Base de Datos Sumaria'!J99:Q99)&lt;&gt;0,SUM(F102:M102)," ")</f>
        <v xml:space="preserve"> </v>
      </c>
    </row>
    <row r="103" spans="1:25" ht="12.95" customHeight="1" x14ac:dyDescent="0.2">
      <c r="A103" s="6" t="str">
        <f>IF(SUM('Base de Datos Sumaria'!J100:Q100)&lt;&gt;0,'Base de Datos Sumaria'!C100," ")</f>
        <v xml:space="preserve"> </v>
      </c>
      <c r="B103" s="6" t="str">
        <f>IF(SUM('Base de Datos Sumaria'!J100:Q100)&lt;&gt;0,'Base de Datos Sumaria'!D100," ")</f>
        <v xml:space="preserve"> </v>
      </c>
      <c r="C103" s="7" t="str">
        <f>IF(SUM('Base de Datos Sumaria'!J100:Q100)&lt;&gt;0,'Base de Datos Sumaria'!H100," ")</f>
        <v xml:space="preserve"> </v>
      </c>
      <c r="D103" s="8" t="str">
        <f>IF(SUM('Base de Datos Sumaria'!J100:Q100)&lt;&gt;0,'Base de Datos Maestro'!L100," ")</f>
        <v xml:space="preserve"> </v>
      </c>
      <c r="E103" s="9" t="str">
        <f>IF('Base de Datos Sumaria'!I100&lt;&gt;0,'Base de Datos Sumaria'!I100,"")</f>
        <v/>
      </c>
      <c r="F103" s="10" t="str">
        <f>IF(SUM('Base de Datos Sumaria'!J100:Q100)&lt;&gt;0,'Base de Datos Sumaria'!J100,"")</f>
        <v/>
      </c>
      <c r="G103" s="10" t="str">
        <f>IF(SUM('Base de Datos Sumaria'!J100:Q100)&lt;&gt;0,'Base de Datos Sumaria'!K100," ")</f>
        <v xml:space="preserve"> </v>
      </c>
      <c r="H103" s="10" t="str">
        <f>IF(SUM('Base de Datos Sumaria'!J100:Q100)&lt;&gt;0,'Base de Datos Sumaria'!L100," ")</f>
        <v xml:space="preserve"> </v>
      </c>
      <c r="I103" s="10" t="str">
        <f>IF(SUM('Base de Datos Sumaria'!J100:Q100)&lt;&gt;0,'Base de Datos Sumaria'!M100," ")</f>
        <v xml:space="preserve"> </v>
      </c>
      <c r="J103" s="10" t="str">
        <f>IF(SUM('Base de Datos Sumaria'!J100:Q100)&lt;&gt;0,'Base de Datos Sumaria'!N100," ")</f>
        <v xml:space="preserve"> </v>
      </c>
      <c r="K103" s="10" t="str">
        <f>IF(SUM('Base de Datos Sumaria'!J100:Q100)&lt;&gt;0,'Base de Datos Sumaria'!O100," ")</f>
        <v xml:space="preserve"> </v>
      </c>
      <c r="L103" s="10" t="str">
        <f>IF(SUM('Base de Datos Sumaria'!J100:Q100)&lt;&gt;0,'Base de Datos Sumaria'!P100," ")</f>
        <v xml:space="preserve"> </v>
      </c>
      <c r="M103" s="10" t="str">
        <f>IF(SUM('Base de Datos Sumaria'!J100:Q100)&lt;&gt;0,'Base de Datos Sumaria'!Q100," ")</f>
        <v xml:space="preserve"> </v>
      </c>
      <c r="N103" s="10" t="str">
        <f>IF(SUM('Base de Datos Sumaria'!J100:Q100)&lt;&gt;0,SUM(F103:M103)," ")</f>
        <v xml:space="preserve"> </v>
      </c>
    </row>
    <row r="104" spans="1:25" ht="12.95" customHeight="1" x14ac:dyDescent="0.2">
      <c r="A104" s="6" t="str">
        <f>IF(SUM('Base de Datos Sumaria'!J101:Q101)&lt;&gt;0,'Base de Datos Sumaria'!C101," ")</f>
        <v xml:space="preserve"> </v>
      </c>
      <c r="B104" s="6" t="str">
        <f>IF(SUM('Base de Datos Sumaria'!J101:Q101)&lt;&gt;0,'Base de Datos Sumaria'!D101," ")</f>
        <v xml:space="preserve"> </v>
      </c>
      <c r="C104" s="7" t="str">
        <f>IF(SUM('Base de Datos Sumaria'!J101:Q101)&lt;&gt;0,'Base de Datos Sumaria'!H101," ")</f>
        <v xml:space="preserve"> </v>
      </c>
      <c r="D104" s="8" t="str">
        <f>IF(SUM('Base de Datos Sumaria'!J101:Q101)&lt;&gt;0,'Base de Datos Maestro'!L101," ")</f>
        <v xml:space="preserve"> </v>
      </c>
      <c r="E104" s="9" t="str">
        <f>IF('Base de Datos Sumaria'!I101&lt;&gt;0,'Base de Datos Sumaria'!I101,"")</f>
        <v/>
      </c>
      <c r="F104" s="10" t="str">
        <f>IF(SUM('Base de Datos Sumaria'!J101:Q101)&lt;&gt;0,'Base de Datos Sumaria'!J101,"")</f>
        <v/>
      </c>
      <c r="G104" s="10" t="str">
        <f>IF(SUM('Base de Datos Sumaria'!J101:Q101)&lt;&gt;0,'Base de Datos Sumaria'!K101," ")</f>
        <v xml:space="preserve"> </v>
      </c>
      <c r="H104" s="10" t="str">
        <f>IF(SUM('Base de Datos Sumaria'!J101:Q101)&lt;&gt;0,'Base de Datos Sumaria'!L101," ")</f>
        <v xml:space="preserve"> </v>
      </c>
      <c r="I104" s="10" t="str">
        <f>IF(SUM('Base de Datos Sumaria'!J101:Q101)&lt;&gt;0,'Base de Datos Sumaria'!M101," ")</f>
        <v xml:space="preserve"> </v>
      </c>
      <c r="J104" s="10" t="str">
        <f>IF(SUM('Base de Datos Sumaria'!J101:Q101)&lt;&gt;0,'Base de Datos Sumaria'!N101," ")</f>
        <v xml:space="preserve"> </v>
      </c>
      <c r="K104" s="10" t="str">
        <f>IF(SUM('Base de Datos Sumaria'!J101:Q101)&lt;&gt;0,'Base de Datos Sumaria'!O101," ")</f>
        <v xml:space="preserve"> </v>
      </c>
      <c r="L104" s="10" t="str">
        <f>IF(SUM('Base de Datos Sumaria'!J101:Q101)&lt;&gt;0,'Base de Datos Sumaria'!P101," ")</f>
        <v xml:space="preserve"> </v>
      </c>
      <c r="M104" s="10" t="str">
        <f>IF(SUM('Base de Datos Sumaria'!J101:Q101)&lt;&gt;0,'Base de Datos Sumaria'!Q101," ")</f>
        <v xml:space="preserve"> </v>
      </c>
      <c r="N104" s="10" t="str">
        <f>IF(SUM('Base de Datos Sumaria'!J101:Q101)&lt;&gt;0,SUM(F104:M104)," ")</f>
        <v xml:space="preserve"> </v>
      </c>
    </row>
    <row r="105" spans="1:25" ht="12.95" customHeight="1" x14ac:dyDescent="0.2">
      <c r="A105" s="6" t="str">
        <f>IF(SUM('Base de Datos Sumaria'!J102:Q102)&lt;&gt;0,'Base de Datos Sumaria'!C102," ")</f>
        <v xml:space="preserve"> </v>
      </c>
      <c r="B105" s="6" t="str">
        <f>IF(SUM('Base de Datos Sumaria'!J102:Q102)&lt;&gt;0,'Base de Datos Sumaria'!D102," ")</f>
        <v xml:space="preserve"> </v>
      </c>
      <c r="C105" s="7" t="str">
        <f>IF(SUM('Base de Datos Sumaria'!J102:Q102)&lt;&gt;0,'Base de Datos Sumaria'!H102," ")</f>
        <v xml:space="preserve"> </v>
      </c>
      <c r="D105" s="8" t="str">
        <f>IF(SUM('Base de Datos Sumaria'!J102:Q102)&lt;&gt;0,'Base de Datos Maestro'!L102," ")</f>
        <v xml:space="preserve"> </v>
      </c>
      <c r="E105" s="9" t="str">
        <f>IF('Base de Datos Sumaria'!I102&lt;&gt;0,'Base de Datos Sumaria'!I102,"")</f>
        <v/>
      </c>
      <c r="F105" s="10" t="str">
        <f>IF(SUM('Base de Datos Sumaria'!J102:Q102)&lt;&gt;0,'Base de Datos Sumaria'!J102,"")</f>
        <v/>
      </c>
      <c r="G105" s="10" t="str">
        <f>IF(SUM('Base de Datos Sumaria'!J102:Q102)&lt;&gt;0,'Base de Datos Sumaria'!K102," ")</f>
        <v xml:space="preserve"> </v>
      </c>
      <c r="H105" s="10" t="str">
        <f>IF(SUM('Base de Datos Sumaria'!J102:Q102)&lt;&gt;0,'Base de Datos Sumaria'!L102," ")</f>
        <v xml:space="preserve"> </v>
      </c>
      <c r="I105" s="10" t="str">
        <f>IF(SUM('Base de Datos Sumaria'!J102:Q102)&lt;&gt;0,'Base de Datos Sumaria'!M102," ")</f>
        <v xml:space="preserve"> </v>
      </c>
      <c r="J105" s="10" t="str">
        <f>IF(SUM('Base de Datos Sumaria'!J102:Q102)&lt;&gt;0,'Base de Datos Sumaria'!N102," ")</f>
        <v xml:space="preserve"> </v>
      </c>
      <c r="K105" s="10" t="str">
        <f>IF(SUM('Base de Datos Sumaria'!J102:Q102)&lt;&gt;0,'Base de Datos Sumaria'!O102," ")</f>
        <v xml:space="preserve"> </v>
      </c>
      <c r="L105" s="10" t="str">
        <f>IF(SUM('Base de Datos Sumaria'!J102:Q102)&lt;&gt;0,'Base de Datos Sumaria'!P102," ")</f>
        <v xml:space="preserve"> </v>
      </c>
      <c r="M105" s="10" t="str">
        <f>IF(SUM('Base de Datos Sumaria'!J102:Q102)&lt;&gt;0,'Base de Datos Sumaria'!Q102," ")</f>
        <v xml:space="preserve"> </v>
      </c>
      <c r="N105" s="10" t="str">
        <f>IF(SUM('Base de Datos Sumaria'!J102:Q102)&lt;&gt;0,SUM(F105:M105)," ")</f>
        <v xml:space="preserve"> </v>
      </c>
    </row>
    <row r="106" spans="1:25" ht="12.95" customHeight="1" x14ac:dyDescent="0.2">
      <c r="A106" s="6" t="str">
        <f>IF(SUM('Base de Datos Sumaria'!J103:Q103)&lt;&gt;0,'Base de Datos Sumaria'!C103," ")</f>
        <v xml:space="preserve"> </v>
      </c>
      <c r="B106" s="6" t="str">
        <f>IF(SUM('Base de Datos Sumaria'!J103:Q103)&lt;&gt;0,'Base de Datos Sumaria'!D103," ")</f>
        <v xml:space="preserve"> </v>
      </c>
      <c r="C106" s="7" t="str">
        <f>IF(SUM('Base de Datos Sumaria'!J103:Q103)&lt;&gt;0,'Base de Datos Sumaria'!H103," ")</f>
        <v xml:space="preserve"> </v>
      </c>
      <c r="D106" s="8" t="str">
        <f>IF(SUM('Base de Datos Sumaria'!J103:Q103)&lt;&gt;0,'Base de Datos Maestro'!L103," ")</f>
        <v xml:space="preserve"> </v>
      </c>
      <c r="E106" s="9" t="str">
        <f>IF('Base de Datos Sumaria'!I103&lt;&gt;0,'Base de Datos Sumaria'!I103,"")</f>
        <v/>
      </c>
      <c r="F106" s="10" t="str">
        <f>IF(SUM('Base de Datos Sumaria'!J103:Q103)&lt;&gt;0,'Base de Datos Sumaria'!J103,"")</f>
        <v/>
      </c>
      <c r="G106" s="10" t="str">
        <f>IF(SUM('Base de Datos Sumaria'!J103:Q103)&lt;&gt;0,'Base de Datos Sumaria'!K103," ")</f>
        <v xml:space="preserve"> </v>
      </c>
      <c r="H106" s="10" t="str">
        <f>IF(SUM('Base de Datos Sumaria'!J103:Q103)&lt;&gt;0,'Base de Datos Sumaria'!L103," ")</f>
        <v xml:space="preserve"> </v>
      </c>
      <c r="I106" s="10" t="str">
        <f>IF(SUM('Base de Datos Sumaria'!J103:Q103)&lt;&gt;0,'Base de Datos Sumaria'!M103," ")</f>
        <v xml:space="preserve"> </v>
      </c>
      <c r="J106" s="10" t="str">
        <f>IF(SUM('Base de Datos Sumaria'!J103:Q103)&lt;&gt;0,'Base de Datos Sumaria'!N103," ")</f>
        <v xml:space="preserve"> </v>
      </c>
      <c r="K106" s="10" t="str">
        <f>IF(SUM('Base de Datos Sumaria'!J103:Q103)&lt;&gt;0,'Base de Datos Sumaria'!O103," ")</f>
        <v xml:space="preserve"> </v>
      </c>
      <c r="L106" s="10" t="str">
        <f>IF(SUM('Base de Datos Sumaria'!J103:Q103)&lt;&gt;0,'Base de Datos Sumaria'!P103," ")</f>
        <v xml:space="preserve"> </v>
      </c>
      <c r="M106" s="10" t="str">
        <f>IF(SUM('Base de Datos Sumaria'!J103:Q103)&lt;&gt;0,'Base de Datos Sumaria'!Q103," ")</f>
        <v xml:space="preserve"> </v>
      </c>
      <c r="N106" s="10" t="str">
        <f>IF(SUM('Base de Datos Sumaria'!J103:Q103)&lt;&gt;0,SUM(F106:M106)," ")</f>
        <v xml:space="preserve"> </v>
      </c>
    </row>
    <row r="107" spans="1:25" ht="12.95" customHeight="1" x14ac:dyDescent="0.2">
      <c r="A107" s="6" t="str">
        <f>IF(SUM('Base de Datos Sumaria'!J104:Q104)&lt;&gt;0,'Base de Datos Sumaria'!C104," ")</f>
        <v xml:space="preserve"> </v>
      </c>
      <c r="B107" s="6" t="str">
        <f>IF(SUM('Base de Datos Sumaria'!J104:Q104)&lt;&gt;0,'Base de Datos Sumaria'!D104," ")</f>
        <v xml:space="preserve"> </v>
      </c>
      <c r="C107" s="7" t="str">
        <f>IF(SUM('Base de Datos Sumaria'!J104:Q104)&lt;&gt;0,'Base de Datos Sumaria'!H104," ")</f>
        <v xml:space="preserve"> </v>
      </c>
      <c r="D107" s="8" t="str">
        <f>IF(SUM('Base de Datos Sumaria'!J104:Q104)&lt;&gt;0,'Base de Datos Maestro'!L104," ")</f>
        <v xml:space="preserve"> </v>
      </c>
      <c r="E107" s="9" t="str">
        <f>IF('Base de Datos Sumaria'!I104&lt;&gt;0,'Base de Datos Sumaria'!I104,"")</f>
        <v/>
      </c>
      <c r="F107" s="10" t="str">
        <f>IF(SUM('Base de Datos Sumaria'!J104:Q104)&lt;&gt;0,'Base de Datos Sumaria'!J104,"")</f>
        <v/>
      </c>
      <c r="G107" s="10" t="str">
        <f>IF(SUM('Base de Datos Sumaria'!J104:Q104)&lt;&gt;0,'Base de Datos Sumaria'!K104," ")</f>
        <v xml:space="preserve"> </v>
      </c>
      <c r="H107" s="10" t="str">
        <f>IF(SUM('Base de Datos Sumaria'!J104:Q104)&lt;&gt;0,'Base de Datos Sumaria'!L104," ")</f>
        <v xml:space="preserve"> </v>
      </c>
      <c r="I107" s="10" t="str">
        <f>IF(SUM('Base de Datos Sumaria'!J104:Q104)&lt;&gt;0,'Base de Datos Sumaria'!M104," ")</f>
        <v xml:space="preserve"> </v>
      </c>
      <c r="J107" s="10" t="str">
        <f>IF(SUM('Base de Datos Sumaria'!J104:Q104)&lt;&gt;0,'Base de Datos Sumaria'!N104," ")</f>
        <v xml:space="preserve"> </v>
      </c>
      <c r="K107" s="10" t="str">
        <f>IF(SUM('Base de Datos Sumaria'!J104:Q104)&lt;&gt;0,'Base de Datos Sumaria'!O104," ")</f>
        <v xml:space="preserve"> </v>
      </c>
      <c r="L107" s="10" t="str">
        <f>IF(SUM('Base de Datos Sumaria'!J104:Q104)&lt;&gt;0,'Base de Datos Sumaria'!P104," ")</f>
        <v xml:space="preserve"> </v>
      </c>
      <c r="M107" s="10" t="str">
        <f>IF(SUM('Base de Datos Sumaria'!J104:Q104)&lt;&gt;0,'Base de Datos Sumaria'!Q104," ")</f>
        <v xml:space="preserve"> </v>
      </c>
      <c r="N107" s="10" t="str">
        <f>IF(SUM('Base de Datos Sumaria'!J104:Q104)&lt;&gt;0,SUM(F107:M107)," ")</f>
        <v xml:space="preserve"> </v>
      </c>
    </row>
    <row r="108" spans="1:25" ht="12.95" customHeight="1" x14ac:dyDescent="0.2">
      <c r="A108" s="6" t="str">
        <f>IF(SUM('Base de Datos Sumaria'!J105:Q105)&lt;&gt;0,'Base de Datos Sumaria'!C105," ")</f>
        <v xml:space="preserve"> </v>
      </c>
      <c r="B108" s="6" t="str">
        <f>IF(SUM('Base de Datos Sumaria'!J105:Q105)&lt;&gt;0,'Base de Datos Sumaria'!D105," ")</f>
        <v xml:space="preserve"> </v>
      </c>
      <c r="C108" s="7" t="str">
        <f>IF(SUM('Base de Datos Sumaria'!J105:Q105)&lt;&gt;0,'Base de Datos Sumaria'!H105," ")</f>
        <v xml:space="preserve"> </v>
      </c>
      <c r="D108" s="8" t="str">
        <f>IF(SUM('Base de Datos Sumaria'!J105:Q105)&lt;&gt;0,'Base de Datos Maestro'!L105," ")</f>
        <v xml:space="preserve"> </v>
      </c>
      <c r="E108" s="9" t="str">
        <f>IF('Base de Datos Sumaria'!I105&lt;&gt;0,'Base de Datos Sumaria'!I105,"")</f>
        <v/>
      </c>
      <c r="F108" s="10" t="str">
        <f>IF(SUM('Base de Datos Sumaria'!J105:Q105)&lt;&gt;0,'Base de Datos Sumaria'!J105,"")</f>
        <v/>
      </c>
      <c r="G108" s="10" t="str">
        <f>IF(SUM('Base de Datos Sumaria'!J105:Q105)&lt;&gt;0,'Base de Datos Sumaria'!K105," ")</f>
        <v xml:space="preserve"> </v>
      </c>
      <c r="H108" s="10" t="str">
        <f>IF(SUM('Base de Datos Sumaria'!J105:Q105)&lt;&gt;0,'Base de Datos Sumaria'!L105," ")</f>
        <v xml:space="preserve"> </v>
      </c>
      <c r="I108" s="10" t="str">
        <f>IF(SUM('Base de Datos Sumaria'!J105:Q105)&lt;&gt;0,'Base de Datos Sumaria'!M105," ")</f>
        <v xml:space="preserve"> </v>
      </c>
      <c r="J108" s="10" t="str">
        <f>IF(SUM('Base de Datos Sumaria'!J105:Q105)&lt;&gt;0,'Base de Datos Sumaria'!N105," ")</f>
        <v xml:space="preserve"> </v>
      </c>
      <c r="K108" s="10" t="str">
        <f>IF(SUM('Base de Datos Sumaria'!J105:Q105)&lt;&gt;0,'Base de Datos Sumaria'!O105," ")</f>
        <v xml:space="preserve"> </v>
      </c>
      <c r="L108" s="10" t="str">
        <f>IF(SUM('Base de Datos Sumaria'!J105:Q105)&lt;&gt;0,'Base de Datos Sumaria'!P105," ")</f>
        <v xml:space="preserve"> </v>
      </c>
      <c r="M108" s="10" t="str">
        <f>IF(SUM('Base de Datos Sumaria'!J105:Q105)&lt;&gt;0,'Base de Datos Sumaria'!Q105," ")</f>
        <v xml:space="preserve"> </v>
      </c>
      <c r="N108" s="10" t="str">
        <f>IF(SUM('Base de Datos Sumaria'!J105:Q105)&lt;&gt;0,SUM(F108:M108)," ")</f>
        <v xml:space="preserve"> </v>
      </c>
    </row>
    <row r="109" spans="1:25" ht="12.95" customHeight="1" x14ac:dyDescent="0.2">
      <c r="A109" s="6" t="str">
        <f>IF(SUM('Base de Datos Sumaria'!J106:Q106)&lt;&gt;0,'Base de Datos Sumaria'!C106," ")</f>
        <v xml:space="preserve"> </v>
      </c>
      <c r="B109" s="6" t="str">
        <f>IF(SUM('Base de Datos Sumaria'!J106:Q106)&lt;&gt;0,'Base de Datos Sumaria'!D106," ")</f>
        <v xml:space="preserve"> </v>
      </c>
      <c r="C109" s="7" t="str">
        <f>IF(SUM('Base de Datos Sumaria'!J106:Q106)&lt;&gt;0,'Base de Datos Sumaria'!H106," ")</f>
        <v xml:space="preserve"> </v>
      </c>
      <c r="D109" s="8" t="str">
        <f>IF(SUM('Base de Datos Sumaria'!J106:Q106)&lt;&gt;0,'Base de Datos Maestro'!L106," ")</f>
        <v xml:space="preserve"> </v>
      </c>
      <c r="E109" s="9" t="str">
        <f>IF('Base de Datos Sumaria'!I106&lt;&gt;0,'Base de Datos Sumaria'!I106,"")</f>
        <v/>
      </c>
      <c r="F109" s="10" t="str">
        <f>IF(SUM('Base de Datos Sumaria'!J106:Q106)&lt;&gt;0,'Base de Datos Sumaria'!J106,"")</f>
        <v/>
      </c>
      <c r="G109" s="10" t="str">
        <f>IF(SUM('Base de Datos Sumaria'!J106:Q106)&lt;&gt;0,'Base de Datos Sumaria'!K106," ")</f>
        <v xml:space="preserve"> </v>
      </c>
      <c r="H109" s="10" t="str">
        <f>IF(SUM('Base de Datos Sumaria'!J106:Q106)&lt;&gt;0,'Base de Datos Sumaria'!L106," ")</f>
        <v xml:space="preserve"> </v>
      </c>
      <c r="I109" s="10" t="str">
        <f>IF(SUM('Base de Datos Sumaria'!J106:Q106)&lt;&gt;0,'Base de Datos Sumaria'!M106," ")</f>
        <v xml:space="preserve"> </v>
      </c>
      <c r="J109" s="10" t="str">
        <f>IF(SUM('Base de Datos Sumaria'!J106:Q106)&lt;&gt;0,'Base de Datos Sumaria'!N106," ")</f>
        <v xml:space="preserve"> </v>
      </c>
      <c r="K109" s="10" t="str">
        <f>IF(SUM('Base de Datos Sumaria'!J106:Q106)&lt;&gt;0,'Base de Datos Sumaria'!O106," ")</f>
        <v xml:space="preserve"> </v>
      </c>
      <c r="L109" s="10" t="str">
        <f>IF(SUM('Base de Datos Sumaria'!J106:Q106)&lt;&gt;0,'Base de Datos Sumaria'!P106," ")</f>
        <v xml:space="preserve"> </v>
      </c>
      <c r="M109" s="10" t="str">
        <f>IF(SUM('Base de Datos Sumaria'!J106:Q106)&lt;&gt;0,'Base de Datos Sumaria'!Q106," ")</f>
        <v xml:space="preserve"> </v>
      </c>
      <c r="N109" s="10" t="str">
        <f>IF(SUM('Base de Datos Sumaria'!J106:Q106)&lt;&gt;0,SUM(F109:M109)," ")</f>
        <v xml:space="preserve"> </v>
      </c>
    </row>
    <row r="110" spans="1:25" ht="12.95" customHeight="1" x14ac:dyDescent="0.2">
      <c r="A110" s="6" t="str">
        <f>IF(SUM('Base de Datos Sumaria'!J107:Q107)&lt;&gt;0,'Base de Datos Sumaria'!C107," ")</f>
        <v xml:space="preserve"> </v>
      </c>
      <c r="B110" s="6" t="str">
        <f>IF(SUM('Base de Datos Sumaria'!J107:Q107)&lt;&gt;0,'Base de Datos Sumaria'!D107," ")</f>
        <v xml:space="preserve"> </v>
      </c>
      <c r="C110" s="7" t="str">
        <f>IF(SUM('Base de Datos Sumaria'!J107:Q107)&lt;&gt;0,'Base de Datos Sumaria'!H107," ")</f>
        <v xml:space="preserve"> </v>
      </c>
      <c r="D110" s="8" t="str">
        <f>IF(SUM('Base de Datos Sumaria'!J107:Q107)&lt;&gt;0,'Base de Datos Maestro'!L107," ")</f>
        <v xml:space="preserve"> </v>
      </c>
      <c r="E110" s="9" t="str">
        <f>IF('Base de Datos Sumaria'!I107&lt;&gt;0,'Base de Datos Sumaria'!I107,"")</f>
        <v/>
      </c>
      <c r="F110" s="10" t="str">
        <f>IF(SUM('Base de Datos Sumaria'!J107:Q107)&lt;&gt;0,'Base de Datos Sumaria'!J107,"")</f>
        <v/>
      </c>
      <c r="G110" s="10" t="str">
        <f>IF(SUM('Base de Datos Sumaria'!J107:Q107)&lt;&gt;0,'Base de Datos Sumaria'!K107," ")</f>
        <v xml:space="preserve"> </v>
      </c>
      <c r="H110" s="10" t="str">
        <f>IF(SUM('Base de Datos Sumaria'!J107:Q107)&lt;&gt;0,'Base de Datos Sumaria'!L107," ")</f>
        <v xml:space="preserve"> </v>
      </c>
      <c r="I110" s="10" t="str">
        <f>IF(SUM('Base de Datos Sumaria'!J107:Q107)&lt;&gt;0,'Base de Datos Sumaria'!M107," ")</f>
        <v xml:space="preserve"> </v>
      </c>
      <c r="J110" s="10" t="str">
        <f>IF(SUM('Base de Datos Sumaria'!J107:Q107)&lt;&gt;0,'Base de Datos Sumaria'!N107," ")</f>
        <v xml:space="preserve"> </v>
      </c>
      <c r="K110" s="10" t="str">
        <f>IF(SUM('Base de Datos Sumaria'!J107:Q107)&lt;&gt;0,'Base de Datos Sumaria'!O107," ")</f>
        <v xml:space="preserve"> </v>
      </c>
      <c r="L110" s="10" t="str">
        <f>IF(SUM('Base de Datos Sumaria'!J107:Q107)&lt;&gt;0,'Base de Datos Sumaria'!P107," ")</f>
        <v xml:space="preserve"> </v>
      </c>
      <c r="M110" s="10" t="str">
        <f>IF(SUM('Base de Datos Sumaria'!J107:Q107)&lt;&gt;0,'Base de Datos Sumaria'!Q107," ")</f>
        <v xml:space="preserve"> </v>
      </c>
      <c r="N110" s="10" t="str">
        <f>IF(SUM('Base de Datos Sumaria'!J107:Q107)&lt;&gt;0,SUM(F110:M110)," ")</f>
        <v xml:space="preserve"> </v>
      </c>
    </row>
    <row r="111" spans="1:25" ht="12.95" customHeight="1" x14ac:dyDescent="0.2">
      <c r="A111" s="6" t="str">
        <f>IF(SUM('Base de Datos Sumaria'!J108:Q108)&lt;&gt;0,'Base de Datos Sumaria'!C108," ")</f>
        <v xml:space="preserve"> </v>
      </c>
      <c r="B111" s="6" t="str">
        <f>IF(SUM('Base de Datos Sumaria'!J108:Q108)&lt;&gt;0,'Base de Datos Sumaria'!D108," ")</f>
        <v xml:space="preserve"> </v>
      </c>
      <c r="C111" s="7" t="str">
        <f>IF(SUM('Base de Datos Sumaria'!J108:Q108)&lt;&gt;0,'Base de Datos Sumaria'!H108," ")</f>
        <v xml:space="preserve"> </v>
      </c>
      <c r="D111" s="8" t="str">
        <f>IF(SUM('Base de Datos Sumaria'!J108:Q108)&lt;&gt;0,'Base de Datos Maestro'!L108," ")</f>
        <v xml:space="preserve"> </v>
      </c>
      <c r="E111" s="9" t="str">
        <f>IF('Base de Datos Sumaria'!I108&lt;&gt;0,'Base de Datos Sumaria'!I108,"")</f>
        <v/>
      </c>
      <c r="F111" s="10" t="str">
        <f>IF(SUM('Base de Datos Sumaria'!J108:Q108)&lt;&gt;0,'Base de Datos Sumaria'!J108,"")</f>
        <v/>
      </c>
      <c r="G111" s="10" t="str">
        <f>IF(SUM('Base de Datos Sumaria'!J108:Q108)&lt;&gt;0,'Base de Datos Sumaria'!K108," ")</f>
        <v xml:space="preserve"> </v>
      </c>
      <c r="H111" s="10" t="str">
        <f>IF(SUM('Base de Datos Sumaria'!J108:Q108)&lt;&gt;0,'Base de Datos Sumaria'!L108," ")</f>
        <v xml:space="preserve"> </v>
      </c>
      <c r="I111" s="10" t="str">
        <f>IF(SUM('Base de Datos Sumaria'!J108:Q108)&lt;&gt;0,'Base de Datos Sumaria'!M108," ")</f>
        <v xml:space="preserve"> </v>
      </c>
      <c r="J111" s="10" t="str">
        <f>IF(SUM('Base de Datos Sumaria'!J108:Q108)&lt;&gt;0,'Base de Datos Sumaria'!N108," ")</f>
        <v xml:space="preserve"> </v>
      </c>
      <c r="K111" s="10" t="str">
        <f>IF(SUM('Base de Datos Sumaria'!J108:Q108)&lt;&gt;0,'Base de Datos Sumaria'!O108," ")</f>
        <v xml:space="preserve"> </v>
      </c>
      <c r="L111" s="10" t="str">
        <f>IF(SUM('Base de Datos Sumaria'!J108:Q108)&lt;&gt;0,'Base de Datos Sumaria'!P108," ")</f>
        <v xml:space="preserve"> </v>
      </c>
      <c r="M111" s="10" t="str">
        <f>IF(SUM('Base de Datos Sumaria'!J108:Q108)&lt;&gt;0,'Base de Datos Sumaria'!Q108," ")</f>
        <v xml:space="preserve"> </v>
      </c>
      <c r="N111" s="10" t="str">
        <f>IF(SUM('Base de Datos Sumaria'!J108:Q108)&lt;&gt;0,SUM(F111:M111)," ")</f>
        <v xml:space="preserve"> 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</row>
    <row r="112" spans="1:25" ht="12.95" customHeight="1" x14ac:dyDescent="0.2">
      <c r="A112" s="6" t="str">
        <f>IF(SUM('Base de Datos Sumaria'!J109:Q109)&lt;&gt;0,'Base de Datos Sumaria'!C109," ")</f>
        <v xml:space="preserve"> </v>
      </c>
      <c r="B112" s="6" t="str">
        <f>IF(SUM('Base de Datos Sumaria'!J109:Q109)&lt;&gt;0,'Base de Datos Sumaria'!D109," ")</f>
        <v xml:space="preserve"> </v>
      </c>
      <c r="C112" s="7" t="str">
        <f>IF(SUM('Base de Datos Sumaria'!J109:Q109)&lt;&gt;0,'Base de Datos Sumaria'!H109," ")</f>
        <v xml:space="preserve"> </v>
      </c>
      <c r="D112" s="8" t="str">
        <f>IF(SUM('Base de Datos Sumaria'!J109:Q109)&lt;&gt;0,'Base de Datos Maestro'!L109," ")</f>
        <v xml:space="preserve"> </v>
      </c>
      <c r="E112" s="9" t="str">
        <f>IF('Base de Datos Sumaria'!I109&lt;&gt;0,'Base de Datos Sumaria'!I109,"")</f>
        <v/>
      </c>
      <c r="F112" s="10" t="str">
        <f>IF(SUM('Base de Datos Sumaria'!J109:Q109)&lt;&gt;0,'Base de Datos Sumaria'!J109,"")</f>
        <v/>
      </c>
      <c r="G112" s="10" t="str">
        <f>IF(SUM('Base de Datos Sumaria'!J109:Q109)&lt;&gt;0,'Base de Datos Sumaria'!K109," ")</f>
        <v xml:space="preserve"> </v>
      </c>
      <c r="H112" s="10" t="str">
        <f>IF(SUM('Base de Datos Sumaria'!J109:Q109)&lt;&gt;0,'Base de Datos Sumaria'!L109," ")</f>
        <v xml:space="preserve"> </v>
      </c>
      <c r="I112" s="10" t="str">
        <f>IF(SUM('Base de Datos Sumaria'!J109:Q109)&lt;&gt;0,'Base de Datos Sumaria'!M109," ")</f>
        <v xml:space="preserve"> </v>
      </c>
      <c r="J112" s="10" t="str">
        <f>IF(SUM('Base de Datos Sumaria'!J109:Q109)&lt;&gt;0,'Base de Datos Sumaria'!N109," ")</f>
        <v xml:space="preserve"> </v>
      </c>
      <c r="K112" s="10" t="str">
        <f>IF(SUM('Base de Datos Sumaria'!J109:Q109)&lt;&gt;0,'Base de Datos Sumaria'!O109," ")</f>
        <v xml:space="preserve"> </v>
      </c>
      <c r="L112" s="10" t="str">
        <f>IF(SUM('Base de Datos Sumaria'!J109:Q109)&lt;&gt;0,'Base de Datos Sumaria'!P109," ")</f>
        <v xml:space="preserve"> </v>
      </c>
      <c r="M112" s="10" t="str">
        <f>IF(SUM('Base de Datos Sumaria'!J109:Q109)&lt;&gt;0,'Base de Datos Sumaria'!Q109," ")</f>
        <v xml:space="preserve"> </v>
      </c>
      <c r="N112" s="10" t="str">
        <f>IF(SUM('Base de Datos Sumaria'!J109:Q109)&lt;&gt;0,SUM(F112:M112)," ")</f>
        <v xml:space="preserve"> </v>
      </c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</row>
    <row r="113" spans="1:25" ht="12.95" customHeight="1" x14ac:dyDescent="0.2">
      <c r="A113" s="6" t="str">
        <f>IF(SUM('Base de Datos Sumaria'!J110:Q110)&lt;&gt;0,'Base de Datos Sumaria'!C110," ")</f>
        <v xml:space="preserve"> </v>
      </c>
      <c r="B113" s="6" t="str">
        <f>IF(SUM('Base de Datos Sumaria'!J110:Q110)&lt;&gt;0,'Base de Datos Sumaria'!D110," ")</f>
        <v xml:space="preserve"> </v>
      </c>
      <c r="C113" s="7" t="str">
        <f>IF(SUM('Base de Datos Sumaria'!J110:Q110)&lt;&gt;0,'Base de Datos Sumaria'!H110," ")</f>
        <v xml:space="preserve"> </v>
      </c>
      <c r="D113" s="8" t="str">
        <f>IF(SUM('Base de Datos Sumaria'!J110:Q110)&lt;&gt;0,'Base de Datos Maestro'!L110," ")</f>
        <v xml:space="preserve"> </v>
      </c>
      <c r="E113" s="9" t="str">
        <f>IF('Base de Datos Sumaria'!I110&lt;&gt;0,'Base de Datos Sumaria'!I110,"")</f>
        <v/>
      </c>
      <c r="F113" s="10" t="str">
        <f>IF(SUM('Base de Datos Sumaria'!J110:Q110)&lt;&gt;0,'Base de Datos Sumaria'!J110,"")</f>
        <v/>
      </c>
      <c r="G113" s="10" t="str">
        <f>IF(SUM('Base de Datos Sumaria'!J110:Q110)&lt;&gt;0,'Base de Datos Sumaria'!K110," ")</f>
        <v xml:space="preserve"> </v>
      </c>
      <c r="H113" s="10" t="str">
        <f>IF(SUM('Base de Datos Sumaria'!J110:Q110)&lt;&gt;0,'Base de Datos Sumaria'!L110," ")</f>
        <v xml:space="preserve"> </v>
      </c>
      <c r="I113" s="10" t="str">
        <f>IF(SUM('Base de Datos Sumaria'!J110:Q110)&lt;&gt;0,'Base de Datos Sumaria'!M110," ")</f>
        <v xml:space="preserve"> </v>
      </c>
      <c r="J113" s="10" t="str">
        <f>IF(SUM('Base de Datos Sumaria'!J110:Q110)&lt;&gt;0,'Base de Datos Sumaria'!N110," ")</f>
        <v xml:space="preserve"> </v>
      </c>
      <c r="K113" s="10" t="str">
        <f>IF(SUM('Base de Datos Sumaria'!J110:Q110)&lt;&gt;0,'Base de Datos Sumaria'!O110," ")</f>
        <v xml:space="preserve"> </v>
      </c>
      <c r="L113" s="10" t="str">
        <f>IF(SUM('Base de Datos Sumaria'!J110:Q110)&lt;&gt;0,'Base de Datos Sumaria'!P110," ")</f>
        <v xml:space="preserve"> </v>
      </c>
      <c r="M113" s="10" t="str">
        <f>IF(SUM('Base de Datos Sumaria'!J110:Q110)&lt;&gt;0,'Base de Datos Sumaria'!Q110," ")</f>
        <v xml:space="preserve"> </v>
      </c>
      <c r="N113" s="10" t="str">
        <f>IF(SUM('Base de Datos Sumaria'!J110:Q110)&lt;&gt;0,SUM(F113:M113)," ")</f>
        <v xml:space="preserve"> 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</row>
    <row r="114" spans="1:25" ht="12.95" customHeight="1" x14ac:dyDescent="0.2">
      <c r="A114" s="6" t="str">
        <f>IF(SUM('Base de Datos Sumaria'!J111:Q111)&lt;&gt;0,'Base de Datos Sumaria'!C111," ")</f>
        <v xml:space="preserve"> </v>
      </c>
      <c r="B114" s="6" t="str">
        <f>IF(SUM('Base de Datos Sumaria'!J111:Q111)&lt;&gt;0,'Base de Datos Sumaria'!D111," ")</f>
        <v xml:space="preserve"> </v>
      </c>
      <c r="C114" s="7" t="str">
        <f>IF(SUM('Base de Datos Sumaria'!J111:Q111)&lt;&gt;0,'Base de Datos Sumaria'!H111," ")</f>
        <v xml:space="preserve"> </v>
      </c>
      <c r="D114" s="8" t="str">
        <f>IF(SUM('Base de Datos Sumaria'!J111:Q111)&lt;&gt;0,'Base de Datos Maestro'!L111," ")</f>
        <v xml:space="preserve"> </v>
      </c>
      <c r="E114" s="9" t="str">
        <f>IF('Base de Datos Sumaria'!I111&lt;&gt;0,'Base de Datos Sumaria'!I111,"")</f>
        <v/>
      </c>
      <c r="F114" s="10" t="str">
        <f>IF(SUM('Base de Datos Sumaria'!J111:Q111)&lt;&gt;0,'Base de Datos Sumaria'!J111,"")</f>
        <v/>
      </c>
      <c r="G114" s="10" t="str">
        <f>IF(SUM('Base de Datos Sumaria'!J111:Q111)&lt;&gt;0,'Base de Datos Sumaria'!K111," ")</f>
        <v xml:space="preserve"> </v>
      </c>
      <c r="H114" s="10" t="str">
        <f>IF(SUM('Base de Datos Sumaria'!J111:Q111)&lt;&gt;0,'Base de Datos Sumaria'!L111," ")</f>
        <v xml:space="preserve"> </v>
      </c>
      <c r="I114" s="10" t="str">
        <f>IF(SUM('Base de Datos Sumaria'!J111:Q111)&lt;&gt;0,'Base de Datos Sumaria'!M111," ")</f>
        <v xml:space="preserve"> </v>
      </c>
      <c r="J114" s="10" t="str">
        <f>IF(SUM('Base de Datos Sumaria'!J111:Q111)&lt;&gt;0,'Base de Datos Sumaria'!N111," ")</f>
        <v xml:space="preserve"> </v>
      </c>
      <c r="K114" s="10" t="str">
        <f>IF(SUM('Base de Datos Sumaria'!J111:Q111)&lt;&gt;0,'Base de Datos Sumaria'!O111," ")</f>
        <v xml:space="preserve"> </v>
      </c>
      <c r="L114" s="10" t="str">
        <f>IF(SUM('Base de Datos Sumaria'!J111:Q111)&lt;&gt;0,'Base de Datos Sumaria'!P111," ")</f>
        <v xml:space="preserve"> </v>
      </c>
      <c r="M114" s="10" t="str">
        <f>IF(SUM('Base de Datos Sumaria'!J111:Q111)&lt;&gt;0,'Base de Datos Sumaria'!Q111," ")</f>
        <v xml:space="preserve"> </v>
      </c>
      <c r="N114" s="10" t="str">
        <f>IF(SUM('Base de Datos Sumaria'!J111:Q111)&lt;&gt;0,SUM(F114:M114)," ")</f>
        <v xml:space="preserve"> </v>
      </c>
    </row>
    <row r="115" spans="1:25" ht="12.95" customHeight="1" x14ac:dyDescent="0.2">
      <c r="A115" s="6" t="str">
        <f>IF(SUM('Base de Datos Sumaria'!J112:Q112)&lt;&gt;0,'Base de Datos Sumaria'!C112," ")</f>
        <v xml:space="preserve"> </v>
      </c>
      <c r="B115" s="6" t="str">
        <f>IF(SUM('Base de Datos Sumaria'!J112:Q112)&lt;&gt;0,'Base de Datos Sumaria'!D112," ")</f>
        <v xml:space="preserve"> </v>
      </c>
      <c r="C115" s="7" t="str">
        <f>IF(SUM('Base de Datos Sumaria'!J112:Q112)&lt;&gt;0,'Base de Datos Sumaria'!H112," ")</f>
        <v xml:space="preserve"> </v>
      </c>
      <c r="D115" s="8" t="str">
        <f>IF(SUM('Base de Datos Sumaria'!J112:Q112)&lt;&gt;0,'Base de Datos Maestro'!L112," ")</f>
        <v xml:space="preserve"> </v>
      </c>
      <c r="E115" s="9" t="str">
        <f>IF('Base de Datos Sumaria'!I112&lt;&gt;0,'Base de Datos Sumaria'!I112,"")</f>
        <v/>
      </c>
      <c r="F115" s="10" t="str">
        <f>IF(SUM('Base de Datos Sumaria'!J112:Q112)&lt;&gt;0,'Base de Datos Sumaria'!J112,"")</f>
        <v/>
      </c>
      <c r="G115" s="10" t="str">
        <f>IF(SUM('Base de Datos Sumaria'!J112:Q112)&lt;&gt;0,'Base de Datos Sumaria'!K112," ")</f>
        <v xml:space="preserve"> </v>
      </c>
      <c r="H115" s="10" t="str">
        <f>IF(SUM('Base de Datos Sumaria'!J112:Q112)&lt;&gt;0,'Base de Datos Sumaria'!L112," ")</f>
        <v xml:space="preserve"> </v>
      </c>
      <c r="I115" s="10" t="str">
        <f>IF(SUM('Base de Datos Sumaria'!J112:Q112)&lt;&gt;0,'Base de Datos Sumaria'!M112," ")</f>
        <v xml:space="preserve"> </v>
      </c>
      <c r="J115" s="10" t="str">
        <f>IF(SUM('Base de Datos Sumaria'!J112:Q112)&lt;&gt;0,'Base de Datos Sumaria'!N112," ")</f>
        <v xml:space="preserve"> </v>
      </c>
      <c r="K115" s="10" t="str">
        <f>IF(SUM('Base de Datos Sumaria'!J112:Q112)&lt;&gt;0,'Base de Datos Sumaria'!O112," ")</f>
        <v xml:space="preserve"> </v>
      </c>
      <c r="L115" s="10" t="str">
        <f>IF(SUM('Base de Datos Sumaria'!J112:Q112)&lt;&gt;0,'Base de Datos Sumaria'!P112," ")</f>
        <v xml:space="preserve"> </v>
      </c>
      <c r="M115" s="10" t="str">
        <f>IF(SUM('Base de Datos Sumaria'!J112:Q112)&lt;&gt;0,'Base de Datos Sumaria'!Q112," ")</f>
        <v xml:space="preserve"> </v>
      </c>
      <c r="N115" s="10" t="str">
        <f>IF(SUM('Base de Datos Sumaria'!J112:Q112)&lt;&gt;0,SUM(F115:M115)," ")</f>
        <v xml:space="preserve"> </v>
      </c>
    </row>
    <row r="116" spans="1:25" ht="12.95" customHeight="1" x14ac:dyDescent="0.2">
      <c r="A116" s="6" t="str">
        <f>IF(SUM('Base de Datos Sumaria'!J113:Q113)&lt;&gt;0,'Base de Datos Sumaria'!C113," ")</f>
        <v xml:space="preserve"> </v>
      </c>
      <c r="B116" s="6" t="str">
        <f>IF(SUM('Base de Datos Sumaria'!J113:Q113)&lt;&gt;0,'Base de Datos Sumaria'!D113," ")</f>
        <v xml:space="preserve"> </v>
      </c>
      <c r="C116" s="7" t="str">
        <f>IF(SUM('Base de Datos Sumaria'!J113:Q113)&lt;&gt;0,'Base de Datos Sumaria'!H113," ")</f>
        <v xml:space="preserve"> </v>
      </c>
      <c r="D116" s="8" t="str">
        <f>IF(SUM('Base de Datos Sumaria'!J113:Q113)&lt;&gt;0,'Base de Datos Maestro'!L113," ")</f>
        <v xml:space="preserve"> </v>
      </c>
      <c r="E116" s="9" t="str">
        <f>IF('Base de Datos Sumaria'!I113&lt;&gt;0,'Base de Datos Sumaria'!I113,"")</f>
        <v/>
      </c>
      <c r="F116" s="10" t="str">
        <f>IF(SUM('Base de Datos Sumaria'!J113:Q113)&lt;&gt;0,'Base de Datos Sumaria'!J113,"")</f>
        <v/>
      </c>
      <c r="G116" s="10" t="str">
        <f>IF(SUM('Base de Datos Sumaria'!J113:Q113)&lt;&gt;0,'Base de Datos Sumaria'!K113," ")</f>
        <v xml:space="preserve"> </v>
      </c>
      <c r="H116" s="10" t="str">
        <f>IF(SUM('Base de Datos Sumaria'!J113:Q113)&lt;&gt;0,'Base de Datos Sumaria'!L113," ")</f>
        <v xml:space="preserve"> </v>
      </c>
      <c r="I116" s="10" t="str">
        <f>IF(SUM('Base de Datos Sumaria'!J113:Q113)&lt;&gt;0,'Base de Datos Sumaria'!M113," ")</f>
        <v xml:space="preserve"> </v>
      </c>
      <c r="J116" s="10" t="str">
        <f>IF(SUM('Base de Datos Sumaria'!J113:Q113)&lt;&gt;0,'Base de Datos Sumaria'!N113," ")</f>
        <v xml:space="preserve"> </v>
      </c>
      <c r="K116" s="10" t="str">
        <f>IF(SUM('Base de Datos Sumaria'!J113:Q113)&lt;&gt;0,'Base de Datos Sumaria'!O113," ")</f>
        <v xml:space="preserve"> </v>
      </c>
      <c r="L116" s="10" t="str">
        <f>IF(SUM('Base de Datos Sumaria'!J113:Q113)&lt;&gt;0,'Base de Datos Sumaria'!P113," ")</f>
        <v xml:space="preserve"> </v>
      </c>
      <c r="M116" s="10" t="str">
        <f>IF(SUM('Base de Datos Sumaria'!J113:Q113)&lt;&gt;0,'Base de Datos Sumaria'!Q113," ")</f>
        <v xml:space="preserve"> </v>
      </c>
      <c r="N116" s="10" t="str">
        <f>IF(SUM('Base de Datos Sumaria'!J113:Q113)&lt;&gt;0,SUM(F116:M116)," ")</f>
        <v xml:space="preserve"> </v>
      </c>
    </row>
    <row r="117" spans="1:25" ht="12.95" customHeight="1" x14ac:dyDescent="0.2">
      <c r="A117" s="6" t="str">
        <f>IF(SUM('Base de Datos Sumaria'!J114:Q114)&lt;&gt;0,'Base de Datos Sumaria'!C114," ")</f>
        <v xml:space="preserve"> </v>
      </c>
      <c r="B117" s="6" t="str">
        <f>IF(SUM('Base de Datos Sumaria'!J114:Q114)&lt;&gt;0,'Base de Datos Sumaria'!D114," ")</f>
        <v xml:space="preserve"> </v>
      </c>
      <c r="C117" s="7" t="str">
        <f>IF(SUM('Base de Datos Sumaria'!J114:Q114)&lt;&gt;0,'Base de Datos Sumaria'!H114," ")</f>
        <v xml:space="preserve"> </v>
      </c>
      <c r="D117" s="8" t="str">
        <f>IF(SUM('Base de Datos Sumaria'!J114:Q114)&lt;&gt;0,'Base de Datos Maestro'!L114," ")</f>
        <v xml:space="preserve"> </v>
      </c>
      <c r="E117" s="9" t="str">
        <f>IF('Base de Datos Sumaria'!I114&lt;&gt;0,'Base de Datos Sumaria'!I114,"")</f>
        <v/>
      </c>
      <c r="F117" s="10" t="str">
        <f>IF(SUM('Base de Datos Sumaria'!J114:Q114)&lt;&gt;0,'Base de Datos Sumaria'!J114,"")</f>
        <v/>
      </c>
      <c r="G117" s="10" t="str">
        <f>IF(SUM('Base de Datos Sumaria'!J114:Q114)&lt;&gt;0,'Base de Datos Sumaria'!K114," ")</f>
        <v xml:space="preserve"> </v>
      </c>
      <c r="H117" s="10" t="str">
        <f>IF(SUM('Base de Datos Sumaria'!J114:Q114)&lt;&gt;0,'Base de Datos Sumaria'!L114," ")</f>
        <v xml:space="preserve"> </v>
      </c>
      <c r="I117" s="10" t="str">
        <f>IF(SUM('Base de Datos Sumaria'!J114:Q114)&lt;&gt;0,'Base de Datos Sumaria'!M114," ")</f>
        <v xml:space="preserve"> </v>
      </c>
      <c r="J117" s="10" t="str">
        <f>IF(SUM('Base de Datos Sumaria'!J114:Q114)&lt;&gt;0,'Base de Datos Sumaria'!N114," ")</f>
        <v xml:space="preserve"> </v>
      </c>
      <c r="K117" s="10" t="str">
        <f>IF(SUM('Base de Datos Sumaria'!J114:Q114)&lt;&gt;0,'Base de Datos Sumaria'!O114," ")</f>
        <v xml:space="preserve"> </v>
      </c>
      <c r="L117" s="10" t="str">
        <f>IF(SUM('Base de Datos Sumaria'!J114:Q114)&lt;&gt;0,'Base de Datos Sumaria'!P114," ")</f>
        <v xml:space="preserve"> </v>
      </c>
      <c r="M117" s="10" t="str">
        <f>IF(SUM('Base de Datos Sumaria'!J114:Q114)&lt;&gt;0,'Base de Datos Sumaria'!Q114," ")</f>
        <v xml:space="preserve"> </v>
      </c>
      <c r="N117" s="10" t="str">
        <f>IF(SUM('Base de Datos Sumaria'!J114:Q114)&lt;&gt;0,SUM(F117:M117)," ")</f>
        <v xml:space="preserve"> </v>
      </c>
    </row>
    <row r="118" spans="1:25" ht="12.95" customHeight="1" x14ac:dyDescent="0.2">
      <c r="A118" s="6" t="str">
        <f>IF(SUM('Base de Datos Sumaria'!J115:Q115)&lt;&gt;0,'Base de Datos Sumaria'!C115," ")</f>
        <v xml:space="preserve"> </v>
      </c>
      <c r="B118" s="6" t="str">
        <f>IF(SUM('Base de Datos Sumaria'!J115:Q115)&lt;&gt;0,'Base de Datos Sumaria'!D115," ")</f>
        <v xml:space="preserve"> </v>
      </c>
      <c r="C118" s="7" t="str">
        <f>IF(SUM('Base de Datos Sumaria'!J115:Q115)&lt;&gt;0,'Base de Datos Sumaria'!H115," ")</f>
        <v xml:space="preserve"> </v>
      </c>
      <c r="D118" s="8" t="str">
        <f>IF(SUM('Base de Datos Sumaria'!J115:Q115)&lt;&gt;0,'Base de Datos Maestro'!L115," ")</f>
        <v xml:space="preserve"> </v>
      </c>
      <c r="E118" s="9" t="str">
        <f>IF('Base de Datos Sumaria'!I115&lt;&gt;0,'Base de Datos Sumaria'!I115,"")</f>
        <v/>
      </c>
      <c r="F118" s="10" t="str">
        <f>IF(SUM('Base de Datos Sumaria'!J115:Q115)&lt;&gt;0,'Base de Datos Sumaria'!J115,"")</f>
        <v/>
      </c>
      <c r="G118" s="10" t="str">
        <f>IF(SUM('Base de Datos Sumaria'!J115:Q115)&lt;&gt;0,'Base de Datos Sumaria'!K115," ")</f>
        <v xml:space="preserve"> </v>
      </c>
      <c r="H118" s="10" t="str">
        <f>IF(SUM('Base de Datos Sumaria'!J115:Q115)&lt;&gt;0,'Base de Datos Sumaria'!L115," ")</f>
        <v xml:space="preserve"> </v>
      </c>
      <c r="I118" s="10" t="str">
        <f>IF(SUM('Base de Datos Sumaria'!J115:Q115)&lt;&gt;0,'Base de Datos Sumaria'!M115," ")</f>
        <v xml:space="preserve"> </v>
      </c>
      <c r="J118" s="10" t="str">
        <f>IF(SUM('Base de Datos Sumaria'!J115:Q115)&lt;&gt;0,'Base de Datos Sumaria'!N115," ")</f>
        <v xml:space="preserve"> </v>
      </c>
      <c r="K118" s="10" t="str">
        <f>IF(SUM('Base de Datos Sumaria'!J115:Q115)&lt;&gt;0,'Base de Datos Sumaria'!O115," ")</f>
        <v xml:space="preserve"> </v>
      </c>
      <c r="L118" s="10" t="str">
        <f>IF(SUM('Base de Datos Sumaria'!J115:Q115)&lt;&gt;0,'Base de Datos Sumaria'!P115," ")</f>
        <v xml:space="preserve"> </v>
      </c>
      <c r="M118" s="10" t="str">
        <f>IF(SUM('Base de Datos Sumaria'!J115:Q115)&lt;&gt;0,'Base de Datos Sumaria'!Q115," ")</f>
        <v xml:space="preserve"> </v>
      </c>
      <c r="N118" s="10" t="str">
        <f>IF(SUM('Base de Datos Sumaria'!J115:Q115)&lt;&gt;0,SUM(F118:M118)," ")</f>
        <v xml:space="preserve"> </v>
      </c>
    </row>
    <row r="119" spans="1:25" ht="12.95" customHeight="1" x14ac:dyDescent="0.2">
      <c r="A119" s="6" t="str">
        <f>IF(SUM('Base de Datos Sumaria'!J116:Q116)&lt;&gt;0,'Base de Datos Sumaria'!C116," ")</f>
        <v xml:space="preserve"> </v>
      </c>
      <c r="B119" s="6" t="str">
        <f>IF(SUM('Base de Datos Sumaria'!J116:Q116)&lt;&gt;0,'Base de Datos Sumaria'!D116," ")</f>
        <v xml:space="preserve"> </v>
      </c>
      <c r="C119" s="7" t="str">
        <f>IF(SUM('Base de Datos Sumaria'!J116:Q116)&lt;&gt;0,'Base de Datos Sumaria'!H116," ")</f>
        <v xml:space="preserve"> </v>
      </c>
      <c r="D119" s="8" t="str">
        <f>IF(SUM('Base de Datos Sumaria'!J116:Q116)&lt;&gt;0,'Base de Datos Maestro'!L116," ")</f>
        <v xml:space="preserve"> </v>
      </c>
      <c r="E119" s="9" t="str">
        <f>IF('Base de Datos Sumaria'!I116&lt;&gt;0,'Base de Datos Sumaria'!I116,"")</f>
        <v/>
      </c>
      <c r="F119" s="10" t="str">
        <f>IF(SUM('Base de Datos Sumaria'!J116:Q116)&lt;&gt;0,'Base de Datos Sumaria'!J116,"")</f>
        <v/>
      </c>
      <c r="G119" s="10" t="str">
        <f>IF(SUM('Base de Datos Sumaria'!J116:Q116)&lt;&gt;0,'Base de Datos Sumaria'!K116," ")</f>
        <v xml:space="preserve"> </v>
      </c>
      <c r="H119" s="10" t="str">
        <f>IF(SUM('Base de Datos Sumaria'!J116:Q116)&lt;&gt;0,'Base de Datos Sumaria'!L116," ")</f>
        <v xml:space="preserve"> </v>
      </c>
      <c r="I119" s="10" t="str">
        <f>IF(SUM('Base de Datos Sumaria'!J116:Q116)&lt;&gt;0,'Base de Datos Sumaria'!M116," ")</f>
        <v xml:space="preserve"> </v>
      </c>
      <c r="J119" s="10" t="str">
        <f>IF(SUM('Base de Datos Sumaria'!J116:Q116)&lt;&gt;0,'Base de Datos Sumaria'!N116," ")</f>
        <v xml:space="preserve"> </v>
      </c>
      <c r="K119" s="10" t="str">
        <f>IF(SUM('Base de Datos Sumaria'!J116:Q116)&lt;&gt;0,'Base de Datos Sumaria'!O116," ")</f>
        <v xml:space="preserve"> </v>
      </c>
      <c r="L119" s="10" t="str">
        <f>IF(SUM('Base de Datos Sumaria'!J116:Q116)&lt;&gt;0,'Base de Datos Sumaria'!P116," ")</f>
        <v xml:space="preserve"> </v>
      </c>
      <c r="M119" s="10" t="str">
        <f>IF(SUM('Base de Datos Sumaria'!J116:Q116)&lt;&gt;0,'Base de Datos Sumaria'!Q116," ")</f>
        <v xml:space="preserve"> </v>
      </c>
      <c r="N119" s="10" t="str">
        <f>IF(SUM('Base de Datos Sumaria'!J116:Q116)&lt;&gt;0,SUM(F119:M119)," ")</f>
        <v xml:space="preserve"> </v>
      </c>
    </row>
    <row r="120" spans="1:25" ht="12.95" customHeight="1" x14ac:dyDescent="0.2">
      <c r="A120" s="6" t="str">
        <f>IF(SUM('Base de Datos Sumaria'!J117:Q117)&lt;&gt;0,'Base de Datos Sumaria'!C117," ")</f>
        <v xml:space="preserve"> </v>
      </c>
      <c r="B120" s="6" t="str">
        <f>IF(SUM('Base de Datos Sumaria'!J117:Q117)&lt;&gt;0,'Base de Datos Sumaria'!D117," ")</f>
        <v xml:space="preserve"> </v>
      </c>
      <c r="C120" s="7" t="str">
        <f>IF(SUM('Base de Datos Sumaria'!J117:Q117)&lt;&gt;0,'Base de Datos Sumaria'!H117," ")</f>
        <v xml:space="preserve"> </v>
      </c>
      <c r="D120" s="8" t="str">
        <f>IF(SUM('Base de Datos Sumaria'!J117:Q117)&lt;&gt;0,'Base de Datos Maestro'!L117," ")</f>
        <v xml:space="preserve"> </v>
      </c>
      <c r="E120" s="9" t="str">
        <f>IF('Base de Datos Sumaria'!I117&lt;&gt;0,'Base de Datos Sumaria'!I117,"")</f>
        <v/>
      </c>
      <c r="F120" s="10" t="str">
        <f>IF(SUM('Base de Datos Sumaria'!J117:Q117)&lt;&gt;0,'Base de Datos Sumaria'!J117,"")</f>
        <v/>
      </c>
      <c r="G120" s="10" t="str">
        <f>IF(SUM('Base de Datos Sumaria'!J117:Q117)&lt;&gt;0,'Base de Datos Sumaria'!K117," ")</f>
        <v xml:space="preserve"> </v>
      </c>
      <c r="H120" s="10" t="str">
        <f>IF(SUM('Base de Datos Sumaria'!J117:Q117)&lt;&gt;0,'Base de Datos Sumaria'!L117," ")</f>
        <v xml:space="preserve"> </v>
      </c>
      <c r="I120" s="10" t="str">
        <f>IF(SUM('Base de Datos Sumaria'!J117:Q117)&lt;&gt;0,'Base de Datos Sumaria'!M117," ")</f>
        <v xml:space="preserve"> </v>
      </c>
      <c r="J120" s="10" t="str">
        <f>IF(SUM('Base de Datos Sumaria'!J117:Q117)&lt;&gt;0,'Base de Datos Sumaria'!N117," ")</f>
        <v xml:space="preserve"> </v>
      </c>
      <c r="K120" s="10" t="str">
        <f>IF(SUM('Base de Datos Sumaria'!J117:Q117)&lt;&gt;0,'Base de Datos Sumaria'!O117," ")</f>
        <v xml:space="preserve"> </v>
      </c>
      <c r="L120" s="10" t="str">
        <f>IF(SUM('Base de Datos Sumaria'!J117:Q117)&lt;&gt;0,'Base de Datos Sumaria'!P117," ")</f>
        <v xml:space="preserve"> </v>
      </c>
      <c r="M120" s="10" t="str">
        <f>IF(SUM('Base de Datos Sumaria'!J117:Q117)&lt;&gt;0,'Base de Datos Sumaria'!Q117," ")</f>
        <v xml:space="preserve"> </v>
      </c>
      <c r="N120" s="10" t="str">
        <f>IF(SUM('Base de Datos Sumaria'!J117:Q117)&lt;&gt;0,SUM(F120:M120)," ")</f>
        <v xml:space="preserve"> </v>
      </c>
    </row>
    <row r="121" spans="1:25" ht="12.95" customHeight="1" x14ac:dyDescent="0.2">
      <c r="A121" s="6" t="str">
        <f>IF(SUM('Base de Datos Sumaria'!J118:Q118)&lt;&gt;0,'Base de Datos Sumaria'!C118," ")</f>
        <v xml:space="preserve"> </v>
      </c>
      <c r="B121" s="6" t="str">
        <f>IF(SUM('Base de Datos Sumaria'!J118:Q118)&lt;&gt;0,'Base de Datos Sumaria'!D118," ")</f>
        <v xml:space="preserve"> </v>
      </c>
      <c r="C121" s="7" t="str">
        <f>IF(SUM('Base de Datos Sumaria'!J118:Q118)&lt;&gt;0,'Base de Datos Sumaria'!H118," ")</f>
        <v xml:space="preserve"> </v>
      </c>
      <c r="D121" s="8" t="str">
        <f>IF(SUM('Base de Datos Sumaria'!J118:Q118)&lt;&gt;0,'Base de Datos Maestro'!L118," ")</f>
        <v xml:space="preserve"> </v>
      </c>
      <c r="E121" s="9" t="str">
        <f>IF('Base de Datos Sumaria'!I118&lt;&gt;0,'Base de Datos Sumaria'!I118,"")</f>
        <v/>
      </c>
      <c r="F121" s="10" t="str">
        <f>IF(SUM('Base de Datos Sumaria'!J118:Q118)&lt;&gt;0,'Base de Datos Sumaria'!J118,"")</f>
        <v/>
      </c>
      <c r="G121" s="10" t="str">
        <f>IF(SUM('Base de Datos Sumaria'!J118:Q118)&lt;&gt;0,'Base de Datos Sumaria'!K118," ")</f>
        <v xml:space="preserve"> </v>
      </c>
      <c r="H121" s="10" t="str">
        <f>IF(SUM('Base de Datos Sumaria'!J118:Q118)&lt;&gt;0,'Base de Datos Sumaria'!L118," ")</f>
        <v xml:space="preserve"> </v>
      </c>
      <c r="I121" s="10" t="str">
        <f>IF(SUM('Base de Datos Sumaria'!J118:Q118)&lt;&gt;0,'Base de Datos Sumaria'!M118," ")</f>
        <v xml:space="preserve"> </v>
      </c>
      <c r="J121" s="10" t="str">
        <f>IF(SUM('Base de Datos Sumaria'!J118:Q118)&lt;&gt;0,'Base de Datos Sumaria'!N118," ")</f>
        <v xml:space="preserve"> </v>
      </c>
      <c r="K121" s="10" t="str">
        <f>IF(SUM('Base de Datos Sumaria'!J118:Q118)&lt;&gt;0,'Base de Datos Sumaria'!O118," ")</f>
        <v xml:space="preserve"> </v>
      </c>
      <c r="L121" s="10" t="str">
        <f>IF(SUM('Base de Datos Sumaria'!J118:Q118)&lt;&gt;0,'Base de Datos Sumaria'!P118," ")</f>
        <v xml:space="preserve"> </v>
      </c>
      <c r="M121" s="10" t="str">
        <f>IF(SUM('Base de Datos Sumaria'!J118:Q118)&lt;&gt;0,'Base de Datos Sumaria'!Q118," ")</f>
        <v xml:space="preserve"> </v>
      </c>
      <c r="N121" s="10" t="str">
        <f>IF(SUM('Base de Datos Sumaria'!J118:Q118)&lt;&gt;0,SUM(F121:M121)," ")</f>
        <v xml:space="preserve"> </v>
      </c>
    </row>
    <row r="122" spans="1:25" ht="12.95" customHeight="1" x14ac:dyDescent="0.2">
      <c r="A122" s="6" t="str">
        <f>IF(SUM('Base de Datos Sumaria'!J119:Q119)&lt;&gt;0,'Base de Datos Sumaria'!C119," ")</f>
        <v xml:space="preserve"> </v>
      </c>
      <c r="B122" s="6" t="str">
        <f>IF(SUM('Base de Datos Sumaria'!J119:Q119)&lt;&gt;0,'Base de Datos Sumaria'!D119," ")</f>
        <v xml:space="preserve"> </v>
      </c>
      <c r="C122" s="7" t="str">
        <f>IF(SUM('Base de Datos Sumaria'!J119:Q119)&lt;&gt;0,'Base de Datos Sumaria'!H119," ")</f>
        <v xml:space="preserve"> </v>
      </c>
      <c r="D122" s="8" t="str">
        <f>IF(SUM('Base de Datos Sumaria'!J119:Q119)&lt;&gt;0,'Base de Datos Maestro'!L119," ")</f>
        <v xml:space="preserve"> </v>
      </c>
      <c r="E122" s="9" t="str">
        <f>IF('Base de Datos Sumaria'!I119&lt;&gt;0,'Base de Datos Sumaria'!I119,"")</f>
        <v/>
      </c>
      <c r="F122" s="10" t="str">
        <f>IF(SUM('Base de Datos Sumaria'!J119:Q119)&lt;&gt;0,'Base de Datos Sumaria'!J119,"")</f>
        <v/>
      </c>
      <c r="G122" s="10" t="str">
        <f>IF(SUM('Base de Datos Sumaria'!J119:Q119)&lt;&gt;0,'Base de Datos Sumaria'!K119," ")</f>
        <v xml:space="preserve"> </v>
      </c>
      <c r="H122" s="10" t="str">
        <f>IF(SUM('Base de Datos Sumaria'!J119:Q119)&lt;&gt;0,'Base de Datos Sumaria'!L119," ")</f>
        <v xml:space="preserve"> </v>
      </c>
      <c r="I122" s="10" t="str">
        <f>IF(SUM('Base de Datos Sumaria'!J119:Q119)&lt;&gt;0,'Base de Datos Sumaria'!M119," ")</f>
        <v xml:space="preserve"> </v>
      </c>
      <c r="J122" s="10" t="str">
        <f>IF(SUM('Base de Datos Sumaria'!J119:Q119)&lt;&gt;0,'Base de Datos Sumaria'!N119," ")</f>
        <v xml:space="preserve"> </v>
      </c>
      <c r="K122" s="10" t="str">
        <f>IF(SUM('Base de Datos Sumaria'!J119:Q119)&lt;&gt;0,'Base de Datos Sumaria'!O119," ")</f>
        <v xml:space="preserve"> </v>
      </c>
      <c r="L122" s="10" t="str">
        <f>IF(SUM('Base de Datos Sumaria'!J119:Q119)&lt;&gt;0,'Base de Datos Sumaria'!P119," ")</f>
        <v xml:space="preserve"> </v>
      </c>
      <c r="M122" s="10" t="str">
        <f>IF(SUM('Base de Datos Sumaria'!J119:Q119)&lt;&gt;0,'Base de Datos Sumaria'!Q119," ")</f>
        <v xml:space="preserve"> </v>
      </c>
      <c r="N122" s="10" t="str">
        <f>IF(SUM('Base de Datos Sumaria'!J119:Q119)&lt;&gt;0,SUM(F122:M122)," ")</f>
        <v xml:space="preserve"> </v>
      </c>
    </row>
    <row r="123" spans="1:25" ht="12.95" customHeight="1" x14ac:dyDescent="0.2">
      <c r="A123" s="6" t="str">
        <f>IF(SUM('Base de Datos Sumaria'!J120:Q120)&lt;&gt;0,'Base de Datos Sumaria'!C120," ")</f>
        <v xml:space="preserve"> </v>
      </c>
      <c r="B123" s="6" t="str">
        <f>IF(SUM('Base de Datos Sumaria'!J120:Q120)&lt;&gt;0,'Base de Datos Sumaria'!D120," ")</f>
        <v xml:space="preserve"> </v>
      </c>
      <c r="C123" s="7" t="str">
        <f>IF(SUM('Base de Datos Sumaria'!J120:Q120)&lt;&gt;0,'Base de Datos Sumaria'!H120," ")</f>
        <v xml:space="preserve"> </v>
      </c>
      <c r="D123" s="8" t="str">
        <f>IF(SUM('Base de Datos Sumaria'!J120:Q120)&lt;&gt;0,'Base de Datos Maestro'!L120," ")</f>
        <v xml:space="preserve"> </v>
      </c>
      <c r="E123" s="9" t="str">
        <f>IF('Base de Datos Sumaria'!I120&lt;&gt;0,'Base de Datos Sumaria'!I120,"")</f>
        <v/>
      </c>
      <c r="F123" s="10" t="str">
        <f>IF(SUM('Base de Datos Sumaria'!J120:Q120)&lt;&gt;0,'Base de Datos Sumaria'!J120,"")</f>
        <v/>
      </c>
      <c r="G123" s="10" t="str">
        <f>IF(SUM('Base de Datos Sumaria'!J120:Q120)&lt;&gt;0,'Base de Datos Sumaria'!K120," ")</f>
        <v xml:space="preserve"> </v>
      </c>
      <c r="H123" s="10" t="str">
        <f>IF(SUM('Base de Datos Sumaria'!J120:Q120)&lt;&gt;0,'Base de Datos Sumaria'!L120," ")</f>
        <v xml:space="preserve"> </v>
      </c>
      <c r="I123" s="10" t="str">
        <f>IF(SUM('Base de Datos Sumaria'!J120:Q120)&lt;&gt;0,'Base de Datos Sumaria'!M120," ")</f>
        <v xml:space="preserve"> </v>
      </c>
      <c r="J123" s="10" t="str">
        <f>IF(SUM('Base de Datos Sumaria'!J120:Q120)&lt;&gt;0,'Base de Datos Sumaria'!N120," ")</f>
        <v xml:space="preserve"> </v>
      </c>
      <c r="K123" s="10" t="str">
        <f>IF(SUM('Base de Datos Sumaria'!J120:Q120)&lt;&gt;0,'Base de Datos Sumaria'!O120," ")</f>
        <v xml:space="preserve"> </v>
      </c>
      <c r="L123" s="10" t="str">
        <f>IF(SUM('Base de Datos Sumaria'!J120:Q120)&lt;&gt;0,'Base de Datos Sumaria'!P120," ")</f>
        <v xml:space="preserve"> </v>
      </c>
      <c r="M123" s="10" t="str">
        <f>IF(SUM('Base de Datos Sumaria'!J120:Q120)&lt;&gt;0,'Base de Datos Sumaria'!Q120," ")</f>
        <v xml:space="preserve"> </v>
      </c>
      <c r="N123" s="10" t="str">
        <f>IF(SUM('Base de Datos Sumaria'!J120:Q120)&lt;&gt;0,SUM(F123:M123)," ")</f>
        <v xml:space="preserve"> </v>
      </c>
    </row>
    <row r="124" spans="1:25" ht="12.95" customHeight="1" x14ac:dyDescent="0.2">
      <c r="A124" s="6" t="str">
        <f>IF(SUM('Base de Datos Sumaria'!J121:Q121)&lt;&gt;0,'Base de Datos Sumaria'!C121," ")</f>
        <v xml:space="preserve"> </v>
      </c>
      <c r="B124" s="6" t="str">
        <f>IF(SUM('Base de Datos Sumaria'!J121:Q121)&lt;&gt;0,'Base de Datos Sumaria'!D121," ")</f>
        <v xml:space="preserve"> </v>
      </c>
      <c r="C124" s="7" t="str">
        <f>IF(SUM('Base de Datos Sumaria'!J121:Q121)&lt;&gt;0,'Base de Datos Sumaria'!H121," ")</f>
        <v xml:space="preserve"> </v>
      </c>
      <c r="D124" s="8" t="str">
        <f>IF(SUM('Base de Datos Sumaria'!J121:Q121)&lt;&gt;0,'Base de Datos Maestro'!L121," ")</f>
        <v xml:space="preserve"> </v>
      </c>
      <c r="E124" s="9" t="str">
        <f>IF('Base de Datos Sumaria'!I121&lt;&gt;0,'Base de Datos Sumaria'!I121,"")</f>
        <v/>
      </c>
      <c r="F124" s="10" t="str">
        <f>IF(SUM('Base de Datos Sumaria'!J121:Q121)&lt;&gt;0,'Base de Datos Sumaria'!J121,"")</f>
        <v/>
      </c>
      <c r="G124" s="10" t="str">
        <f>IF(SUM('Base de Datos Sumaria'!J121:Q121)&lt;&gt;0,'Base de Datos Sumaria'!K121," ")</f>
        <v xml:space="preserve"> </v>
      </c>
      <c r="H124" s="10" t="str">
        <f>IF(SUM('Base de Datos Sumaria'!J121:Q121)&lt;&gt;0,'Base de Datos Sumaria'!L121," ")</f>
        <v xml:space="preserve"> </v>
      </c>
      <c r="I124" s="10" t="str">
        <f>IF(SUM('Base de Datos Sumaria'!J121:Q121)&lt;&gt;0,'Base de Datos Sumaria'!M121," ")</f>
        <v xml:space="preserve"> </v>
      </c>
      <c r="J124" s="10" t="str">
        <f>IF(SUM('Base de Datos Sumaria'!J121:Q121)&lt;&gt;0,'Base de Datos Sumaria'!N121," ")</f>
        <v xml:space="preserve"> </v>
      </c>
      <c r="K124" s="10" t="str">
        <f>IF(SUM('Base de Datos Sumaria'!J121:Q121)&lt;&gt;0,'Base de Datos Sumaria'!O121," ")</f>
        <v xml:space="preserve"> </v>
      </c>
      <c r="L124" s="10" t="str">
        <f>IF(SUM('Base de Datos Sumaria'!J121:Q121)&lt;&gt;0,'Base de Datos Sumaria'!P121," ")</f>
        <v xml:space="preserve"> </v>
      </c>
      <c r="M124" s="10" t="str">
        <f>IF(SUM('Base de Datos Sumaria'!J121:Q121)&lt;&gt;0,'Base de Datos Sumaria'!Q121," ")</f>
        <v xml:space="preserve"> </v>
      </c>
      <c r="N124" s="10" t="str">
        <f>IF(SUM('Base de Datos Sumaria'!J121:Q121)&lt;&gt;0,SUM(F124:M124)," ")</f>
        <v xml:space="preserve"> </v>
      </c>
    </row>
    <row r="125" spans="1:25" ht="12.95" customHeight="1" x14ac:dyDescent="0.2">
      <c r="A125" s="6" t="str">
        <f>IF(SUM('Base de Datos Sumaria'!J122:Q122)&lt;&gt;0,'Base de Datos Sumaria'!C122," ")</f>
        <v xml:space="preserve"> </v>
      </c>
      <c r="B125" s="6" t="str">
        <f>IF(SUM('Base de Datos Sumaria'!J122:Q122)&lt;&gt;0,'Base de Datos Sumaria'!D122," ")</f>
        <v xml:space="preserve"> </v>
      </c>
      <c r="C125" s="7" t="str">
        <f>IF(SUM('Base de Datos Sumaria'!J122:Q122)&lt;&gt;0,'Base de Datos Sumaria'!H122," ")</f>
        <v xml:space="preserve"> </v>
      </c>
      <c r="D125" s="8" t="str">
        <f>IF(SUM('Base de Datos Sumaria'!J122:Q122)&lt;&gt;0,'Base de Datos Maestro'!L122," ")</f>
        <v xml:space="preserve"> </v>
      </c>
      <c r="E125" s="9" t="str">
        <f>IF('Base de Datos Sumaria'!I122&lt;&gt;0,'Base de Datos Sumaria'!I122,"")</f>
        <v/>
      </c>
      <c r="F125" s="10" t="str">
        <f>IF(SUM('Base de Datos Sumaria'!J122:Q122)&lt;&gt;0,'Base de Datos Sumaria'!J122,"")</f>
        <v/>
      </c>
      <c r="G125" s="10" t="str">
        <f>IF(SUM('Base de Datos Sumaria'!J122:Q122)&lt;&gt;0,'Base de Datos Sumaria'!K122," ")</f>
        <v xml:space="preserve"> </v>
      </c>
      <c r="H125" s="10" t="str">
        <f>IF(SUM('Base de Datos Sumaria'!J122:Q122)&lt;&gt;0,'Base de Datos Sumaria'!L122," ")</f>
        <v xml:space="preserve"> </v>
      </c>
      <c r="I125" s="10" t="str">
        <f>IF(SUM('Base de Datos Sumaria'!J122:Q122)&lt;&gt;0,'Base de Datos Sumaria'!M122," ")</f>
        <v xml:space="preserve"> </v>
      </c>
      <c r="J125" s="10" t="str">
        <f>IF(SUM('Base de Datos Sumaria'!J122:Q122)&lt;&gt;0,'Base de Datos Sumaria'!N122," ")</f>
        <v xml:space="preserve"> </v>
      </c>
      <c r="K125" s="10" t="str">
        <f>IF(SUM('Base de Datos Sumaria'!J122:Q122)&lt;&gt;0,'Base de Datos Sumaria'!O122," ")</f>
        <v xml:space="preserve"> </v>
      </c>
      <c r="L125" s="10" t="str">
        <f>IF(SUM('Base de Datos Sumaria'!J122:Q122)&lt;&gt;0,'Base de Datos Sumaria'!P122," ")</f>
        <v xml:space="preserve"> </v>
      </c>
      <c r="M125" s="10" t="str">
        <f>IF(SUM('Base de Datos Sumaria'!J122:Q122)&lt;&gt;0,'Base de Datos Sumaria'!Q122," ")</f>
        <v xml:space="preserve"> </v>
      </c>
      <c r="N125" s="10" t="str">
        <f>IF(SUM('Base de Datos Sumaria'!J122:Q122)&lt;&gt;0,SUM(F125:M125)," ")</f>
        <v xml:space="preserve"> </v>
      </c>
    </row>
    <row r="126" spans="1:25" ht="12.95" customHeight="1" x14ac:dyDescent="0.2">
      <c r="A126" s="6" t="str">
        <f>IF(SUM('Base de Datos Sumaria'!J123:Q123)&lt;&gt;0,'Base de Datos Sumaria'!C123," ")</f>
        <v xml:space="preserve"> </v>
      </c>
      <c r="B126" s="6" t="str">
        <f>IF(SUM('Base de Datos Sumaria'!J123:Q123)&lt;&gt;0,'Base de Datos Sumaria'!D123," ")</f>
        <v xml:space="preserve"> </v>
      </c>
      <c r="C126" s="7" t="str">
        <f>IF(SUM('Base de Datos Sumaria'!J123:Q123)&lt;&gt;0,'Base de Datos Sumaria'!H123," ")</f>
        <v xml:space="preserve"> </v>
      </c>
      <c r="D126" s="8" t="str">
        <f>IF(SUM('Base de Datos Sumaria'!J123:Q123)&lt;&gt;0,'Base de Datos Maestro'!L123," ")</f>
        <v xml:space="preserve"> </v>
      </c>
      <c r="E126" s="9" t="str">
        <f>IF('Base de Datos Sumaria'!I123&lt;&gt;0,'Base de Datos Sumaria'!I123,"")</f>
        <v/>
      </c>
      <c r="F126" s="10" t="str">
        <f>IF(SUM('Base de Datos Sumaria'!J123:Q123)&lt;&gt;0,'Base de Datos Sumaria'!J123,"")</f>
        <v/>
      </c>
      <c r="G126" s="10" t="str">
        <f>IF(SUM('Base de Datos Sumaria'!J123:Q123)&lt;&gt;0,'Base de Datos Sumaria'!K123," ")</f>
        <v xml:space="preserve"> </v>
      </c>
      <c r="H126" s="10" t="str">
        <f>IF(SUM('Base de Datos Sumaria'!J123:Q123)&lt;&gt;0,'Base de Datos Sumaria'!L123," ")</f>
        <v xml:space="preserve"> </v>
      </c>
      <c r="I126" s="10" t="str">
        <f>IF(SUM('Base de Datos Sumaria'!J123:Q123)&lt;&gt;0,'Base de Datos Sumaria'!M123," ")</f>
        <v xml:space="preserve"> </v>
      </c>
      <c r="J126" s="10" t="str">
        <f>IF(SUM('Base de Datos Sumaria'!J123:Q123)&lt;&gt;0,'Base de Datos Sumaria'!N123," ")</f>
        <v xml:space="preserve"> </v>
      </c>
      <c r="K126" s="10" t="str">
        <f>IF(SUM('Base de Datos Sumaria'!J123:Q123)&lt;&gt;0,'Base de Datos Sumaria'!O123," ")</f>
        <v xml:space="preserve"> </v>
      </c>
      <c r="L126" s="10" t="str">
        <f>IF(SUM('Base de Datos Sumaria'!J123:Q123)&lt;&gt;0,'Base de Datos Sumaria'!P123," ")</f>
        <v xml:space="preserve"> </v>
      </c>
      <c r="M126" s="10" t="str">
        <f>IF(SUM('Base de Datos Sumaria'!J123:Q123)&lt;&gt;0,'Base de Datos Sumaria'!Q123," ")</f>
        <v xml:space="preserve"> </v>
      </c>
      <c r="N126" s="10" t="str">
        <f>IF(SUM('Base de Datos Sumaria'!J123:Q123)&lt;&gt;0,SUM(F126:M126)," ")</f>
        <v xml:space="preserve"> </v>
      </c>
    </row>
    <row r="127" spans="1:25" ht="12.95" customHeight="1" x14ac:dyDescent="0.2">
      <c r="A127" s="6" t="str">
        <f>IF(SUM('Base de Datos Sumaria'!J124:Q124)&lt;&gt;0,'Base de Datos Sumaria'!C124," ")</f>
        <v xml:space="preserve"> </v>
      </c>
      <c r="B127" s="6" t="str">
        <f>IF(SUM('Base de Datos Sumaria'!J124:Q124)&lt;&gt;0,'Base de Datos Sumaria'!D124," ")</f>
        <v xml:space="preserve"> </v>
      </c>
      <c r="C127" s="7" t="str">
        <f>IF(SUM('Base de Datos Sumaria'!J124:Q124)&lt;&gt;0,'Base de Datos Sumaria'!H124," ")</f>
        <v xml:space="preserve"> </v>
      </c>
      <c r="D127" s="8" t="str">
        <f>IF(SUM('Base de Datos Sumaria'!J124:Q124)&lt;&gt;0,'Base de Datos Maestro'!L124," ")</f>
        <v xml:space="preserve"> </v>
      </c>
      <c r="E127" s="9" t="str">
        <f>IF('Base de Datos Sumaria'!I124&lt;&gt;0,'Base de Datos Sumaria'!I124,"")</f>
        <v/>
      </c>
      <c r="F127" s="10" t="str">
        <f>IF(SUM('Base de Datos Sumaria'!J124:Q124)&lt;&gt;0,'Base de Datos Sumaria'!J124,"")</f>
        <v/>
      </c>
      <c r="G127" s="10" t="str">
        <f>IF(SUM('Base de Datos Sumaria'!J124:Q124)&lt;&gt;0,'Base de Datos Sumaria'!K124," ")</f>
        <v xml:space="preserve"> </v>
      </c>
      <c r="H127" s="10" t="str">
        <f>IF(SUM('Base de Datos Sumaria'!J124:Q124)&lt;&gt;0,'Base de Datos Sumaria'!L124," ")</f>
        <v xml:space="preserve"> </v>
      </c>
      <c r="I127" s="10" t="str">
        <f>IF(SUM('Base de Datos Sumaria'!J124:Q124)&lt;&gt;0,'Base de Datos Sumaria'!M124," ")</f>
        <v xml:space="preserve"> </v>
      </c>
      <c r="J127" s="10" t="str">
        <f>IF(SUM('Base de Datos Sumaria'!J124:Q124)&lt;&gt;0,'Base de Datos Sumaria'!N124," ")</f>
        <v xml:space="preserve"> </v>
      </c>
      <c r="K127" s="10" t="str">
        <f>IF(SUM('Base de Datos Sumaria'!J124:Q124)&lt;&gt;0,'Base de Datos Sumaria'!O124," ")</f>
        <v xml:space="preserve"> </v>
      </c>
      <c r="L127" s="10" t="str">
        <f>IF(SUM('Base de Datos Sumaria'!J124:Q124)&lt;&gt;0,'Base de Datos Sumaria'!P124," ")</f>
        <v xml:space="preserve"> </v>
      </c>
      <c r="M127" s="10" t="str">
        <f>IF(SUM('Base de Datos Sumaria'!J124:Q124)&lt;&gt;0,'Base de Datos Sumaria'!Q124," ")</f>
        <v xml:space="preserve"> </v>
      </c>
      <c r="N127" s="10" t="str">
        <f>IF(SUM('Base de Datos Sumaria'!J124:Q124)&lt;&gt;0,SUM(F127:M127)," ")</f>
        <v xml:space="preserve"> </v>
      </c>
    </row>
    <row r="128" spans="1:25" ht="12.95" customHeight="1" x14ac:dyDescent="0.2">
      <c r="A128" s="6" t="str">
        <f>IF(SUM('Base de Datos Sumaria'!J125:Q125)&lt;&gt;0,'Base de Datos Sumaria'!C125," ")</f>
        <v xml:space="preserve"> </v>
      </c>
      <c r="B128" s="6" t="str">
        <f>IF(SUM('Base de Datos Sumaria'!J125:Q125)&lt;&gt;0,'Base de Datos Sumaria'!D125," ")</f>
        <v xml:space="preserve"> </v>
      </c>
      <c r="C128" s="7" t="str">
        <f>IF(SUM('Base de Datos Sumaria'!J125:Q125)&lt;&gt;0,'Base de Datos Sumaria'!H125," ")</f>
        <v xml:space="preserve"> </v>
      </c>
      <c r="D128" s="8" t="str">
        <f>IF(SUM('Base de Datos Sumaria'!J125:Q125)&lt;&gt;0,'Base de Datos Maestro'!L125," ")</f>
        <v xml:space="preserve"> </v>
      </c>
      <c r="E128" s="9" t="str">
        <f>IF('Base de Datos Sumaria'!I125&lt;&gt;0,'Base de Datos Sumaria'!I125,"")</f>
        <v/>
      </c>
      <c r="F128" s="10" t="str">
        <f>IF(SUM('Base de Datos Sumaria'!J125:Q125)&lt;&gt;0,'Base de Datos Sumaria'!J125,"")</f>
        <v/>
      </c>
      <c r="G128" s="10" t="str">
        <f>IF(SUM('Base de Datos Sumaria'!J125:Q125)&lt;&gt;0,'Base de Datos Sumaria'!K125," ")</f>
        <v xml:space="preserve"> </v>
      </c>
      <c r="H128" s="10" t="str">
        <f>IF(SUM('Base de Datos Sumaria'!J125:Q125)&lt;&gt;0,'Base de Datos Sumaria'!L125," ")</f>
        <v xml:space="preserve"> </v>
      </c>
      <c r="I128" s="10" t="str">
        <f>IF(SUM('Base de Datos Sumaria'!J125:Q125)&lt;&gt;0,'Base de Datos Sumaria'!M125," ")</f>
        <v xml:space="preserve"> </v>
      </c>
      <c r="J128" s="10" t="str">
        <f>IF(SUM('Base de Datos Sumaria'!J125:Q125)&lt;&gt;0,'Base de Datos Sumaria'!N125," ")</f>
        <v xml:space="preserve"> </v>
      </c>
      <c r="K128" s="10" t="str">
        <f>IF(SUM('Base de Datos Sumaria'!J125:Q125)&lt;&gt;0,'Base de Datos Sumaria'!O125," ")</f>
        <v xml:space="preserve"> </v>
      </c>
      <c r="L128" s="10" t="str">
        <f>IF(SUM('Base de Datos Sumaria'!J125:Q125)&lt;&gt;0,'Base de Datos Sumaria'!P125," ")</f>
        <v xml:space="preserve"> </v>
      </c>
      <c r="M128" s="10" t="str">
        <f>IF(SUM('Base de Datos Sumaria'!J125:Q125)&lt;&gt;0,'Base de Datos Sumaria'!Q125," ")</f>
        <v xml:space="preserve"> </v>
      </c>
      <c r="N128" s="10" t="str">
        <f>IF(SUM('Base de Datos Sumaria'!J125:Q125)&lt;&gt;0,SUM(F128:M128)," ")</f>
        <v xml:space="preserve"> </v>
      </c>
    </row>
    <row r="129" spans="1:14" ht="12.95" customHeight="1" x14ac:dyDescent="0.2">
      <c r="A129" s="6" t="str">
        <f>IF(SUM('Base de Datos Sumaria'!J126:Q126)&lt;&gt;0,'Base de Datos Sumaria'!C126," ")</f>
        <v xml:space="preserve"> </v>
      </c>
      <c r="B129" s="6" t="str">
        <f>IF(SUM('Base de Datos Sumaria'!J126:Q126)&lt;&gt;0,'Base de Datos Sumaria'!D126," ")</f>
        <v xml:space="preserve"> </v>
      </c>
      <c r="C129" s="7" t="str">
        <f>IF(SUM('Base de Datos Sumaria'!J126:Q126)&lt;&gt;0,'Base de Datos Sumaria'!H126," ")</f>
        <v xml:space="preserve"> </v>
      </c>
      <c r="D129" s="8" t="str">
        <f>IF(SUM('Base de Datos Sumaria'!J126:Q126)&lt;&gt;0,'Base de Datos Maestro'!L126," ")</f>
        <v xml:space="preserve"> </v>
      </c>
      <c r="E129" s="9" t="str">
        <f>IF('Base de Datos Sumaria'!I126&lt;&gt;0,'Base de Datos Sumaria'!I126,"")</f>
        <v/>
      </c>
      <c r="F129" s="10" t="str">
        <f>IF(SUM('Base de Datos Sumaria'!J126:Q126)&lt;&gt;0,'Base de Datos Sumaria'!J126,"")</f>
        <v/>
      </c>
      <c r="G129" s="10" t="str">
        <f>IF(SUM('Base de Datos Sumaria'!J126:Q126)&lt;&gt;0,'Base de Datos Sumaria'!K126," ")</f>
        <v xml:space="preserve"> </v>
      </c>
      <c r="H129" s="10" t="str">
        <f>IF(SUM('Base de Datos Sumaria'!J126:Q126)&lt;&gt;0,'Base de Datos Sumaria'!L126," ")</f>
        <v xml:space="preserve"> </v>
      </c>
      <c r="I129" s="10" t="str">
        <f>IF(SUM('Base de Datos Sumaria'!J126:Q126)&lt;&gt;0,'Base de Datos Sumaria'!M126," ")</f>
        <v xml:space="preserve"> </v>
      </c>
      <c r="J129" s="10" t="str">
        <f>IF(SUM('Base de Datos Sumaria'!J126:Q126)&lt;&gt;0,'Base de Datos Sumaria'!N126," ")</f>
        <v xml:space="preserve"> </v>
      </c>
      <c r="K129" s="10" t="str">
        <f>IF(SUM('Base de Datos Sumaria'!J126:Q126)&lt;&gt;0,'Base de Datos Sumaria'!O126," ")</f>
        <v xml:space="preserve"> </v>
      </c>
      <c r="L129" s="10" t="str">
        <f>IF(SUM('Base de Datos Sumaria'!J126:Q126)&lt;&gt;0,'Base de Datos Sumaria'!P126," ")</f>
        <v xml:space="preserve"> </v>
      </c>
      <c r="M129" s="10" t="str">
        <f>IF(SUM('Base de Datos Sumaria'!J126:Q126)&lt;&gt;0,'Base de Datos Sumaria'!Q126," ")</f>
        <v xml:space="preserve"> </v>
      </c>
      <c r="N129" s="10" t="str">
        <f>IF(SUM('Base de Datos Sumaria'!J126:Q126)&lt;&gt;0,SUM(F129:M129)," ")</f>
        <v xml:space="preserve"> </v>
      </c>
    </row>
    <row r="130" spans="1:14" ht="12.95" customHeight="1" x14ac:dyDescent="0.2">
      <c r="A130" s="6" t="str">
        <f>IF(SUM('Base de Datos Sumaria'!J127:Q127)&lt;&gt;0,'Base de Datos Sumaria'!C127," ")</f>
        <v xml:space="preserve"> </v>
      </c>
      <c r="B130" s="6" t="str">
        <f>IF(SUM('Base de Datos Sumaria'!J127:Q127)&lt;&gt;0,'Base de Datos Sumaria'!D127," ")</f>
        <v xml:space="preserve"> </v>
      </c>
      <c r="C130" s="7" t="str">
        <f>IF(SUM('Base de Datos Sumaria'!J127:Q127)&lt;&gt;0,'Base de Datos Sumaria'!H127," ")</f>
        <v xml:space="preserve"> </v>
      </c>
      <c r="D130" s="8" t="str">
        <f>IF(SUM('Base de Datos Sumaria'!J127:Q127)&lt;&gt;0,'Base de Datos Maestro'!L127," ")</f>
        <v xml:space="preserve"> </v>
      </c>
      <c r="E130" s="9" t="str">
        <f>IF('Base de Datos Sumaria'!I127&lt;&gt;0,'Base de Datos Sumaria'!I127,"")</f>
        <v/>
      </c>
      <c r="F130" s="10" t="str">
        <f>IF(SUM('Base de Datos Sumaria'!J127:Q127)&lt;&gt;0,'Base de Datos Sumaria'!J127,"")</f>
        <v/>
      </c>
      <c r="G130" s="10" t="str">
        <f>IF(SUM('Base de Datos Sumaria'!J127:Q127)&lt;&gt;0,'Base de Datos Sumaria'!K127," ")</f>
        <v xml:space="preserve"> </v>
      </c>
      <c r="H130" s="10" t="str">
        <f>IF(SUM('Base de Datos Sumaria'!J127:Q127)&lt;&gt;0,'Base de Datos Sumaria'!L127," ")</f>
        <v xml:space="preserve"> </v>
      </c>
      <c r="I130" s="10" t="str">
        <f>IF(SUM('Base de Datos Sumaria'!J127:Q127)&lt;&gt;0,'Base de Datos Sumaria'!M127," ")</f>
        <v xml:space="preserve"> </v>
      </c>
      <c r="J130" s="10" t="str">
        <f>IF(SUM('Base de Datos Sumaria'!J127:Q127)&lt;&gt;0,'Base de Datos Sumaria'!N127," ")</f>
        <v xml:space="preserve"> </v>
      </c>
      <c r="K130" s="10" t="str">
        <f>IF(SUM('Base de Datos Sumaria'!J127:Q127)&lt;&gt;0,'Base de Datos Sumaria'!O127," ")</f>
        <v xml:space="preserve"> </v>
      </c>
      <c r="L130" s="10" t="str">
        <f>IF(SUM('Base de Datos Sumaria'!J127:Q127)&lt;&gt;0,'Base de Datos Sumaria'!P127," ")</f>
        <v xml:space="preserve"> </v>
      </c>
      <c r="M130" s="10" t="str">
        <f>IF(SUM('Base de Datos Sumaria'!J127:Q127)&lt;&gt;0,'Base de Datos Sumaria'!Q127," ")</f>
        <v xml:space="preserve"> </v>
      </c>
      <c r="N130" s="10" t="str">
        <f>IF(SUM('Base de Datos Sumaria'!J127:Q127)&lt;&gt;0,SUM(F130:M130)," ")</f>
        <v xml:space="preserve"> </v>
      </c>
    </row>
    <row r="131" spans="1:14" ht="12.95" customHeight="1" x14ac:dyDescent="0.2">
      <c r="A131" s="6" t="str">
        <f>IF(SUM('Base de Datos Sumaria'!J128:Q128)&lt;&gt;0,'Base de Datos Sumaria'!C128," ")</f>
        <v xml:space="preserve"> </v>
      </c>
      <c r="B131" s="6" t="str">
        <f>IF(SUM('Base de Datos Sumaria'!J128:Q128)&lt;&gt;0,'Base de Datos Sumaria'!D128," ")</f>
        <v xml:space="preserve"> </v>
      </c>
      <c r="C131" s="7" t="str">
        <f>IF(SUM('Base de Datos Sumaria'!J128:Q128)&lt;&gt;0,'Base de Datos Sumaria'!H128," ")</f>
        <v xml:space="preserve"> </v>
      </c>
      <c r="D131" s="8" t="str">
        <f>IF(SUM('Base de Datos Sumaria'!J128:Q128)&lt;&gt;0,'Base de Datos Maestro'!L128," ")</f>
        <v xml:space="preserve"> </v>
      </c>
      <c r="E131" s="9" t="str">
        <f>IF('Base de Datos Sumaria'!I128&lt;&gt;0,'Base de Datos Sumaria'!I128,"")</f>
        <v/>
      </c>
      <c r="F131" s="10" t="str">
        <f>IF(SUM('Base de Datos Sumaria'!J128:Q128)&lt;&gt;0,'Base de Datos Sumaria'!J128,"")</f>
        <v/>
      </c>
      <c r="G131" s="10" t="str">
        <f>IF(SUM('Base de Datos Sumaria'!J128:Q128)&lt;&gt;0,'Base de Datos Sumaria'!K128," ")</f>
        <v xml:space="preserve"> </v>
      </c>
      <c r="H131" s="10" t="str">
        <f>IF(SUM('Base de Datos Sumaria'!J128:Q128)&lt;&gt;0,'Base de Datos Sumaria'!L128," ")</f>
        <v xml:space="preserve"> </v>
      </c>
      <c r="I131" s="10" t="str">
        <f>IF(SUM('Base de Datos Sumaria'!J128:Q128)&lt;&gt;0,'Base de Datos Sumaria'!M128," ")</f>
        <v xml:space="preserve"> </v>
      </c>
      <c r="J131" s="10" t="str">
        <f>IF(SUM('Base de Datos Sumaria'!J128:Q128)&lt;&gt;0,'Base de Datos Sumaria'!N128," ")</f>
        <v xml:space="preserve"> </v>
      </c>
      <c r="K131" s="10" t="str">
        <f>IF(SUM('Base de Datos Sumaria'!J128:Q128)&lt;&gt;0,'Base de Datos Sumaria'!O128," ")</f>
        <v xml:space="preserve"> </v>
      </c>
      <c r="L131" s="10" t="str">
        <f>IF(SUM('Base de Datos Sumaria'!J128:Q128)&lt;&gt;0,'Base de Datos Sumaria'!P128," ")</f>
        <v xml:space="preserve"> </v>
      </c>
      <c r="M131" s="10" t="str">
        <f>IF(SUM('Base de Datos Sumaria'!J128:Q128)&lt;&gt;0,'Base de Datos Sumaria'!Q128," ")</f>
        <v xml:space="preserve"> </v>
      </c>
      <c r="N131" s="10" t="str">
        <f>IF(SUM('Base de Datos Sumaria'!J128:Q128)&lt;&gt;0,SUM(F131:M131)," ")</f>
        <v xml:space="preserve"> </v>
      </c>
    </row>
    <row r="132" spans="1:14" ht="12.95" customHeight="1" x14ac:dyDescent="0.2">
      <c r="A132" s="6" t="str">
        <f>IF(SUM('Base de Datos Sumaria'!J129:Q129)&lt;&gt;0,'Base de Datos Sumaria'!C129," ")</f>
        <v xml:space="preserve"> </v>
      </c>
      <c r="B132" s="6" t="str">
        <f>IF(SUM('Base de Datos Sumaria'!J129:Q129)&lt;&gt;0,'Base de Datos Sumaria'!D129," ")</f>
        <v xml:space="preserve"> </v>
      </c>
      <c r="C132" s="7" t="str">
        <f>IF(SUM('Base de Datos Sumaria'!J129:Q129)&lt;&gt;0,'Base de Datos Sumaria'!H129," ")</f>
        <v xml:space="preserve"> </v>
      </c>
      <c r="D132" s="8" t="str">
        <f>IF(SUM('Base de Datos Sumaria'!J129:Q129)&lt;&gt;0,'Base de Datos Maestro'!L129," ")</f>
        <v xml:space="preserve"> </v>
      </c>
      <c r="E132" s="9" t="str">
        <f>IF('Base de Datos Sumaria'!I129&lt;&gt;0,'Base de Datos Sumaria'!I129,"")</f>
        <v/>
      </c>
      <c r="F132" s="10" t="str">
        <f>IF(SUM('Base de Datos Sumaria'!J129:Q129)&lt;&gt;0,'Base de Datos Sumaria'!J129,"")</f>
        <v/>
      </c>
      <c r="G132" s="10" t="str">
        <f>IF(SUM('Base de Datos Sumaria'!J129:Q129)&lt;&gt;0,'Base de Datos Sumaria'!K129," ")</f>
        <v xml:space="preserve"> </v>
      </c>
      <c r="H132" s="10" t="str">
        <f>IF(SUM('Base de Datos Sumaria'!J129:Q129)&lt;&gt;0,'Base de Datos Sumaria'!L129," ")</f>
        <v xml:space="preserve"> </v>
      </c>
      <c r="I132" s="10" t="str">
        <f>IF(SUM('Base de Datos Sumaria'!J129:Q129)&lt;&gt;0,'Base de Datos Sumaria'!M129," ")</f>
        <v xml:space="preserve"> </v>
      </c>
      <c r="J132" s="10" t="str">
        <f>IF(SUM('Base de Datos Sumaria'!J129:Q129)&lt;&gt;0,'Base de Datos Sumaria'!N129," ")</f>
        <v xml:space="preserve"> </v>
      </c>
      <c r="K132" s="10" t="str">
        <f>IF(SUM('Base de Datos Sumaria'!J129:Q129)&lt;&gt;0,'Base de Datos Sumaria'!O129," ")</f>
        <v xml:space="preserve"> </v>
      </c>
      <c r="L132" s="10" t="str">
        <f>IF(SUM('Base de Datos Sumaria'!J129:Q129)&lt;&gt;0,'Base de Datos Sumaria'!P129," ")</f>
        <v xml:space="preserve"> </v>
      </c>
      <c r="M132" s="10" t="str">
        <f>IF(SUM('Base de Datos Sumaria'!J129:Q129)&lt;&gt;0,'Base de Datos Sumaria'!Q129," ")</f>
        <v xml:space="preserve"> </v>
      </c>
      <c r="N132" s="10" t="str">
        <f>IF(SUM('Base de Datos Sumaria'!J129:Q129)&lt;&gt;0,SUM(F132:M132)," ")</f>
        <v xml:space="preserve"> </v>
      </c>
    </row>
    <row r="133" spans="1:14" ht="12.95" customHeight="1" x14ac:dyDescent="0.2">
      <c r="A133" s="6" t="str">
        <f>IF(SUM('Base de Datos Sumaria'!J130:Q130)&lt;&gt;0,'Base de Datos Sumaria'!C130," ")</f>
        <v xml:space="preserve"> </v>
      </c>
      <c r="B133" s="6" t="str">
        <f>IF(SUM('Base de Datos Sumaria'!J130:Q130)&lt;&gt;0,'Base de Datos Sumaria'!D130," ")</f>
        <v xml:space="preserve"> </v>
      </c>
      <c r="C133" s="7" t="str">
        <f>IF(SUM('Base de Datos Sumaria'!J130:Q130)&lt;&gt;0,'Base de Datos Sumaria'!H130," ")</f>
        <v xml:space="preserve"> </v>
      </c>
      <c r="D133" s="8" t="str">
        <f>IF(SUM('Base de Datos Sumaria'!J130:Q130)&lt;&gt;0,'Base de Datos Maestro'!L130," ")</f>
        <v xml:space="preserve"> </v>
      </c>
      <c r="E133" s="9" t="str">
        <f>IF('Base de Datos Sumaria'!I130&lt;&gt;0,'Base de Datos Sumaria'!I130,"")</f>
        <v/>
      </c>
      <c r="F133" s="10" t="str">
        <f>IF(SUM('Base de Datos Sumaria'!J130:Q130)&lt;&gt;0,'Base de Datos Sumaria'!J130,"")</f>
        <v/>
      </c>
      <c r="G133" s="10" t="str">
        <f>IF(SUM('Base de Datos Sumaria'!J130:Q130)&lt;&gt;0,'Base de Datos Sumaria'!K130," ")</f>
        <v xml:space="preserve"> </v>
      </c>
      <c r="H133" s="10" t="str">
        <f>IF(SUM('Base de Datos Sumaria'!J130:Q130)&lt;&gt;0,'Base de Datos Sumaria'!L130," ")</f>
        <v xml:space="preserve"> </v>
      </c>
      <c r="I133" s="10" t="str">
        <f>IF(SUM('Base de Datos Sumaria'!J130:Q130)&lt;&gt;0,'Base de Datos Sumaria'!M130," ")</f>
        <v xml:space="preserve"> </v>
      </c>
      <c r="J133" s="10" t="str">
        <f>IF(SUM('Base de Datos Sumaria'!J130:Q130)&lt;&gt;0,'Base de Datos Sumaria'!N130," ")</f>
        <v xml:space="preserve"> </v>
      </c>
      <c r="K133" s="10" t="str">
        <f>IF(SUM('Base de Datos Sumaria'!J130:Q130)&lt;&gt;0,'Base de Datos Sumaria'!O130," ")</f>
        <v xml:space="preserve"> </v>
      </c>
      <c r="L133" s="10" t="str">
        <f>IF(SUM('Base de Datos Sumaria'!J130:Q130)&lt;&gt;0,'Base de Datos Sumaria'!P130," ")</f>
        <v xml:space="preserve"> </v>
      </c>
      <c r="M133" s="10" t="str">
        <f>IF(SUM('Base de Datos Sumaria'!J130:Q130)&lt;&gt;0,'Base de Datos Sumaria'!Q130," ")</f>
        <v xml:space="preserve"> </v>
      </c>
      <c r="N133" s="10" t="str">
        <f>IF(SUM('Base de Datos Sumaria'!J130:Q130)&lt;&gt;0,SUM(F133:M133)," ")</f>
        <v xml:space="preserve"> </v>
      </c>
    </row>
    <row r="134" spans="1:14" ht="12.95" customHeight="1" x14ac:dyDescent="0.2">
      <c r="A134" s="6" t="str">
        <f>IF(SUM('Base de Datos Sumaria'!J131:Q131)&lt;&gt;0,'Base de Datos Sumaria'!C131," ")</f>
        <v xml:space="preserve"> </v>
      </c>
      <c r="B134" s="6" t="str">
        <f>IF(SUM('Base de Datos Sumaria'!J131:Q131)&lt;&gt;0,'Base de Datos Sumaria'!D131," ")</f>
        <v xml:space="preserve"> </v>
      </c>
      <c r="C134" s="7" t="str">
        <f>IF(SUM('Base de Datos Sumaria'!J131:Q131)&lt;&gt;0,'Base de Datos Sumaria'!H131," ")</f>
        <v xml:space="preserve"> </v>
      </c>
      <c r="D134" s="8" t="str">
        <f>IF(SUM('Base de Datos Sumaria'!J131:Q131)&lt;&gt;0,'Base de Datos Maestro'!L131," ")</f>
        <v xml:space="preserve"> </v>
      </c>
      <c r="E134" s="9" t="str">
        <f>IF('Base de Datos Sumaria'!I131&lt;&gt;0,'Base de Datos Sumaria'!I131,"")</f>
        <v/>
      </c>
      <c r="F134" s="10" t="str">
        <f>IF(SUM('Base de Datos Sumaria'!J131:Q131)&lt;&gt;0,'Base de Datos Sumaria'!J131,"")</f>
        <v/>
      </c>
      <c r="G134" s="10" t="str">
        <f>IF(SUM('Base de Datos Sumaria'!J131:Q131)&lt;&gt;0,'Base de Datos Sumaria'!K131," ")</f>
        <v xml:space="preserve"> </v>
      </c>
      <c r="H134" s="10" t="str">
        <f>IF(SUM('Base de Datos Sumaria'!J131:Q131)&lt;&gt;0,'Base de Datos Sumaria'!L131," ")</f>
        <v xml:space="preserve"> </v>
      </c>
      <c r="I134" s="10" t="str">
        <f>IF(SUM('Base de Datos Sumaria'!J131:Q131)&lt;&gt;0,'Base de Datos Sumaria'!M131," ")</f>
        <v xml:space="preserve"> </v>
      </c>
      <c r="J134" s="10" t="str">
        <f>IF(SUM('Base de Datos Sumaria'!J131:Q131)&lt;&gt;0,'Base de Datos Sumaria'!N131," ")</f>
        <v xml:space="preserve"> </v>
      </c>
      <c r="K134" s="10" t="str">
        <f>IF(SUM('Base de Datos Sumaria'!J131:Q131)&lt;&gt;0,'Base de Datos Sumaria'!O131," ")</f>
        <v xml:space="preserve"> </v>
      </c>
      <c r="L134" s="10" t="str">
        <f>IF(SUM('Base de Datos Sumaria'!J131:Q131)&lt;&gt;0,'Base de Datos Sumaria'!P131," ")</f>
        <v xml:space="preserve"> </v>
      </c>
      <c r="M134" s="10" t="str">
        <f>IF(SUM('Base de Datos Sumaria'!J131:Q131)&lt;&gt;0,'Base de Datos Sumaria'!Q131," ")</f>
        <v xml:space="preserve"> </v>
      </c>
      <c r="N134" s="10" t="str">
        <f>IF(SUM('Base de Datos Sumaria'!J131:Q131)&lt;&gt;0,SUM(F134:M134)," ")</f>
        <v xml:space="preserve"> </v>
      </c>
    </row>
    <row r="135" spans="1:14" ht="12.95" customHeight="1" x14ac:dyDescent="0.2">
      <c r="A135" s="6" t="str">
        <f>IF(SUM('Base de Datos Sumaria'!J132:Q132)&lt;&gt;0,'Base de Datos Sumaria'!C132," ")</f>
        <v xml:space="preserve"> </v>
      </c>
      <c r="B135" s="6" t="str">
        <f>IF(SUM('Base de Datos Sumaria'!J132:Q132)&lt;&gt;0,'Base de Datos Sumaria'!D132," ")</f>
        <v xml:space="preserve"> </v>
      </c>
      <c r="C135" s="7" t="str">
        <f>IF(SUM('Base de Datos Sumaria'!J132:Q132)&lt;&gt;0,'Base de Datos Sumaria'!H132," ")</f>
        <v xml:space="preserve"> </v>
      </c>
      <c r="D135" s="8" t="str">
        <f>IF(SUM('Base de Datos Sumaria'!J132:Q132)&lt;&gt;0,'Base de Datos Maestro'!L132," ")</f>
        <v xml:space="preserve"> </v>
      </c>
      <c r="E135" s="9" t="str">
        <f>IF('Base de Datos Sumaria'!I132&lt;&gt;0,'Base de Datos Sumaria'!I132,"")</f>
        <v/>
      </c>
      <c r="F135" s="10" t="str">
        <f>IF(SUM('Base de Datos Sumaria'!J132:Q132)&lt;&gt;0,'Base de Datos Sumaria'!J132,"")</f>
        <v/>
      </c>
      <c r="G135" s="10" t="str">
        <f>IF(SUM('Base de Datos Sumaria'!J132:Q132)&lt;&gt;0,'Base de Datos Sumaria'!K132," ")</f>
        <v xml:space="preserve"> </v>
      </c>
      <c r="H135" s="10" t="str">
        <f>IF(SUM('Base de Datos Sumaria'!J132:Q132)&lt;&gt;0,'Base de Datos Sumaria'!L132," ")</f>
        <v xml:space="preserve"> </v>
      </c>
      <c r="I135" s="10" t="str">
        <f>IF(SUM('Base de Datos Sumaria'!J132:Q132)&lt;&gt;0,'Base de Datos Sumaria'!M132," ")</f>
        <v xml:space="preserve"> </v>
      </c>
      <c r="J135" s="10" t="str">
        <f>IF(SUM('Base de Datos Sumaria'!J132:Q132)&lt;&gt;0,'Base de Datos Sumaria'!N132," ")</f>
        <v xml:space="preserve"> </v>
      </c>
      <c r="K135" s="10" t="str">
        <f>IF(SUM('Base de Datos Sumaria'!J132:Q132)&lt;&gt;0,'Base de Datos Sumaria'!O132," ")</f>
        <v xml:space="preserve"> </v>
      </c>
      <c r="L135" s="10" t="str">
        <f>IF(SUM('Base de Datos Sumaria'!J132:Q132)&lt;&gt;0,'Base de Datos Sumaria'!P132," ")</f>
        <v xml:space="preserve"> </v>
      </c>
      <c r="M135" s="10" t="str">
        <f>IF(SUM('Base de Datos Sumaria'!J132:Q132)&lt;&gt;0,'Base de Datos Sumaria'!Q132," ")</f>
        <v xml:space="preserve"> </v>
      </c>
      <c r="N135" s="10" t="str">
        <f>IF(SUM('Base de Datos Sumaria'!J132:Q132)&lt;&gt;0,SUM(F135:M135)," ")</f>
        <v xml:space="preserve"> </v>
      </c>
    </row>
    <row r="136" spans="1:14" ht="12.95" customHeight="1" x14ac:dyDescent="0.2">
      <c r="A136" s="6" t="str">
        <f>IF(SUM('Base de Datos Sumaria'!J133:Q133)&lt;&gt;0,'Base de Datos Sumaria'!C133," ")</f>
        <v xml:space="preserve"> </v>
      </c>
      <c r="B136" s="6" t="str">
        <f>IF(SUM('Base de Datos Sumaria'!J133:Q133)&lt;&gt;0,'Base de Datos Sumaria'!D133," ")</f>
        <v xml:space="preserve"> </v>
      </c>
      <c r="C136" s="7" t="str">
        <f>IF(SUM('Base de Datos Sumaria'!J133:Q133)&lt;&gt;0,'Base de Datos Sumaria'!H133," ")</f>
        <v xml:space="preserve"> </v>
      </c>
      <c r="D136" s="8" t="str">
        <f>IF(SUM('Base de Datos Sumaria'!J133:Q133)&lt;&gt;0,'Base de Datos Maestro'!L133," ")</f>
        <v xml:space="preserve"> </v>
      </c>
      <c r="E136" s="9" t="str">
        <f>IF('Base de Datos Sumaria'!I133&lt;&gt;0,'Base de Datos Sumaria'!I133,"")</f>
        <v/>
      </c>
      <c r="F136" s="10" t="str">
        <f>IF(SUM('Base de Datos Sumaria'!J133:Q133)&lt;&gt;0,'Base de Datos Sumaria'!J133,"")</f>
        <v/>
      </c>
      <c r="G136" s="10" t="str">
        <f>IF(SUM('Base de Datos Sumaria'!J133:Q133)&lt;&gt;0,'Base de Datos Sumaria'!K133," ")</f>
        <v xml:space="preserve"> </v>
      </c>
      <c r="H136" s="10" t="str">
        <f>IF(SUM('Base de Datos Sumaria'!J133:Q133)&lt;&gt;0,'Base de Datos Sumaria'!L133," ")</f>
        <v xml:space="preserve"> </v>
      </c>
      <c r="I136" s="10" t="str">
        <f>IF(SUM('Base de Datos Sumaria'!J133:Q133)&lt;&gt;0,'Base de Datos Sumaria'!M133," ")</f>
        <v xml:space="preserve"> </v>
      </c>
      <c r="J136" s="10" t="str">
        <f>IF(SUM('Base de Datos Sumaria'!J133:Q133)&lt;&gt;0,'Base de Datos Sumaria'!N133," ")</f>
        <v xml:space="preserve"> </v>
      </c>
      <c r="K136" s="10" t="str">
        <f>IF(SUM('Base de Datos Sumaria'!J133:Q133)&lt;&gt;0,'Base de Datos Sumaria'!O133," ")</f>
        <v xml:space="preserve"> </v>
      </c>
      <c r="L136" s="10" t="str">
        <f>IF(SUM('Base de Datos Sumaria'!J133:Q133)&lt;&gt;0,'Base de Datos Sumaria'!P133," ")</f>
        <v xml:space="preserve"> </v>
      </c>
      <c r="M136" s="10" t="str">
        <f>IF(SUM('Base de Datos Sumaria'!J133:Q133)&lt;&gt;0,'Base de Datos Sumaria'!Q133," ")</f>
        <v xml:space="preserve"> </v>
      </c>
      <c r="N136" s="10" t="str">
        <f>IF(SUM('Base de Datos Sumaria'!J133:Q133)&lt;&gt;0,SUM(F136:M136)," ")</f>
        <v xml:space="preserve"> </v>
      </c>
    </row>
    <row r="137" spans="1:14" ht="12.95" customHeight="1" x14ac:dyDescent="0.2">
      <c r="A137" s="6" t="str">
        <f>IF(SUM('Base de Datos Sumaria'!J134:Q134)&lt;&gt;0,'Base de Datos Sumaria'!C134," ")</f>
        <v xml:space="preserve"> </v>
      </c>
      <c r="B137" s="6" t="str">
        <f>IF(SUM('Base de Datos Sumaria'!J134:Q134)&lt;&gt;0,'Base de Datos Sumaria'!D134," ")</f>
        <v xml:space="preserve"> </v>
      </c>
      <c r="C137" s="7" t="str">
        <f>IF(SUM('Base de Datos Sumaria'!J134:Q134)&lt;&gt;0,'Base de Datos Sumaria'!H134," ")</f>
        <v xml:space="preserve"> </v>
      </c>
      <c r="D137" s="8" t="str">
        <f>IF(SUM('Base de Datos Sumaria'!J134:Q134)&lt;&gt;0,'Base de Datos Maestro'!L134," ")</f>
        <v xml:space="preserve"> </v>
      </c>
      <c r="E137" s="9" t="str">
        <f>IF('Base de Datos Sumaria'!I134&lt;&gt;0,'Base de Datos Sumaria'!I134,"")</f>
        <v/>
      </c>
      <c r="F137" s="10" t="str">
        <f>IF(SUM('Base de Datos Sumaria'!J134:Q134)&lt;&gt;0,'Base de Datos Sumaria'!J134,"")</f>
        <v/>
      </c>
      <c r="G137" s="10" t="str">
        <f>IF(SUM('Base de Datos Sumaria'!J134:Q134)&lt;&gt;0,'Base de Datos Sumaria'!K134," ")</f>
        <v xml:space="preserve"> </v>
      </c>
      <c r="H137" s="10" t="str">
        <f>IF(SUM('Base de Datos Sumaria'!J134:Q134)&lt;&gt;0,'Base de Datos Sumaria'!L134," ")</f>
        <v xml:space="preserve"> </v>
      </c>
      <c r="I137" s="10" t="str">
        <f>IF(SUM('Base de Datos Sumaria'!J134:Q134)&lt;&gt;0,'Base de Datos Sumaria'!M134," ")</f>
        <v xml:space="preserve"> </v>
      </c>
      <c r="J137" s="10" t="str">
        <f>IF(SUM('Base de Datos Sumaria'!J134:Q134)&lt;&gt;0,'Base de Datos Sumaria'!N134," ")</f>
        <v xml:space="preserve"> </v>
      </c>
      <c r="K137" s="10" t="str">
        <f>IF(SUM('Base de Datos Sumaria'!J134:Q134)&lt;&gt;0,'Base de Datos Sumaria'!O134," ")</f>
        <v xml:space="preserve"> </v>
      </c>
      <c r="L137" s="10" t="str">
        <f>IF(SUM('Base de Datos Sumaria'!J134:Q134)&lt;&gt;0,'Base de Datos Sumaria'!P134," ")</f>
        <v xml:space="preserve"> </v>
      </c>
      <c r="M137" s="10" t="str">
        <f>IF(SUM('Base de Datos Sumaria'!J134:Q134)&lt;&gt;0,'Base de Datos Sumaria'!Q134," ")</f>
        <v xml:space="preserve"> </v>
      </c>
      <c r="N137" s="10" t="str">
        <f>IF(SUM('Base de Datos Sumaria'!J134:Q134)&lt;&gt;0,SUM(F137:M137)," ")</f>
        <v xml:space="preserve"> </v>
      </c>
    </row>
    <row r="138" spans="1:14" ht="12.95" customHeight="1" x14ac:dyDescent="0.2">
      <c r="A138" s="6" t="str">
        <f>IF(SUM('Base de Datos Sumaria'!J135:Q135)&lt;&gt;0,'Base de Datos Sumaria'!C135," ")</f>
        <v xml:space="preserve"> </v>
      </c>
      <c r="B138" s="6" t="str">
        <f>IF(SUM('Base de Datos Sumaria'!J135:Q135)&lt;&gt;0,'Base de Datos Sumaria'!D135," ")</f>
        <v xml:space="preserve"> </v>
      </c>
      <c r="C138" s="7" t="str">
        <f>IF(SUM('Base de Datos Sumaria'!J135:Q135)&lt;&gt;0,'Base de Datos Sumaria'!H135," ")</f>
        <v xml:space="preserve"> </v>
      </c>
      <c r="D138" s="8" t="str">
        <f>IF(SUM('Base de Datos Sumaria'!J135:Q135)&lt;&gt;0,'Base de Datos Maestro'!L135," ")</f>
        <v xml:space="preserve"> </v>
      </c>
      <c r="E138" s="9" t="str">
        <f>IF('Base de Datos Sumaria'!I135&lt;&gt;0,'Base de Datos Sumaria'!I135,"")</f>
        <v/>
      </c>
      <c r="F138" s="10" t="str">
        <f>IF(SUM('Base de Datos Sumaria'!J135:Q135)&lt;&gt;0,'Base de Datos Sumaria'!J135,"")</f>
        <v/>
      </c>
      <c r="G138" s="10" t="str">
        <f>IF(SUM('Base de Datos Sumaria'!J135:Q135)&lt;&gt;0,'Base de Datos Sumaria'!K135," ")</f>
        <v xml:space="preserve"> </v>
      </c>
      <c r="H138" s="10" t="str">
        <f>IF(SUM('Base de Datos Sumaria'!J135:Q135)&lt;&gt;0,'Base de Datos Sumaria'!L135," ")</f>
        <v xml:space="preserve"> </v>
      </c>
      <c r="I138" s="10" t="str">
        <f>IF(SUM('Base de Datos Sumaria'!J135:Q135)&lt;&gt;0,'Base de Datos Sumaria'!M135," ")</f>
        <v xml:space="preserve"> </v>
      </c>
      <c r="J138" s="10" t="str">
        <f>IF(SUM('Base de Datos Sumaria'!J135:Q135)&lt;&gt;0,'Base de Datos Sumaria'!N135," ")</f>
        <v xml:space="preserve"> </v>
      </c>
      <c r="K138" s="10" t="str">
        <f>IF(SUM('Base de Datos Sumaria'!J135:Q135)&lt;&gt;0,'Base de Datos Sumaria'!O135," ")</f>
        <v xml:space="preserve"> </v>
      </c>
      <c r="L138" s="10" t="str">
        <f>IF(SUM('Base de Datos Sumaria'!J135:Q135)&lt;&gt;0,'Base de Datos Sumaria'!P135," ")</f>
        <v xml:space="preserve"> </v>
      </c>
      <c r="M138" s="10" t="str">
        <f>IF(SUM('Base de Datos Sumaria'!J135:Q135)&lt;&gt;0,'Base de Datos Sumaria'!Q135," ")</f>
        <v xml:space="preserve"> </v>
      </c>
      <c r="N138" s="10" t="str">
        <f>IF(SUM('Base de Datos Sumaria'!J135:Q135)&lt;&gt;0,SUM(F138:M138)," ")</f>
        <v xml:space="preserve"> </v>
      </c>
    </row>
    <row r="139" spans="1:14" ht="12.95" customHeight="1" x14ac:dyDescent="0.2">
      <c r="A139" s="6" t="str">
        <f>IF(SUM('Base de Datos Sumaria'!J136:Q136)&lt;&gt;0,'Base de Datos Sumaria'!C136," ")</f>
        <v xml:space="preserve"> </v>
      </c>
      <c r="B139" s="6" t="str">
        <f>IF(SUM('Base de Datos Sumaria'!J136:Q136)&lt;&gt;0,'Base de Datos Sumaria'!D136," ")</f>
        <v xml:space="preserve"> </v>
      </c>
      <c r="C139" s="7" t="str">
        <f>IF(SUM('Base de Datos Sumaria'!J136:Q136)&lt;&gt;0,'Base de Datos Sumaria'!H136," ")</f>
        <v xml:space="preserve"> </v>
      </c>
      <c r="D139" s="8" t="str">
        <f>IF(SUM('Base de Datos Sumaria'!J136:Q136)&lt;&gt;0,'Base de Datos Maestro'!L136," ")</f>
        <v xml:space="preserve"> </v>
      </c>
      <c r="E139" s="9" t="str">
        <f>IF('Base de Datos Sumaria'!I136&lt;&gt;0,'Base de Datos Sumaria'!I136,"")</f>
        <v/>
      </c>
      <c r="F139" s="10" t="str">
        <f>IF(SUM('Base de Datos Sumaria'!J136:Q136)&lt;&gt;0,'Base de Datos Sumaria'!J136,"")</f>
        <v/>
      </c>
      <c r="G139" s="10" t="str">
        <f>IF(SUM('Base de Datos Sumaria'!J136:Q136)&lt;&gt;0,'Base de Datos Sumaria'!K136," ")</f>
        <v xml:space="preserve"> </v>
      </c>
      <c r="H139" s="10" t="str">
        <f>IF(SUM('Base de Datos Sumaria'!J136:Q136)&lt;&gt;0,'Base de Datos Sumaria'!L136," ")</f>
        <v xml:space="preserve"> </v>
      </c>
      <c r="I139" s="10" t="str">
        <f>IF(SUM('Base de Datos Sumaria'!J136:Q136)&lt;&gt;0,'Base de Datos Sumaria'!M136," ")</f>
        <v xml:space="preserve"> </v>
      </c>
      <c r="J139" s="10" t="str">
        <f>IF(SUM('Base de Datos Sumaria'!J136:Q136)&lt;&gt;0,'Base de Datos Sumaria'!N136," ")</f>
        <v xml:space="preserve"> </v>
      </c>
      <c r="K139" s="10" t="str">
        <f>IF(SUM('Base de Datos Sumaria'!J136:Q136)&lt;&gt;0,'Base de Datos Sumaria'!O136," ")</f>
        <v xml:space="preserve"> </v>
      </c>
      <c r="L139" s="10" t="str">
        <f>IF(SUM('Base de Datos Sumaria'!J136:Q136)&lt;&gt;0,'Base de Datos Sumaria'!P136," ")</f>
        <v xml:space="preserve"> </v>
      </c>
      <c r="M139" s="10" t="str">
        <f>IF(SUM('Base de Datos Sumaria'!J136:Q136)&lt;&gt;0,'Base de Datos Sumaria'!Q136," ")</f>
        <v xml:space="preserve"> </v>
      </c>
      <c r="N139" s="10" t="str">
        <f>IF(SUM('Base de Datos Sumaria'!J136:Q136)&lt;&gt;0,SUM(F139:M139)," ")</f>
        <v xml:space="preserve"> </v>
      </c>
    </row>
    <row r="140" spans="1:14" ht="12.95" customHeight="1" x14ac:dyDescent="0.2">
      <c r="A140" s="6" t="str">
        <f>IF(SUM('Base de Datos Sumaria'!J137:Q137)&lt;&gt;0,'Base de Datos Sumaria'!C137," ")</f>
        <v xml:space="preserve"> </v>
      </c>
      <c r="B140" s="6" t="str">
        <f>IF(SUM('Base de Datos Sumaria'!J137:Q137)&lt;&gt;0,'Base de Datos Sumaria'!D137," ")</f>
        <v xml:space="preserve"> </v>
      </c>
      <c r="C140" s="7" t="str">
        <f>IF(SUM('Base de Datos Sumaria'!J137:Q137)&lt;&gt;0,'Base de Datos Sumaria'!H137," ")</f>
        <v xml:space="preserve"> </v>
      </c>
      <c r="D140" s="8" t="str">
        <f>IF(SUM('Base de Datos Sumaria'!J137:Q137)&lt;&gt;0,'Base de Datos Maestro'!L137," ")</f>
        <v xml:space="preserve"> </v>
      </c>
      <c r="E140" s="9" t="str">
        <f>IF('Base de Datos Sumaria'!I137&lt;&gt;0,'Base de Datos Sumaria'!I137,"")</f>
        <v/>
      </c>
      <c r="F140" s="10" t="str">
        <f>IF(SUM('Base de Datos Sumaria'!J137:Q137)&lt;&gt;0,'Base de Datos Sumaria'!J137,"")</f>
        <v/>
      </c>
      <c r="G140" s="10" t="str">
        <f>IF(SUM('Base de Datos Sumaria'!J137:Q137)&lt;&gt;0,'Base de Datos Sumaria'!K137," ")</f>
        <v xml:space="preserve"> </v>
      </c>
      <c r="H140" s="10" t="str">
        <f>IF(SUM('Base de Datos Sumaria'!J137:Q137)&lt;&gt;0,'Base de Datos Sumaria'!L137," ")</f>
        <v xml:space="preserve"> </v>
      </c>
      <c r="I140" s="10" t="str">
        <f>IF(SUM('Base de Datos Sumaria'!J137:Q137)&lt;&gt;0,'Base de Datos Sumaria'!M137," ")</f>
        <v xml:space="preserve"> </v>
      </c>
      <c r="J140" s="10" t="str">
        <f>IF(SUM('Base de Datos Sumaria'!J137:Q137)&lt;&gt;0,'Base de Datos Sumaria'!N137," ")</f>
        <v xml:space="preserve"> </v>
      </c>
      <c r="K140" s="10" t="str">
        <f>IF(SUM('Base de Datos Sumaria'!J137:Q137)&lt;&gt;0,'Base de Datos Sumaria'!O137," ")</f>
        <v xml:space="preserve"> </v>
      </c>
      <c r="L140" s="10" t="str">
        <f>IF(SUM('Base de Datos Sumaria'!J137:Q137)&lt;&gt;0,'Base de Datos Sumaria'!P137," ")</f>
        <v xml:space="preserve"> </v>
      </c>
      <c r="M140" s="10" t="str">
        <f>IF(SUM('Base de Datos Sumaria'!J137:Q137)&lt;&gt;0,'Base de Datos Sumaria'!Q137," ")</f>
        <v xml:space="preserve"> </v>
      </c>
      <c r="N140" s="10" t="str">
        <f>IF(SUM('Base de Datos Sumaria'!J137:Q137)&lt;&gt;0,SUM(F140:M140)," ")</f>
        <v xml:space="preserve"> </v>
      </c>
    </row>
    <row r="141" spans="1:14" ht="12.95" customHeight="1" x14ac:dyDescent="0.2">
      <c r="A141" s="6" t="str">
        <f>IF(SUM('Base de Datos Sumaria'!J138:Q138)&lt;&gt;0,'Base de Datos Sumaria'!C138," ")</f>
        <v xml:space="preserve"> </v>
      </c>
      <c r="B141" s="6" t="str">
        <f>IF(SUM('Base de Datos Sumaria'!J138:Q138)&lt;&gt;0,'Base de Datos Sumaria'!D138," ")</f>
        <v xml:space="preserve"> </v>
      </c>
      <c r="C141" s="7" t="str">
        <f>IF(SUM('Base de Datos Sumaria'!J138:Q138)&lt;&gt;0,'Base de Datos Sumaria'!H138," ")</f>
        <v xml:space="preserve"> </v>
      </c>
      <c r="D141" s="8" t="str">
        <f>IF(SUM('Base de Datos Sumaria'!J138:Q138)&lt;&gt;0,'Base de Datos Maestro'!L138," ")</f>
        <v xml:space="preserve"> </v>
      </c>
      <c r="E141" s="9" t="str">
        <f>IF('Base de Datos Sumaria'!I138&lt;&gt;0,'Base de Datos Sumaria'!I138,"")</f>
        <v/>
      </c>
      <c r="F141" s="10" t="str">
        <f>IF(SUM('Base de Datos Sumaria'!J138:Q138)&lt;&gt;0,'Base de Datos Sumaria'!J138,"")</f>
        <v/>
      </c>
      <c r="G141" s="10" t="str">
        <f>IF(SUM('Base de Datos Sumaria'!J138:Q138)&lt;&gt;0,'Base de Datos Sumaria'!K138," ")</f>
        <v xml:space="preserve"> </v>
      </c>
      <c r="H141" s="10" t="str">
        <f>IF(SUM('Base de Datos Sumaria'!J138:Q138)&lt;&gt;0,'Base de Datos Sumaria'!L138," ")</f>
        <v xml:space="preserve"> </v>
      </c>
      <c r="I141" s="10" t="str">
        <f>IF(SUM('Base de Datos Sumaria'!J138:Q138)&lt;&gt;0,'Base de Datos Sumaria'!M138," ")</f>
        <v xml:space="preserve"> </v>
      </c>
      <c r="J141" s="10" t="str">
        <f>IF(SUM('Base de Datos Sumaria'!J138:Q138)&lt;&gt;0,'Base de Datos Sumaria'!N138," ")</f>
        <v xml:space="preserve"> </v>
      </c>
      <c r="K141" s="10" t="str">
        <f>IF(SUM('Base de Datos Sumaria'!J138:Q138)&lt;&gt;0,'Base de Datos Sumaria'!O138," ")</f>
        <v xml:space="preserve"> </v>
      </c>
      <c r="L141" s="10" t="str">
        <f>IF(SUM('Base de Datos Sumaria'!J138:Q138)&lt;&gt;0,'Base de Datos Sumaria'!P138," ")</f>
        <v xml:space="preserve"> </v>
      </c>
      <c r="M141" s="10" t="str">
        <f>IF(SUM('Base de Datos Sumaria'!J138:Q138)&lt;&gt;0,'Base de Datos Sumaria'!Q138," ")</f>
        <v xml:space="preserve"> </v>
      </c>
      <c r="N141" s="10" t="str">
        <f>IF(SUM('Base de Datos Sumaria'!J138:Q138)&lt;&gt;0,SUM(F141:M141)," ")</f>
        <v xml:space="preserve"> </v>
      </c>
    </row>
    <row r="142" spans="1:14" ht="12.95" customHeight="1" x14ac:dyDescent="0.2">
      <c r="A142" s="6" t="str">
        <f>IF(SUM('Base de Datos Sumaria'!J139:Q139)&lt;&gt;0,'Base de Datos Sumaria'!C139," ")</f>
        <v xml:space="preserve"> </v>
      </c>
      <c r="B142" s="6" t="str">
        <f>IF(SUM('Base de Datos Sumaria'!J139:Q139)&lt;&gt;0,'Base de Datos Sumaria'!D139," ")</f>
        <v xml:space="preserve"> </v>
      </c>
      <c r="C142" s="7" t="str">
        <f>IF(SUM('Base de Datos Sumaria'!J139:Q139)&lt;&gt;0,'Base de Datos Sumaria'!H139," ")</f>
        <v xml:space="preserve"> </v>
      </c>
      <c r="D142" s="8" t="str">
        <f>IF(SUM('Base de Datos Sumaria'!J139:Q139)&lt;&gt;0,'Base de Datos Maestro'!L139," ")</f>
        <v xml:space="preserve"> </v>
      </c>
      <c r="E142" s="9" t="str">
        <f>IF('Base de Datos Sumaria'!I139&lt;&gt;0,'Base de Datos Sumaria'!I139,"")</f>
        <v/>
      </c>
      <c r="F142" s="10" t="str">
        <f>IF(SUM('Base de Datos Sumaria'!J139:Q139)&lt;&gt;0,'Base de Datos Sumaria'!J139,"")</f>
        <v/>
      </c>
      <c r="G142" s="10" t="str">
        <f>IF(SUM('Base de Datos Sumaria'!J139:Q139)&lt;&gt;0,'Base de Datos Sumaria'!K139," ")</f>
        <v xml:space="preserve"> </v>
      </c>
      <c r="H142" s="10" t="str">
        <f>IF(SUM('Base de Datos Sumaria'!J139:Q139)&lt;&gt;0,'Base de Datos Sumaria'!L139," ")</f>
        <v xml:space="preserve"> </v>
      </c>
      <c r="I142" s="10" t="str">
        <f>IF(SUM('Base de Datos Sumaria'!J139:Q139)&lt;&gt;0,'Base de Datos Sumaria'!M139," ")</f>
        <v xml:space="preserve"> </v>
      </c>
      <c r="J142" s="10" t="str">
        <f>IF(SUM('Base de Datos Sumaria'!J139:Q139)&lt;&gt;0,'Base de Datos Sumaria'!N139," ")</f>
        <v xml:space="preserve"> </v>
      </c>
      <c r="K142" s="10" t="str">
        <f>IF(SUM('Base de Datos Sumaria'!J139:Q139)&lt;&gt;0,'Base de Datos Sumaria'!O139," ")</f>
        <v xml:space="preserve"> </v>
      </c>
      <c r="L142" s="10" t="str">
        <f>IF(SUM('Base de Datos Sumaria'!J139:Q139)&lt;&gt;0,'Base de Datos Sumaria'!P139," ")</f>
        <v xml:space="preserve"> </v>
      </c>
      <c r="M142" s="10" t="str">
        <f>IF(SUM('Base de Datos Sumaria'!J139:Q139)&lt;&gt;0,'Base de Datos Sumaria'!Q139," ")</f>
        <v xml:space="preserve"> </v>
      </c>
      <c r="N142" s="10" t="str">
        <f>IF(SUM('Base de Datos Sumaria'!J139:Q139)&lt;&gt;0,SUM(F142:M142)," ")</f>
        <v xml:space="preserve"> </v>
      </c>
    </row>
    <row r="143" spans="1:14" ht="12.95" customHeight="1" x14ac:dyDescent="0.2">
      <c r="A143" s="6" t="str">
        <f>IF(SUM('Base de Datos Sumaria'!J140:Q140)&lt;&gt;0,'Base de Datos Sumaria'!C140," ")</f>
        <v xml:space="preserve"> </v>
      </c>
      <c r="B143" s="6" t="str">
        <f>IF(SUM('Base de Datos Sumaria'!J140:Q140)&lt;&gt;0,'Base de Datos Sumaria'!D140," ")</f>
        <v xml:space="preserve"> </v>
      </c>
      <c r="C143" s="7" t="str">
        <f>IF(SUM('Base de Datos Sumaria'!J140:Q140)&lt;&gt;0,'Base de Datos Sumaria'!H140," ")</f>
        <v xml:space="preserve"> </v>
      </c>
      <c r="D143" s="8" t="str">
        <f>IF(SUM('Base de Datos Sumaria'!J140:Q140)&lt;&gt;0,'Base de Datos Maestro'!L140," ")</f>
        <v xml:space="preserve"> </v>
      </c>
      <c r="E143" s="9" t="str">
        <f>IF('Base de Datos Sumaria'!I140&lt;&gt;0,'Base de Datos Sumaria'!I140,"")</f>
        <v/>
      </c>
      <c r="F143" s="10" t="str">
        <f>IF(SUM('Base de Datos Sumaria'!J140:Q140)&lt;&gt;0,'Base de Datos Sumaria'!J140,"")</f>
        <v/>
      </c>
      <c r="G143" s="10" t="str">
        <f>IF(SUM('Base de Datos Sumaria'!J140:Q140)&lt;&gt;0,'Base de Datos Sumaria'!K140," ")</f>
        <v xml:space="preserve"> </v>
      </c>
      <c r="H143" s="10" t="str">
        <f>IF(SUM('Base de Datos Sumaria'!J140:Q140)&lt;&gt;0,'Base de Datos Sumaria'!L140," ")</f>
        <v xml:space="preserve"> </v>
      </c>
      <c r="I143" s="10" t="str">
        <f>IF(SUM('Base de Datos Sumaria'!J140:Q140)&lt;&gt;0,'Base de Datos Sumaria'!M140," ")</f>
        <v xml:space="preserve"> </v>
      </c>
      <c r="J143" s="10" t="str">
        <f>IF(SUM('Base de Datos Sumaria'!J140:Q140)&lt;&gt;0,'Base de Datos Sumaria'!N140," ")</f>
        <v xml:space="preserve"> </v>
      </c>
      <c r="K143" s="10" t="str">
        <f>IF(SUM('Base de Datos Sumaria'!J140:Q140)&lt;&gt;0,'Base de Datos Sumaria'!O140," ")</f>
        <v xml:space="preserve"> </v>
      </c>
      <c r="L143" s="10" t="str">
        <f>IF(SUM('Base de Datos Sumaria'!J140:Q140)&lt;&gt;0,'Base de Datos Sumaria'!P140," ")</f>
        <v xml:space="preserve"> </v>
      </c>
      <c r="M143" s="10" t="str">
        <f>IF(SUM('Base de Datos Sumaria'!J140:Q140)&lt;&gt;0,'Base de Datos Sumaria'!Q140," ")</f>
        <v xml:space="preserve"> </v>
      </c>
      <c r="N143" s="10" t="str">
        <f>IF(SUM('Base de Datos Sumaria'!J140:Q140)&lt;&gt;0,SUM(F143:M143)," ")</f>
        <v xml:space="preserve"> </v>
      </c>
    </row>
    <row r="144" spans="1:14" ht="12.95" customHeight="1" x14ac:dyDescent="0.2">
      <c r="A144" s="6" t="str">
        <f>IF(SUM('Base de Datos Sumaria'!J141:Q141)&lt;&gt;0,'Base de Datos Sumaria'!C141," ")</f>
        <v xml:space="preserve"> </v>
      </c>
      <c r="B144" s="6" t="str">
        <f>IF(SUM('Base de Datos Sumaria'!J141:Q141)&lt;&gt;0,'Base de Datos Sumaria'!D141," ")</f>
        <v xml:space="preserve"> </v>
      </c>
      <c r="C144" s="7" t="str">
        <f>IF(SUM('Base de Datos Sumaria'!J141:Q141)&lt;&gt;0,'Base de Datos Sumaria'!H141," ")</f>
        <v xml:space="preserve"> </v>
      </c>
      <c r="D144" s="8" t="str">
        <f>IF(SUM('Base de Datos Sumaria'!J141:Q141)&lt;&gt;0,'Base de Datos Maestro'!L141," ")</f>
        <v xml:space="preserve"> </v>
      </c>
      <c r="E144" s="9" t="str">
        <f>IF('Base de Datos Sumaria'!I141&lt;&gt;0,'Base de Datos Sumaria'!I141,"")</f>
        <v/>
      </c>
      <c r="F144" s="10" t="str">
        <f>IF(SUM('Base de Datos Sumaria'!J141:Q141)&lt;&gt;0,'Base de Datos Sumaria'!J141,"")</f>
        <v/>
      </c>
      <c r="G144" s="10" t="str">
        <f>IF(SUM('Base de Datos Sumaria'!J141:Q141)&lt;&gt;0,'Base de Datos Sumaria'!K141," ")</f>
        <v xml:space="preserve"> </v>
      </c>
      <c r="H144" s="10" t="str">
        <f>IF(SUM('Base de Datos Sumaria'!J141:Q141)&lt;&gt;0,'Base de Datos Sumaria'!L141," ")</f>
        <v xml:space="preserve"> </v>
      </c>
      <c r="I144" s="10" t="str">
        <f>IF(SUM('Base de Datos Sumaria'!J141:Q141)&lt;&gt;0,'Base de Datos Sumaria'!M141," ")</f>
        <v xml:space="preserve"> </v>
      </c>
      <c r="J144" s="10" t="str">
        <f>IF(SUM('Base de Datos Sumaria'!J141:Q141)&lt;&gt;0,'Base de Datos Sumaria'!N141," ")</f>
        <v xml:space="preserve"> </v>
      </c>
      <c r="K144" s="10" t="str">
        <f>IF(SUM('Base de Datos Sumaria'!J141:Q141)&lt;&gt;0,'Base de Datos Sumaria'!O141," ")</f>
        <v xml:space="preserve"> </v>
      </c>
      <c r="L144" s="10" t="str">
        <f>IF(SUM('Base de Datos Sumaria'!J141:Q141)&lt;&gt;0,'Base de Datos Sumaria'!P141," ")</f>
        <v xml:space="preserve"> </v>
      </c>
      <c r="M144" s="10" t="str">
        <f>IF(SUM('Base de Datos Sumaria'!J141:Q141)&lt;&gt;0,'Base de Datos Sumaria'!Q141," ")</f>
        <v xml:space="preserve"> </v>
      </c>
      <c r="N144" s="10" t="str">
        <f>IF(SUM('Base de Datos Sumaria'!J141:Q141)&lt;&gt;0,SUM(F144:M144)," ")</f>
        <v xml:space="preserve"> </v>
      </c>
    </row>
    <row r="145" spans="1:14" ht="12.95" customHeight="1" x14ac:dyDescent="0.2">
      <c r="A145" s="6" t="str">
        <f>IF(SUM('Base de Datos Sumaria'!J142:Q142)&lt;&gt;0,'Base de Datos Sumaria'!C142," ")</f>
        <v xml:space="preserve"> </v>
      </c>
      <c r="B145" s="6" t="str">
        <f>IF(SUM('Base de Datos Sumaria'!J142:Q142)&lt;&gt;0,'Base de Datos Sumaria'!D142," ")</f>
        <v xml:space="preserve"> </v>
      </c>
      <c r="C145" s="7" t="str">
        <f>IF(SUM('Base de Datos Sumaria'!J142:Q142)&lt;&gt;0,'Base de Datos Sumaria'!H142," ")</f>
        <v xml:space="preserve"> </v>
      </c>
      <c r="D145" s="8" t="str">
        <f>IF(SUM('Base de Datos Sumaria'!J142:Q142)&lt;&gt;0,'Base de Datos Maestro'!L142," ")</f>
        <v xml:space="preserve"> </v>
      </c>
      <c r="E145" s="9" t="str">
        <f>IF('Base de Datos Sumaria'!I142&lt;&gt;0,'Base de Datos Sumaria'!I142,"")</f>
        <v/>
      </c>
      <c r="F145" s="10" t="str">
        <f>IF(SUM('Base de Datos Sumaria'!J142:Q142)&lt;&gt;0,'Base de Datos Sumaria'!J142,"")</f>
        <v/>
      </c>
      <c r="G145" s="10" t="str">
        <f>IF(SUM('Base de Datos Sumaria'!J142:Q142)&lt;&gt;0,'Base de Datos Sumaria'!K142," ")</f>
        <v xml:space="preserve"> </v>
      </c>
      <c r="H145" s="10" t="str">
        <f>IF(SUM('Base de Datos Sumaria'!J142:Q142)&lt;&gt;0,'Base de Datos Sumaria'!L142," ")</f>
        <v xml:space="preserve"> </v>
      </c>
      <c r="I145" s="10" t="str">
        <f>IF(SUM('Base de Datos Sumaria'!J142:Q142)&lt;&gt;0,'Base de Datos Sumaria'!M142," ")</f>
        <v xml:space="preserve"> </v>
      </c>
      <c r="J145" s="10" t="str">
        <f>IF(SUM('Base de Datos Sumaria'!J142:Q142)&lt;&gt;0,'Base de Datos Sumaria'!N142," ")</f>
        <v xml:space="preserve"> </v>
      </c>
      <c r="K145" s="10" t="str">
        <f>IF(SUM('Base de Datos Sumaria'!J142:Q142)&lt;&gt;0,'Base de Datos Sumaria'!O142," ")</f>
        <v xml:space="preserve"> </v>
      </c>
      <c r="L145" s="10" t="str">
        <f>IF(SUM('Base de Datos Sumaria'!J142:Q142)&lt;&gt;0,'Base de Datos Sumaria'!P142," ")</f>
        <v xml:space="preserve"> </v>
      </c>
      <c r="M145" s="10" t="str">
        <f>IF(SUM('Base de Datos Sumaria'!J142:Q142)&lt;&gt;0,'Base de Datos Sumaria'!Q142," ")</f>
        <v xml:space="preserve"> </v>
      </c>
      <c r="N145" s="10" t="str">
        <f>IF(SUM('Base de Datos Sumaria'!J142:Q142)&lt;&gt;0,SUM(F145:M145)," ")</f>
        <v xml:space="preserve"> </v>
      </c>
    </row>
    <row r="146" spans="1:14" ht="12.95" customHeight="1" x14ac:dyDescent="0.2">
      <c r="A146" s="6" t="str">
        <f>IF(SUM('Base de Datos Sumaria'!J143:Q143)&lt;&gt;0,'Base de Datos Sumaria'!C143," ")</f>
        <v xml:space="preserve"> </v>
      </c>
      <c r="B146" s="6" t="str">
        <f>IF(SUM('Base de Datos Sumaria'!J143:Q143)&lt;&gt;0,'Base de Datos Sumaria'!D143," ")</f>
        <v xml:space="preserve"> </v>
      </c>
      <c r="C146" s="7" t="str">
        <f>IF(SUM('Base de Datos Sumaria'!J143:Q143)&lt;&gt;0,'Base de Datos Sumaria'!H143," ")</f>
        <v xml:space="preserve"> </v>
      </c>
      <c r="D146" s="8" t="str">
        <f>IF(SUM('Base de Datos Sumaria'!J143:Q143)&lt;&gt;0,'Base de Datos Maestro'!L143," ")</f>
        <v xml:space="preserve"> </v>
      </c>
      <c r="E146" s="9" t="str">
        <f>IF('Base de Datos Sumaria'!I143&lt;&gt;0,'Base de Datos Sumaria'!I143,"")</f>
        <v/>
      </c>
      <c r="F146" s="10" t="str">
        <f>IF(SUM('Base de Datos Sumaria'!J143:Q143)&lt;&gt;0,'Base de Datos Sumaria'!J143,"")</f>
        <v/>
      </c>
      <c r="G146" s="10" t="str">
        <f>IF(SUM('Base de Datos Sumaria'!J143:Q143)&lt;&gt;0,'Base de Datos Sumaria'!K143," ")</f>
        <v xml:space="preserve"> </v>
      </c>
      <c r="H146" s="10" t="str">
        <f>IF(SUM('Base de Datos Sumaria'!J143:Q143)&lt;&gt;0,'Base de Datos Sumaria'!L143," ")</f>
        <v xml:space="preserve"> </v>
      </c>
      <c r="I146" s="10" t="str">
        <f>IF(SUM('Base de Datos Sumaria'!J143:Q143)&lt;&gt;0,'Base de Datos Sumaria'!M143," ")</f>
        <v xml:space="preserve"> </v>
      </c>
      <c r="J146" s="10" t="str">
        <f>IF(SUM('Base de Datos Sumaria'!J143:Q143)&lt;&gt;0,'Base de Datos Sumaria'!N143," ")</f>
        <v xml:space="preserve"> </v>
      </c>
      <c r="K146" s="10" t="str">
        <f>IF(SUM('Base de Datos Sumaria'!J143:Q143)&lt;&gt;0,'Base de Datos Sumaria'!O143," ")</f>
        <v xml:space="preserve"> </v>
      </c>
      <c r="L146" s="10" t="str">
        <f>IF(SUM('Base de Datos Sumaria'!J143:Q143)&lt;&gt;0,'Base de Datos Sumaria'!P143," ")</f>
        <v xml:space="preserve"> </v>
      </c>
      <c r="M146" s="10" t="str">
        <f>IF(SUM('Base de Datos Sumaria'!J143:Q143)&lt;&gt;0,'Base de Datos Sumaria'!Q143," ")</f>
        <v xml:space="preserve"> </v>
      </c>
      <c r="N146" s="10" t="str">
        <f>IF(SUM('Base de Datos Sumaria'!J143:Q143)&lt;&gt;0,SUM(F146:M146)," ")</f>
        <v xml:space="preserve"> </v>
      </c>
    </row>
    <row r="147" spans="1:14" ht="12.95" customHeight="1" x14ac:dyDescent="0.2">
      <c r="A147" s="6" t="str">
        <f>IF(SUM('Base de Datos Sumaria'!J144:Q144)&lt;&gt;0,'Base de Datos Sumaria'!C144," ")</f>
        <v xml:space="preserve"> </v>
      </c>
      <c r="B147" s="6" t="str">
        <f>IF(SUM('Base de Datos Sumaria'!J144:Q144)&lt;&gt;0,'Base de Datos Sumaria'!D144," ")</f>
        <v xml:space="preserve"> </v>
      </c>
      <c r="C147" s="7" t="str">
        <f>IF(SUM('Base de Datos Sumaria'!J144:Q144)&lt;&gt;0,'Base de Datos Sumaria'!H144," ")</f>
        <v xml:space="preserve"> </v>
      </c>
      <c r="D147" s="8" t="str">
        <f>IF(SUM('Base de Datos Sumaria'!J144:Q144)&lt;&gt;0,'Base de Datos Maestro'!L144," ")</f>
        <v xml:space="preserve"> </v>
      </c>
      <c r="E147" s="9" t="str">
        <f>IF('Base de Datos Sumaria'!I144&lt;&gt;0,'Base de Datos Sumaria'!I144,"")</f>
        <v/>
      </c>
      <c r="F147" s="10" t="str">
        <f>IF(SUM('Base de Datos Sumaria'!J144:Q144)&lt;&gt;0,'Base de Datos Sumaria'!J144,"")</f>
        <v/>
      </c>
      <c r="G147" s="10" t="str">
        <f>IF(SUM('Base de Datos Sumaria'!J144:Q144)&lt;&gt;0,'Base de Datos Sumaria'!K144," ")</f>
        <v xml:space="preserve"> </v>
      </c>
      <c r="H147" s="10" t="str">
        <f>IF(SUM('Base de Datos Sumaria'!J144:Q144)&lt;&gt;0,'Base de Datos Sumaria'!L144," ")</f>
        <v xml:space="preserve"> </v>
      </c>
      <c r="I147" s="10" t="str">
        <f>IF(SUM('Base de Datos Sumaria'!J144:Q144)&lt;&gt;0,'Base de Datos Sumaria'!M144," ")</f>
        <v xml:space="preserve"> </v>
      </c>
      <c r="J147" s="10" t="str">
        <f>IF(SUM('Base de Datos Sumaria'!J144:Q144)&lt;&gt;0,'Base de Datos Sumaria'!N144," ")</f>
        <v xml:space="preserve"> </v>
      </c>
      <c r="K147" s="10" t="str">
        <f>IF(SUM('Base de Datos Sumaria'!J144:Q144)&lt;&gt;0,'Base de Datos Sumaria'!O144," ")</f>
        <v xml:space="preserve"> </v>
      </c>
      <c r="L147" s="10" t="str">
        <f>IF(SUM('Base de Datos Sumaria'!J144:Q144)&lt;&gt;0,'Base de Datos Sumaria'!P144," ")</f>
        <v xml:space="preserve"> </v>
      </c>
      <c r="M147" s="10" t="str">
        <f>IF(SUM('Base de Datos Sumaria'!J144:Q144)&lt;&gt;0,'Base de Datos Sumaria'!Q144," ")</f>
        <v xml:space="preserve"> </v>
      </c>
      <c r="N147" s="10" t="str">
        <f>IF(SUM('Base de Datos Sumaria'!J144:Q144)&lt;&gt;0,SUM(F147:M147)," ")</f>
        <v xml:space="preserve"> </v>
      </c>
    </row>
    <row r="148" spans="1:14" ht="12.95" customHeight="1" x14ac:dyDescent="0.2">
      <c r="A148" s="6" t="str">
        <f>IF(SUM('Base de Datos Sumaria'!J145:Q145)&lt;&gt;0,'Base de Datos Sumaria'!C145," ")</f>
        <v xml:space="preserve"> </v>
      </c>
      <c r="B148" s="6" t="str">
        <f>IF(SUM('Base de Datos Sumaria'!J145:Q145)&lt;&gt;0,'Base de Datos Sumaria'!D145," ")</f>
        <v xml:space="preserve"> </v>
      </c>
      <c r="C148" s="7" t="str">
        <f>IF(SUM('Base de Datos Sumaria'!J145:Q145)&lt;&gt;0,'Base de Datos Sumaria'!H145," ")</f>
        <v xml:space="preserve"> </v>
      </c>
      <c r="D148" s="8" t="str">
        <f>IF(SUM('Base de Datos Sumaria'!J145:Q145)&lt;&gt;0,'Base de Datos Maestro'!L145," ")</f>
        <v xml:space="preserve"> </v>
      </c>
      <c r="E148" s="9" t="str">
        <f>IF('Base de Datos Sumaria'!I145&lt;&gt;0,'Base de Datos Sumaria'!I145,"")</f>
        <v/>
      </c>
      <c r="F148" s="10" t="str">
        <f>IF(SUM('Base de Datos Sumaria'!J145:Q145)&lt;&gt;0,'Base de Datos Sumaria'!J145,"")</f>
        <v/>
      </c>
      <c r="G148" s="10" t="str">
        <f>IF(SUM('Base de Datos Sumaria'!J145:Q145)&lt;&gt;0,'Base de Datos Sumaria'!K145," ")</f>
        <v xml:space="preserve"> </v>
      </c>
      <c r="H148" s="10" t="str">
        <f>IF(SUM('Base de Datos Sumaria'!J145:Q145)&lt;&gt;0,'Base de Datos Sumaria'!L145," ")</f>
        <v xml:space="preserve"> </v>
      </c>
      <c r="I148" s="10" t="str">
        <f>IF(SUM('Base de Datos Sumaria'!J145:Q145)&lt;&gt;0,'Base de Datos Sumaria'!M145," ")</f>
        <v xml:space="preserve"> </v>
      </c>
      <c r="J148" s="10" t="str">
        <f>IF(SUM('Base de Datos Sumaria'!J145:Q145)&lt;&gt;0,'Base de Datos Sumaria'!N145," ")</f>
        <v xml:space="preserve"> </v>
      </c>
      <c r="K148" s="10" t="str">
        <f>IF(SUM('Base de Datos Sumaria'!J145:Q145)&lt;&gt;0,'Base de Datos Sumaria'!O145," ")</f>
        <v xml:space="preserve"> </v>
      </c>
      <c r="L148" s="10" t="str">
        <f>IF(SUM('Base de Datos Sumaria'!J145:Q145)&lt;&gt;0,'Base de Datos Sumaria'!P145," ")</f>
        <v xml:space="preserve"> </v>
      </c>
      <c r="M148" s="10" t="str">
        <f>IF(SUM('Base de Datos Sumaria'!J145:Q145)&lt;&gt;0,'Base de Datos Sumaria'!Q145," ")</f>
        <v xml:space="preserve"> </v>
      </c>
      <c r="N148" s="10" t="str">
        <f>IF(SUM('Base de Datos Sumaria'!J145:Q145)&lt;&gt;0,SUM(F148:M148)," ")</f>
        <v xml:space="preserve"> </v>
      </c>
    </row>
    <row r="149" spans="1:14" ht="12.95" customHeight="1" x14ac:dyDescent="0.2">
      <c r="A149" s="6" t="str">
        <f>IF(SUM('Base de Datos Sumaria'!J146:Q146)&lt;&gt;0,'Base de Datos Sumaria'!C146," ")</f>
        <v xml:space="preserve"> </v>
      </c>
      <c r="B149" s="6" t="str">
        <f>IF(SUM('Base de Datos Sumaria'!J146:Q146)&lt;&gt;0,'Base de Datos Sumaria'!D146," ")</f>
        <v xml:space="preserve"> </v>
      </c>
      <c r="C149" s="7" t="str">
        <f>IF(SUM('Base de Datos Sumaria'!J146:Q146)&lt;&gt;0,'Base de Datos Sumaria'!H146," ")</f>
        <v xml:space="preserve"> </v>
      </c>
      <c r="D149" s="8" t="str">
        <f>IF(SUM('Base de Datos Sumaria'!J146:Q146)&lt;&gt;0,'Base de Datos Maestro'!L146," ")</f>
        <v xml:space="preserve"> </v>
      </c>
      <c r="E149" s="9" t="str">
        <f>IF('Base de Datos Sumaria'!I146&lt;&gt;0,'Base de Datos Sumaria'!I146,"")</f>
        <v/>
      </c>
      <c r="F149" s="10" t="str">
        <f>IF(SUM('Base de Datos Sumaria'!J146:Q146)&lt;&gt;0,'Base de Datos Sumaria'!J146,"")</f>
        <v/>
      </c>
      <c r="G149" s="10" t="str">
        <f>IF(SUM('Base de Datos Sumaria'!J146:Q146)&lt;&gt;0,'Base de Datos Sumaria'!K146," ")</f>
        <v xml:space="preserve"> </v>
      </c>
      <c r="H149" s="10" t="str">
        <f>IF(SUM('Base de Datos Sumaria'!J146:Q146)&lt;&gt;0,'Base de Datos Sumaria'!L146," ")</f>
        <v xml:space="preserve"> </v>
      </c>
      <c r="I149" s="10" t="str">
        <f>IF(SUM('Base de Datos Sumaria'!J146:Q146)&lt;&gt;0,'Base de Datos Sumaria'!M146," ")</f>
        <v xml:space="preserve"> </v>
      </c>
      <c r="J149" s="10" t="str">
        <f>IF(SUM('Base de Datos Sumaria'!J146:Q146)&lt;&gt;0,'Base de Datos Sumaria'!N146," ")</f>
        <v xml:space="preserve"> </v>
      </c>
      <c r="K149" s="10" t="str">
        <f>IF(SUM('Base de Datos Sumaria'!J146:Q146)&lt;&gt;0,'Base de Datos Sumaria'!O146," ")</f>
        <v xml:space="preserve"> </v>
      </c>
      <c r="L149" s="10" t="str">
        <f>IF(SUM('Base de Datos Sumaria'!J146:Q146)&lt;&gt;0,'Base de Datos Sumaria'!P146," ")</f>
        <v xml:space="preserve"> </v>
      </c>
      <c r="M149" s="10" t="str">
        <f>IF(SUM('Base de Datos Sumaria'!J146:Q146)&lt;&gt;0,'Base de Datos Sumaria'!Q146," ")</f>
        <v xml:space="preserve"> </v>
      </c>
      <c r="N149" s="10" t="str">
        <f>IF(SUM('Base de Datos Sumaria'!J146:Q146)&lt;&gt;0,SUM(F149:M149)," ")</f>
        <v xml:space="preserve"> </v>
      </c>
    </row>
    <row r="150" spans="1:14" s="12" customFormat="1" ht="12.95" customHeight="1" x14ac:dyDescent="0.2">
      <c r="A150" s="6" t="str">
        <f>IF(SUM('Base de Datos Sumaria'!J147:Q147)&lt;&gt;0,'Base de Datos Sumaria'!C147," ")</f>
        <v xml:space="preserve"> </v>
      </c>
      <c r="B150" s="6" t="str">
        <f>IF(SUM('Base de Datos Sumaria'!J147:Q147)&lt;&gt;0,'Base de Datos Sumaria'!D147," ")</f>
        <v xml:space="preserve"> </v>
      </c>
      <c r="C150" s="7" t="str">
        <f>IF(SUM('Base de Datos Sumaria'!J147:Q147)&lt;&gt;0,'Base de Datos Sumaria'!H147," ")</f>
        <v xml:space="preserve"> </v>
      </c>
      <c r="D150" s="8" t="str">
        <f>IF(SUM('Base de Datos Sumaria'!J147:Q147)&lt;&gt;0,'Base de Datos Maestro'!L147," ")</f>
        <v xml:space="preserve"> </v>
      </c>
      <c r="E150" s="9" t="str">
        <f>IF('Base de Datos Sumaria'!I147&lt;&gt;0,'Base de Datos Sumaria'!I147,"")</f>
        <v/>
      </c>
      <c r="F150" s="10" t="str">
        <f>IF(SUM('Base de Datos Sumaria'!J147:Q147)&lt;&gt;0,'Base de Datos Sumaria'!J147,"")</f>
        <v/>
      </c>
      <c r="G150" s="10" t="str">
        <f>IF(SUM('Base de Datos Sumaria'!J147:Q147)&lt;&gt;0,'Base de Datos Sumaria'!K147," ")</f>
        <v xml:space="preserve"> </v>
      </c>
      <c r="H150" s="10" t="str">
        <f>IF(SUM('Base de Datos Sumaria'!J147:Q147)&lt;&gt;0,'Base de Datos Sumaria'!L147," ")</f>
        <v xml:space="preserve"> </v>
      </c>
      <c r="I150" s="10" t="str">
        <f>IF(SUM('Base de Datos Sumaria'!J147:Q147)&lt;&gt;0,'Base de Datos Sumaria'!M147," ")</f>
        <v xml:space="preserve"> </v>
      </c>
      <c r="J150" s="10" t="str">
        <f>IF(SUM('Base de Datos Sumaria'!J147:Q147)&lt;&gt;0,'Base de Datos Sumaria'!N147," ")</f>
        <v xml:space="preserve"> </v>
      </c>
      <c r="K150" s="10" t="str">
        <f>IF(SUM('Base de Datos Sumaria'!J147:Q147)&lt;&gt;0,'Base de Datos Sumaria'!O147," ")</f>
        <v xml:space="preserve"> </v>
      </c>
      <c r="L150" s="10" t="str">
        <f>IF(SUM('Base de Datos Sumaria'!J147:Q147)&lt;&gt;0,'Base de Datos Sumaria'!P147," ")</f>
        <v xml:space="preserve"> </v>
      </c>
      <c r="M150" s="10" t="str">
        <f>IF(SUM('Base de Datos Sumaria'!J147:Q147)&lt;&gt;0,'Base de Datos Sumaria'!Q147," ")</f>
        <v xml:space="preserve"> </v>
      </c>
      <c r="N150" s="10" t="str">
        <f>IF(SUM('Base de Datos Sumaria'!J147:Q147)&lt;&gt;0,SUM(F150:M150)," ")</f>
        <v xml:space="preserve"> </v>
      </c>
    </row>
    <row r="151" spans="1:14" s="12" customFormat="1" ht="12.95" customHeight="1" x14ac:dyDescent="0.2">
      <c r="A151" s="6" t="str">
        <f>IF(SUM('Base de Datos Sumaria'!J148:Q148)&lt;&gt;0,'Base de Datos Sumaria'!C148," ")</f>
        <v xml:space="preserve"> </v>
      </c>
      <c r="B151" s="6" t="str">
        <f>IF(SUM('Base de Datos Sumaria'!J148:Q148)&lt;&gt;0,'Base de Datos Sumaria'!D148," ")</f>
        <v xml:space="preserve"> </v>
      </c>
      <c r="C151" s="7" t="str">
        <f>IF(SUM('Base de Datos Sumaria'!J148:Q148)&lt;&gt;0,'Base de Datos Sumaria'!H148," ")</f>
        <v xml:space="preserve"> </v>
      </c>
      <c r="D151" s="8" t="str">
        <f>IF(SUM('Base de Datos Sumaria'!J148:Q148)&lt;&gt;0,'Base de Datos Maestro'!L148," ")</f>
        <v xml:space="preserve"> </v>
      </c>
      <c r="E151" s="9" t="str">
        <f>IF('Base de Datos Sumaria'!I148&lt;&gt;0,'Base de Datos Sumaria'!I148,"")</f>
        <v/>
      </c>
      <c r="F151" s="10" t="str">
        <f>IF(SUM('Base de Datos Sumaria'!J148:Q148)&lt;&gt;0,'Base de Datos Sumaria'!J148,"")</f>
        <v/>
      </c>
      <c r="G151" s="10" t="str">
        <f>IF(SUM('Base de Datos Sumaria'!J148:Q148)&lt;&gt;0,'Base de Datos Sumaria'!K148," ")</f>
        <v xml:space="preserve"> </v>
      </c>
      <c r="H151" s="10" t="str">
        <f>IF(SUM('Base de Datos Sumaria'!J148:Q148)&lt;&gt;0,'Base de Datos Sumaria'!L148," ")</f>
        <v xml:space="preserve"> </v>
      </c>
      <c r="I151" s="10" t="str">
        <f>IF(SUM('Base de Datos Sumaria'!J148:Q148)&lt;&gt;0,'Base de Datos Sumaria'!M148," ")</f>
        <v xml:space="preserve"> </v>
      </c>
      <c r="J151" s="10" t="str">
        <f>IF(SUM('Base de Datos Sumaria'!J148:Q148)&lt;&gt;0,'Base de Datos Sumaria'!N148," ")</f>
        <v xml:space="preserve"> </v>
      </c>
      <c r="K151" s="10" t="str">
        <f>IF(SUM('Base de Datos Sumaria'!J148:Q148)&lt;&gt;0,'Base de Datos Sumaria'!O148," ")</f>
        <v xml:space="preserve"> </v>
      </c>
      <c r="L151" s="10" t="str">
        <f>IF(SUM('Base de Datos Sumaria'!J148:Q148)&lt;&gt;0,'Base de Datos Sumaria'!P148," ")</f>
        <v xml:space="preserve"> </v>
      </c>
      <c r="M151" s="10" t="str">
        <f>IF(SUM('Base de Datos Sumaria'!J148:Q148)&lt;&gt;0,'Base de Datos Sumaria'!Q148," ")</f>
        <v xml:space="preserve"> </v>
      </c>
      <c r="N151" s="10" t="str">
        <f>IF(SUM('Base de Datos Sumaria'!J148:Q148)&lt;&gt;0,SUM(F151:M151)," ")</f>
        <v xml:space="preserve"> </v>
      </c>
    </row>
    <row r="152" spans="1:14" s="12" customFormat="1" ht="12.95" customHeight="1" x14ac:dyDescent="0.2">
      <c r="A152" s="6" t="str">
        <f>IF(SUM('Base de Datos Sumaria'!J149:Q149)&lt;&gt;0,'Base de Datos Sumaria'!C149," ")</f>
        <v xml:space="preserve"> </v>
      </c>
      <c r="B152" s="6" t="str">
        <f>IF(SUM('Base de Datos Sumaria'!J149:Q149)&lt;&gt;0,'Base de Datos Sumaria'!D149," ")</f>
        <v xml:space="preserve"> </v>
      </c>
      <c r="C152" s="7" t="str">
        <f>IF(SUM('Base de Datos Sumaria'!J149:Q149)&lt;&gt;0,'Base de Datos Sumaria'!H149," ")</f>
        <v xml:space="preserve"> </v>
      </c>
      <c r="D152" s="8" t="str">
        <f>IF(SUM('Base de Datos Sumaria'!J149:Q149)&lt;&gt;0,'Base de Datos Maestro'!L149," ")</f>
        <v xml:space="preserve"> </v>
      </c>
      <c r="E152" s="9" t="str">
        <f>IF('Base de Datos Sumaria'!I149&lt;&gt;0,'Base de Datos Sumaria'!I149,"")</f>
        <v/>
      </c>
      <c r="F152" s="10" t="str">
        <f>IF(SUM('Base de Datos Sumaria'!J149:Q149)&lt;&gt;0,'Base de Datos Sumaria'!J149,"")</f>
        <v/>
      </c>
      <c r="G152" s="10" t="str">
        <f>IF(SUM('Base de Datos Sumaria'!J149:Q149)&lt;&gt;0,'Base de Datos Sumaria'!K149," ")</f>
        <v xml:space="preserve"> </v>
      </c>
      <c r="H152" s="10" t="str">
        <f>IF(SUM('Base de Datos Sumaria'!J149:Q149)&lt;&gt;0,'Base de Datos Sumaria'!L149," ")</f>
        <v xml:space="preserve"> </v>
      </c>
      <c r="I152" s="10" t="str">
        <f>IF(SUM('Base de Datos Sumaria'!J149:Q149)&lt;&gt;0,'Base de Datos Sumaria'!M149," ")</f>
        <v xml:space="preserve"> </v>
      </c>
      <c r="J152" s="10" t="str">
        <f>IF(SUM('Base de Datos Sumaria'!J149:Q149)&lt;&gt;0,'Base de Datos Sumaria'!N149," ")</f>
        <v xml:space="preserve"> </v>
      </c>
      <c r="K152" s="10" t="str">
        <f>IF(SUM('Base de Datos Sumaria'!J149:Q149)&lt;&gt;0,'Base de Datos Sumaria'!O149," ")</f>
        <v xml:space="preserve"> </v>
      </c>
      <c r="L152" s="10" t="str">
        <f>IF(SUM('Base de Datos Sumaria'!J149:Q149)&lt;&gt;0,'Base de Datos Sumaria'!P149," ")</f>
        <v xml:space="preserve"> </v>
      </c>
      <c r="M152" s="10" t="str">
        <f>IF(SUM('Base de Datos Sumaria'!J149:Q149)&lt;&gt;0,'Base de Datos Sumaria'!Q149," ")</f>
        <v xml:space="preserve"> </v>
      </c>
      <c r="N152" s="10" t="str">
        <f>IF(SUM('Base de Datos Sumaria'!J149:Q149)&lt;&gt;0,SUM(F152:M152)," ")</f>
        <v xml:space="preserve"> </v>
      </c>
    </row>
    <row r="153" spans="1:14" s="12" customFormat="1" ht="12.95" customHeight="1" x14ac:dyDescent="0.2">
      <c r="A153" s="6" t="str">
        <f>IF(SUM('Base de Datos Sumaria'!J150:Q150)&lt;&gt;0,'Base de Datos Sumaria'!C150," ")</f>
        <v xml:space="preserve"> </v>
      </c>
      <c r="B153" s="6" t="str">
        <f>IF(SUM('Base de Datos Sumaria'!J150:Q150)&lt;&gt;0,'Base de Datos Sumaria'!D150," ")</f>
        <v xml:space="preserve"> </v>
      </c>
      <c r="C153" s="7" t="str">
        <f>IF(SUM('Base de Datos Sumaria'!J150:Q150)&lt;&gt;0,'Base de Datos Sumaria'!H150," ")</f>
        <v xml:space="preserve"> </v>
      </c>
      <c r="D153" s="8" t="str">
        <f>IF(SUM('Base de Datos Sumaria'!J150:Q150)&lt;&gt;0,'Base de Datos Maestro'!L150," ")</f>
        <v xml:space="preserve"> </v>
      </c>
      <c r="E153" s="9" t="str">
        <f>IF('Base de Datos Sumaria'!I150&lt;&gt;0,'Base de Datos Sumaria'!I150,"")</f>
        <v/>
      </c>
      <c r="F153" s="10" t="str">
        <f>IF(SUM('Base de Datos Sumaria'!J150:Q150)&lt;&gt;0,'Base de Datos Sumaria'!J150,"")</f>
        <v/>
      </c>
      <c r="G153" s="10" t="str">
        <f>IF(SUM('Base de Datos Sumaria'!J150:Q150)&lt;&gt;0,'Base de Datos Sumaria'!K150," ")</f>
        <v xml:space="preserve"> </v>
      </c>
      <c r="H153" s="10" t="str">
        <f>IF(SUM('Base de Datos Sumaria'!J150:Q150)&lt;&gt;0,'Base de Datos Sumaria'!L150," ")</f>
        <v xml:space="preserve"> </v>
      </c>
      <c r="I153" s="10" t="str">
        <f>IF(SUM('Base de Datos Sumaria'!J150:Q150)&lt;&gt;0,'Base de Datos Sumaria'!M150," ")</f>
        <v xml:space="preserve"> </v>
      </c>
      <c r="J153" s="10" t="str">
        <f>IF(SUM('Base de Datos Sumaria'!J150:Q150)&lt;&gt;0,'Base de Datos Sumaria'!N150," ")</f>
        <v xml:space="preserve"> </v>
      </c>
      <c r="K153" s="10" t="str">
        <f>IF(SUM('Base de Datos Sumaria'!J150:Q150)&lt;&gt;0,'Base de Datos Sumaria'!O150," ")</f>
        <v xml:space="preserve"> </v>
      </c>
      <c r="L153" s="10" t="str">
        <f>IF(SUM('Base de Datos Sumaria'!J150:Q150)&lt;&gt;0,'Base de Datos Sumaria'!P150," ")</f>
        <v xml:space="preserve"> </v>
      </c>
      <c r="M153" s="10" t="str">
        <f>IF(SUM('Base de Datos Sumaria'!J150:Q150)&lt;&gt;0,'Base de Datos Sumaria'!Q150," ")</f>
        <v xml:space="preserve"> </v>
      </c>
      <c r="N153" s="10" t="str">
        <f>IF(SUM('Base de Datos Sumaria'!J150:Q150)&lt;&gt;0,SUM(F153:M153)," ")</f>
        <v xml:space="preserve"> </v>
      </c>
    </row>
    <row r="154" spans="1:14" s="12" customFormat="1" ht="12.95" customHeight="1" x14ac:dyDescent="0.2">
      <c r="A154" s="6" t="str">
        <f>IF(SUM('Base de Datos Sumaria'!J151:Q151)&lt;&gt;0,'Base de Datos Sumaria'!C151," ")</f>
        <v xml:space="preserve"> </v>
      </c>
      <c r="B154" s="6" t="str">
        <f>IF(SUM('Base de Datos Sumaria'!J151:Q151)&lt;&gt;0,'Base de Datos Sumaria'!D151," ")</f>
        <v xml:space="preserve"> </v>
      </c>
      <c r="C154" s="7" t="str">
        <f>IF(SUM('Base de Datos Sumaria'!J151:Q151)&lt;&gt;0,'Base de Datos Sumaria'!H151," ")</f>
        <v xml:space="preserve"> </v>
      </c>
      <c r="D154" s="8" t="str">
        <f>IF(SUM('Base de Datos Sumaria'!J151:Q151)&lt;&gt;0,'Base de Datos Maestro'!L151," ")</f>
        <v xml:space="preserve"> </v>
      </c>
      <c r="E154" s="9" t="str">
        <f>IF('Base de Datos Sumaria'!I151&lt;&gt;0,'Base de Datos Sumaria'!I151,"")</f>
        <v/>
      </c>
      <c r="F154" s="10" t="str">
        <f>IF(SUM('Base de Datos Sumaria'!J151:Q151)&lt;&gt;0,'Base de Datos Sumaria'!J151,"")</f>
        <v/>
      </c>
      <c r="G154" s="10" t="str">
        <f>IF(SUM('Base de Datos Sumaria'!J151:Q151)&lt;&gt;0,'Base de Datos Sumaria'!K151," ")</f>
        <v xml:space="preserve"> </v>
      </c>
      <c r="H154" s="10" t="str">
        <f>IF(SUM('Base de Datos Sumaria'!J151:Q151)&lt;&gt;0,'Base de Datos Sumaria'!L151," ")</f>
        <v xml:space="preserve"> </v>
      </c>
      <c r="I154" s="10" t="str">
        <f>IF(SUM('Base de Datos Sumaria'!J151:Q151)&lt;&gt;0,'Base de Datos Sumaria'!M151," ")</f>
        <v xml:space="preserve"> </v>
      </c>
      <c r="J154" s="10" t="str">
        <f>IF(SUM('Base de Datos Sumaria'!J151:Q151)&lt;&gt;0,'Base de Datos Sumaria'!N151," ")</f>
        <v xml:space="preserve"> </v>
      </c>
      <c r="K154" s="10" t="str">
        <f>IF(SUM('Base de Datos Sumaria'!J151:Q151)&lt;&gt;0,'Base de Datos Sumaria'!O151," ")</f>
        <v xml:space="preserve"> </v>
      </c>
      <c r="L154" s="10" t="str">
        <f>IF(SUM('Base de Datos Sumaria'!J151:Q151)&lt;&gt;0,'Base de Datos Sumaria'!P151," ")</f>
        <v xml:space="preserve"> </v>
      </c>
      <c r="M154" s="10" t="str">
        <f>IF(SUM('Base de Datos Sumaria'!J151:Q151)&lt;&gt;0,'Base de Datos Sumaria'!Q151," ")</f>
        <v xml:space="preserve"> </v>
      </c>
      <c r="N154" s="10" t="str">
        <f>IF(SUM('Base de Datos Sumaria'!J151:Q151)&lt;&gt;0,SUM(F154:M154)," ")</f>
        <v xml:space="preserve"> </v>
      </c>
    </row>
    <row r="155" spans="1:14" s="12" customFormat="1" ht="12.95" customHeight="1" x14ac:dyDescent="0.2">
      <c r="A155" s="6" t="str">
        <f>IF(SUM('Base de Datos Sumaria'!J152:Q152)&lt;&gt;0,'Base de Datos Sumaria'!C152," ")</f>
        <v xml:space="preserve"> </v>
      </c>
      <c r="B155" s="6" t="str">
        <f>IF(SUM('Base de Datos Sumaria'!J152:Q152)&lt;&gt;0,'Base de Datos Sumaria'!D152," ")</f>
        <v xml:space="preserve"> </v>
      </c>
      <c r="C155" s="7" t="str">
        <f>IF(SUM('Base de Datos Sumaria'!J152:Q152)&lt;&gt;0,'Base de Datos Sumaria'!H152," ")</f>
        <v xml:space="preserve"> </v>
      </c>
      <c r="D155" s="8" t="str">
        <f>IF(SUM('Base de Datos Sumaria'!J152:Q152)&lt;&gt;0,'Base de Datos Maestro'!L152," ")</f>
        <v xml:space="preserve"> </v>
      </c>
      <c r="E155" s="9" t="str">
        <f>IF('Base de Datos Sumaria'!I152&lt;&gt;0,'Base de Datos Sumaria'!I152,"")</f>
        <v/>
      </c>
      <c r="F155" s="10" t="str">
        <f>IF(SUM('Base de Datos Sumaria'!J152:Q152)&lt;&gt;0,'Base de Datos Sumaria'!J152,"")</f>
        <v/>
      </c>
      <c r="G155" s="10" t="str">
        <f>IF(SUM('Base de Datos Sumaria'!J152:Q152)&lt;&gt;0,'Base de Datos Sumaria'!K152," ")</f>
        <v xml:space="preserve"> </v>
      </c>
      <c r="H155" s="10" t="str">
        <f>IF(SUM('Base de Datos Sumaria'!J152:Q152)&lt;&gt;0,'Base de Datos Sumaria'!L152," ")</f>
        <v xml:space="preserve"> </v>
      </c>
      <c r="I155" s="10" t="str">
        <f>IF(SUM('Base de Datos Sumaria'!J152:Q152)&lt;&gt;0,'Base de Datos Sumaria'!M152," ")</f>
        <v xml:space="preserve"> </v>
      </c>
      <c r="J155" s="10" t="str">
        <f>IF(SUM('Base de Datos Sumaria'!J152:Q152)&lt;&gt;0,'Base de Datos Sumaria'!N152," ")</f>
        <v xml:space="preserve"> </v>
      </c>
      <c r="K155" s="10" t="str">
        <f>IF(SUM('Base de Datos Sumaria'!J152:Q152)&lt;&gt;0,'Base de Datos Sumaria'!O152," ")</f>
        <v xml:space="preserve"> </v>
      </c>
      <c r="L155" s="10" t="str">
        <f>IF(SUM('Base de Datos Sumaria'!J152:Q152)&lt;&gt;0,'Base de Datos Sumaria'!P152," ")</f>
        <v xml:space="preserve"> </v>
      </c>
      <c r="M155" s="10" t="str">
        <f>IF(SUM('Base de Datos Sumaria'!J152:Q152)&lt;&gt;0,'Base de Datos Sumaria'!Q152," ")</f>
        <v xml:space="preserve"> </v>
      </c>
      <c r="N155" s="10" t="str">
        <f>IF(SUM('Base de Datos Sumaria'!J152:Q152)&lt;&gt;0,SUM(F155:M155)," ")</f>
        <v xml:space="preserve"> </v>
      </c>
    </row>
    <row r="156" spans="1:14" s="12" customFormat="1" ht="12.95" customHeight="1" x14ac:dyDescent="0.2">
      <c r="A156" s="6" t="str">
        <f>IF(SUM('Base de Datos Sumaria'!J153:Q153)&lt;&gt;0,'Base de Datos Sumaria'!C153," ")</f>
        <v xml:space="preserve"> </v>
      </c>
      <c r="B156" s="6" t="str">
        <f>IF(SUM('Base de Datos Sumaria'!J153:Q153)&lt;&gt;0,'Base de Datos Sumaria'!D153," ")</f>
        <v xml:space="preserve"> </v>
      </c>
      <c r="C156" s="7" t="str">
        <f>IF(SUM('Base de Datos Sumaria'!J153:Q153)&lt;&gt;0,'Base de Datos Sumaria'!H153," ")</f>
        <v xml:space="preserve"> </v>
      </c>
      <c r="D156" s="8" t="str">
        <f>IF(SUM('Base de Datos Sumaria'!J153:Q153)&lt;&gt;0,'Base de Datos Maestro'!L153," ")</f>
        <v xml:space="preserve"> </v>
      </c>
      <c r="E156" s="9" t="str">
        <f>IF('Base de Datos Sumaria'!I153&lt;&gt;0,'Base de Datos Sumaria'!I153,"")</f>
        <v/>
      </c>
      <c r="F156" s="10" t="str">
        <f>IF(SUM('Base de Datos Sumaria'!J153:Q153)&lt;&gt;0,'Base de Datos Sumaria'!J153,"")</f>
        <v/>
      </c>
      <c r="G156" s="10" t="str">
        <f>IF(SUM('Base de Datos Sumaria'!J153:Q153)&lt;&gt;0,'Base de Datos Sumaria'!K153," ")</f>
        <v xml:space="preserve"> </v>
      </c>
      <c r="H156" s="10" t="str">
        <f>IF(SUM('Base de Datos Sumaria'!J153:Q153)&lt;&gt;0,'Base de Datos Sumaria'!L153," ")</f>
        <v xml:space="preserve"> </v>
      </c>
      <c r="I156" s="10" t="str">
        <f>IF(SUM('Base de Datos Sumaria'!J153:Q153)&lt;&gt;0,'Base de Datos Sumaria'!M153," ")</f>
        <v xml:space="preserve"> </v>
      </c>
      <c r="J156" s="10" t="str">
        <f>IF(SUM('Base de Datos Sumaria'!J153:Q153)&lt;&gt;0,'Base de Datos Sumaria'!N153," ")</f>
        <v xml:space="preserve"> </v>
      </c>
      <c r="K156" s="10" t="str">
        <f>IF(SUM('Base de Datos Sumaria'!J153:Q153)&lt;&gt;0,'Base de Datos Sumaria'!O153," ")</f>
        <v xml:space="preserve"> </v>
      </c>
      <c r="L156" s="10" t="str">
        <f>IF(SUM('Base de Datos Sumaria'!J153:Q153)&lt;&gt;0,'Base de Datos Sumaria'!P153," ")</f>
        <v xml:space="preserve"> </v>
      </c>
      <c r="M156" s="10" t="str">
        <f>IF(SUM('Base de Datos Sumaria'!J153:Q153)&lt;&gt;0,'Base de Datos Sumaria'!Q153," ")</f>
        <v xml:space="preserve"> </v>
      </c>
      <c r="N156" s="10" t="str">
        <f>IF(SUM('Base de Datos Sumaria'!J153:Q153)&lt;&gt;0,SUM(F156:M156)," ")</f>
        <v xml:space="preserve"> </v>
      </c>
    </row>
    <row r="157" spans="1:14" s="12" customFormat="1" ht="12.95" customHeight="1" x14ac:dyDescent="0.2">
      <c r="A157" s="6" t="str">
        <f>IF(SUM('Base de Datos Sumaria'!J154:Q154)&lt;&gt;0,'Base de Datos Sumaria'!C154," ")</f>
        <v xml:space="preserve"> </v>
      </c>
      <c r="B157" s="6" t="str">
        <f>IF(SUM('Base de Datos Sumaria'!J154:Q154)&lt;&gt;0,'Base de Datos Sumaria'!D154," ")</f>
        <v xml:space="preserve"> </v>
      </c>
      <c r="C157" s="7" t="str">
        <f>IF(SUM('Base de Datos Sumaria'!J154:Q154)&lt;&gt;0,'Base de Datos Sumaria'!H154," ")</f>
        <v xml:space="preserve"> </v>
      </c>
      <c r="D157" s="8" t="str">
        <f>IF(SUM('Base de Datos Sumaria'!J154:Q154)&lt;&gt;0,'Base de Datos Maestro'!L154," ")</f>
        <v xml:space="preserve"> </v>
      </c>
      <c r="E157" s="9" t="str">
        <f>IF('Base de Datos Sumaria'!I154&lt;&gt;0,'Base de Datos Sumaria'!I154,"")</f>
        <v/>
      </c>
      <c r="F157" s="10" t="str">
        <f>IF(SUM('Base de Datos Sumaria'!J154:Q154)&lt;&gt;0,'Base de Datos Sumaria'!J154,"")</f>
        <v/>
      </c>
      <c r="G157" s="10" t="str">
        <f>IF(SUM('Base de Datos Sumaria'!J154:Q154)&lt;&gt;0,'Base de Datos Sumaria'!K154," ")</f>
        <v xml:space="preserve"> </v>
      </c>
      <c r="H157" s="10" t="str">
        <f>IF(SUM('Base de Datos Sumaria'!J154:Q154)&lt;&gt;0,'Base de Datos Sumaria'!L154," ")</f>
        <v xml:space="preserve"> </v>
      </c>
      <c r="I157" s="10" t="str">
        <f>IF(SUM('Base de Datos Sumaria'!J154:Q154)&lt;&gt;0,'Base de Datos Sumaria'!M154," ")</f>
        <v xml:space="preserve"> </v>
      </c>
      <c r="J157" s="10" t="str">
        <f>IF(SUM('Base de Datos Sumaria'!J154:Q154)&lt;&gt;0,'Base de Datos Sumaria'!N154," ")</f>
        <v xml:space="preserve"> </v>
      </c>
      <c r="K157" s="10" t="str">
        <f>IF(SUM('Base de Datos Sumaria'!J154:Q154)&lt;&gt;0,'Base de Datos Sumaria'!O154," ")</f>
        <v xml:space="preserve"> </v>
      </c>
      <c r="L157" s="10" t="str">
        <f>IF(SUM('Base de Datos Sumaria'!J154:Q154)&lt;&gt;0,'Base de Datos Sumaria'!P154," ")</f>
        <v xml:space="preserve"> </v>
      </c>
      <c r="M157" s="10" t="str">
        <f>IF(SUM('Base de Datos Sumaria'!J154:Q154)&lt;&gt;0,'Base de Datos Sumaria'!Q154," ")</f>
        <v xml:space="preserve"> </v>
      </c>
      <c r="N157" s="10" t="str">
        <f>IF(SUM('Base de Datos Sumaria'!J154:Q154)&lt;&gt;0,SUM(F157:M157)," ")</f>
        <v xml:space="preserve"> </v>
      </c>
    </row>
    <row r="158" spans="1:14" s="12" customFormat="1" ht="12.95" customHeight="1" x14ac:dyDescent="0.2">
      <c r="A158" s="6" t="str">
        <f>IF(SUM('Base de Datos Sumaria'!J155:Q155)&lt;&gt;0,'Base de Datos Sumaria'!C155," ")</f>
        <v xml:space="preserve"> </v>
      </c>
      <c r="B158" s="6" t="str">
        <f>IF(SUM('Base de Datos Sumaria'!J155:Q155)&lt;&gt;0,'Base de Datos Sumaria'!D155," ")</f>
        <v xml:space="preserve"> </v>
      </c>
      <c r="C158" s="7" t="str">
        <f>IF(SUM('Base de Datos Sumaria'!J155:Q155)&lt;&gt;0,'Base de Datos Sumaria'!H155," ")</f>
        <v xml:space="preserve"> </v>
      </c>
      <c r="D158" s="8" t="str">
        <f>IF(SUM('Base de Datos Sumaria'!J155:Q155)&lt;&gt;0,'Base de Datos Maestro'!L155," ")</f>
        <v xml:space="preserve"> </v>
      </c>
      <c r="E158" s="9" t="str">
        <f>IF('Base de Datos Sumaria'!I155&lt;&gt;0,'Base de Datos Sumaria'!I155,"")</f>
        <v/>
      </c>
      <c r="F158" s="10" t="str">
        <f>IF(SUM('Base de Datos Sumaria'!J155:Q155)&lt;&gt;0,'Base de Datos Sumaria'!J155,"")</f>
        <v/>
      </c>
      <c r="G158" s="10" t="str">
        <f>IF(SUM('Base de Datos Sumaria'!J155:Q155)&lt;&gt;0,'Base de Datos Sumaria'!K155," ")</f>
        <v xml:space="preserve"> </v>
      </c>
      <c r="H158" s="10" t="str">
        <f>IF(SUM('Base de Datos Sumaria'!J155:Q155)&lt;&gt;0,'Base de Datos Sumaria'!L155," ")</f>
        <v xml:space="preserve"> </v>
      </c>
      <c r="I158" s="10" t="str">
        <f>IF(SUM('Base de Datos Sumaria'!J155:Q155)&lt;&gt;0,'Base de Datos Sumaria'!M155," ")</f>
        <v xml:space="preserve"> </v>
      </c>
      <c r="J158" s="10" t="str">
        <f>IF(SUM('Base de Datos Sumaria'!J155:Q155)&lt;&gt;0,'Base de Datos Sumaria'!N155," ")</f>
        <v xml:space="preserve"> </v>
      </c>
      <c r="K158" s="10" t="str">
        <f>IF(SUM('Base de Datos Sumaria'!J155:Q155)&lt;&gt;0,'Base de Datos Sumaria'!O155," ")</f>
        <v xml:space="preserve"> </v>
      </c>
      <c r="L158" s="10" t="str">
        <f>IF(SUM('Base de Datos Sumaria'!J155:Q155)&lt;&gt;0,'Base de Datos Sumaria'!P155," ")</f>
        <v xml:space="preserve"> </v>
      </c>
      <c r="M158" s="10" t="str">
        <f>IF(SUM('Base de Datos Sumaria'!J155:Q155)&lt;&gt;0,'Base de Datos Sumaria'!Q155," ")</f>
        <v xml:space="preserve"> </v>
      </c>
      <c r="N158" s="10" t="str">
        <f>IF(SUM('Base de Datos Sumaria'!J155:Q155)&lt;&gt;0,SUM(F158:M158)," ")</f>
        <v xml:space="preserve"> </v>
      </c>
    </row>
    <row r="159" spans="1:14" s="12" customFormat="1" ht="12.95" customHeight="1" x14ac:dyDescent="0.2">
      <c r="A159" s="6" t="str">
        <f>IF(SUM('Base de Datos Sumaria'!J156:Q156)&lt;&gt;0,'Base de Datos Sumaria'!C156," ")</f>
        <v xml:space="preserve"> </v>
      </c>
      <c r="B159" s="6" t="str">
        <f>IF(SUM('Base de Datos Sumaria'!J156:Q156)&lt;&gt;0,'Base de Datos Sumaria'!D156," ")</f>
        <v xml:space="preserve"> </v>
      </c>
      <c r="C159" s="7" t="str">
        <f>IF(SUM('Base de Datos Sumaria'!J156:Q156)&lt;&gt;0,'Base de Datos Sumaria'!H156," ")</f>
        <v xml:space="preserve"> </v>
      </c>
      <c r="D159" s="8" t="str">
        <f>IF(SUM('Base de Datos Sumaria'!J156:Q156)&lt;&gt;0,'Base de Datos Maestro'!L156," ")</f>
        <v xml:space="preserve"> </v>
      </c>
      <c r="E159" s="9" t="str">
        <f>IF('Base de Datos Sumaria'!I156&lt;&gt;0,'Base de Datos Sumaria'!I156,"")</f>
        <v/>
      </c>
      <c r="F159" s="10" t="str">
        <f>IF(SUM('Base de Datos Sumaria'!J156:Q156)&lt;&gt;0,'Base de Datos Sumaria'!J156,"")</f>
        <v/>
      </c>
      <c r="G159" s="10" t="str">
        <f>IF(SUM('Base de Datos Sumaria'!J156:Q156)&lt;&gt;0,'Base de Datos Sumaria'!K156," ")</f>
        <v xml:space="preserve"> </v>
      </c>
      <c r="H159" s="10" t="str">
        <f>IF(SUM('Base de Datos Sumaria'!J156:Q156)&lt;&gt;0,'Base de Datos Sumaria'!L156," ")</f>
        <v xml:space="preserve"> </v>
      </c>
      <c r="I159" s="10" t="str">
        <f>IF(SUM('Base de Datos Sumaria'!J156:Q156)&lt;&gt;0,'Base de Datos Sumaria'!M156," ")</f>
        <v xml:space="preserve"> </v>
      </c>
      <c r="J159" s="10" t="str">
        <f>IF(SUM('Base de Datos Sumaria'!J156:Q156)&lt;&gt;0,'Base de Datos Sumaria'!N156," ")</f>
        <v xml:space="preserve"> </v>
      </c>
      <c r="K159" s="10" t="str">
        <f>IF(SUM('Base de Datos Sumaria'!J156:Q156)&lt;&gt;0,'Base de Datos Sumaria'!O156," ")</f>
        <v xml:space="preserve"> </v>
      </c>
      <c r="L159" s="10" t="str">
        <f>IF(SUM('Base de Datos Sumaria'!J156:Q156)&lt;&gt;0,'Base de Datos Sumaria'!P156," ")</f>
        <v xml:space="preserve"> </v>
      </c>
      <c r="M159" s="10" t="str">
        <f>IF(SUM('Base de Datos Sumaria'!J156:Q156)&lt;&gt;0,'Base de Datos Sumaria'!Q156," ")</f>
        <v xml:space="preserve"> </v>
      </c>
      <c r="N159" s="10" t="str">
        <f>IF(SUM('Base de Datos Sumaria'!J156:Q156)&lt;&gt;0,SUM(F159:M159)," ")</f>
        <v xml:space="preserve"> </v>
      </c>
    </row>
    <row r="160" spans="1:14" s="12" customFormat="1" ht="12.95" customHeight="1" x14ac:dyDescent="0.2">
      <c r="A160" s="6" t="str">
        <f>IF(SUM('Base de Datos Sumaria'!J157:Q157)&lt;&gt;0,'Base de Datos Sumaria'!C157," ")</f>
        <v xml:space="preserve"> </v>
      </c>
      <c r="B160" s="6" t="str">
        <f>IF(SUM('Base de Datos Sumaria'!J157:Q157)&lt;&gt;0,'Base de Datos Sumaria'!D157," ")</f>
        <v xml:space="preserve"> </v>
      </c>
      <c r="C160" s="7" t="str">
        <f>IF(SUM('Base de Datos Sumaria'!J157:Q157)&lt;&gt;0,'Base de Datos Sumaria'!H157," ")</f>
        <v xml:space="preserve"> </v>
      </c>
      <c r="D160" s="8" t="str">
        <f>IF(SUM('Base de Datos Sumaria'!J157:Q157)&lt;&gt;0,'Base de Datos Maestro'!L157," ")</f>
        <v xml:space="preserve"> </v>
      </c>
      <c r="E160" s="9" t="str">
        <f>IF('Base de Datos Sumaria'!I157&lt;&gt;0,'Base de Datos Sumaria'!I157,"")</f>
        <v/>
      </c>
      <c r="F160" s="10" t="str">
        <f>IF(SUM('Base de Datos Sumaria'!J157:Q157)&lt;&gt;0,'Base de Datos Sumaria'!J157,"")</f>
        <v/>
      </c>
      <c r="G160" s="10" t="str">
        <f>IF(SUM('Base de Datos Sumaria'!J157:Q157)&lt;&gt;0,'Base de Datos Sumaria'!K157," ")</f>
        <v xml:space="preserve"> </v>
      </c>
      <c r="H160" s="10" t="str">
        <f>IF(SUM('Base de Datos Sumaria'!J157:Q157)&lt;&gt;0,'Base de Datos Sumaria'!L157," ")</f>
        <v xml:space="preserve"> </v>
      </c>
      <c r="I160" s="10" t="str">
        <f>IF(SUM('Base de Datos Sumaria'!J157:Q157)&lt;&gt;0,'Base de Datos Sumaria'!M157," ")</f>
        <v xml:space="preserve"> </v>
      </c>
      <c r="J160" s="10" t="str">
        <f>IF(SUM('Base de Datos Sumaria'!J157:Q157)&lt;&gt;0,'Base de Datos Sumaria'!N157," ")</f>
        <v xml:space="preserve"> </v>
      </c>
      <c r="K160" s="10" t="str">
        <f>IF(SUM('Base de Datos Sumaria'!J157:Q157)&lt;&gt;0,'Base de Datos Sumaria'!O157," ")</f>
        <v xml:space="preserve"> </v>
      </c>
      <c r="L160" s="10" t="str">
        <f>IF(SUM('Base de Datos Sumaria'!J157:Q157)&lt;&gt;0,'Base de Datos Sumaria'!P157," ")</f>
        <v xml:space="preserve"> </v>
      </c>
      <c r="M160" s="10" t="str">
        <f>IF(SUM('Base de Datos Sumaria'!J157:Q157)&lt;&gt;0,'Base de Datos Sumaria'!Q157," ")</f>
        <v xml:space="preserve"> </v>
      </c>
      <c r="N160" s="10" t="str">
        <f>IF(SUM('Base de Datos Sumaria'!J157:Q157)&lt;&gt;0,SUM(F160:M160)," ")</f>
        <v xml:space="preserve"> </v>
      </c>
    </row>
    <row r="161" spans="1:14" s="12" customFormat="1" ht="12.95" customHeight="1" x14ac:dyDescent="0.2">
      <c r="A161" s="6" t="str">
        <f>IF(SUM('Base de Datos Sumaria'!J158:Q158)&lt;&gt;0,'Base de Datos Sumaria'!C158," ")</f>
        <v xml:space="preserve"> </v>
      </c>
      <c r="B161" s="6" t="str">
        <f>IF(SUM('Base de Datos Sumaria'!J158:Q158)&lt;&gt;0,'Base de Datos Sumaria'!D158," ")</f>
        <v xml:space="preserve"> </v>
      </c>
      <c r="C161" s="7" t="str">
        <f>IF(SUM('Base de Datos Sumaria'!J158:Q158)&lt;&gt;0,'Base de Datos Sumaria'!H158," ")</f>
        <v xml:space="preserve"> </v>
      </c>
      <c r="D161" s="8" t="str">
        <f>IF(SUM('Base de Datos Sumaria'!J158:Q158)&lt;&gt;0,'Base de Datos Maestro'!L158," ")</f>
        <v xml:space="preserve"> </v>
      </c>
      <c r="E161" s="9" t="str">
        <f>IF('Base de Datos Sumaria'!I158&lt;&gt;0,'Base de Datos Sumaria'!I158,"")</f>
        <v/>
      </c>
      <c r="F161" s="10" t="str">
        <f>IF(SUM('Base de Datos Sumaria'!J158:Q158)&lt;&gt;0,'Base de Datos Sumaria'!J158,"")</f>
        <v/>
      </c>
      <c r="G161" s="10" t="str">
        <f>IF(SUM('Base de Datos Sumaria'!J158:Q158)&lt;&gt;0,'Base de Datos Sumaria'!K158," ")</f>
        <v xml:space="preserve"> </v>
      </c>
      <c r="H161" s="10" t="str">
        <f>IF(SUM('Base de Datos Sumaria'!J158:Q158)&lt;&gt;0,'Base de Datos Sumaria'!L158," ")</f>
        <v xml:space="preserve"> </v>
      </c>
      <c r="I161" s="10" t="str">
        <f>IF(SUM('Base de Datos Sumaria'!J158:Q158)&lt;&gt;0,'Base de Datos Sumaria'!M158," ")</f>
        <v xml:space="preserve"> </v>
      </c>
      <c r="J161" s="10" t="str">
        <f>IF(SUM('Base de Datos Sumaria'!J158:Q158)&lt;&gt;0,'Base de Datos Sumaria'!N158," ")</f>
        <v xml:space="preserve"> </v>
      </c>
      <c r="K161" s="10" t="str">
        <f>IF(SUM('Base de Datos Sumaria'!J158:Q158)&lt;&gt;0,'Base de Datos Sumaria'!O158," ")</f>
        <v xml:space="preserve"> </v>
      </c>
      <c r="L161" s="10" t="str">
        <f>IF(SUM('Base de Datos Sumaria'!J158:Q158)&lt;&gt;0,'Base de Datos Sumaria'!P158," ")</f>
        <v xml:space="preserve"> </v>
      </c>
      <c r="M161" s="10" t="str">
        <f>IF(SUM('Base de Datos Sumaria'!J158:Q158)&lt;&gt;0,'Base de Datos Sumaria'!Q158," ")</f>
        <v xml:space="preserve"> </v>
      </c>
      <c r="N161" s="10" t="str">
        <f>IF(SUM('Base de Datos Sumaria'!J158:Q158)&lt;&gt;0,SUM(F161:M161)," ")</f>
        <v xml:space="preserve"> </v>
      </c>
    </row>
    <row r="162" spans="1:14" s="12" customFormat="1" ht="12.95" customHeight="1" x14ac:dyDescent="0.2">
      <c r="A162" s="6" t="str">
        <f>IF(SUM('Base de Datos Sumaria'!J159:Q159)&lt;&gt;0,'Base de Datos Sumaria'!C159," ")</f>
        <v xml:space="preserve"> </v>
      </c>
      <c r="B162" s="6" t="str">
        <f>IF(SUM('Base de Datos Sumaria'!J159:Q159)&lt;&gt;0,'Base de Datos Sumaria'!D159," ")</f>
        <v xml:space="preserve"> </v>
      </c>
      <c r="C162" s="7" t="str">
        <f>IF(SUM('Base de Datos Sumaria'!J159:Q159)&lt;&gt;0,'Base de Datos Sumaria'!H159," ")</f>
        <v xml:space="preserve"> </v>
      </c>
      <c r="D162" s="8" t="str">
        <f>IF(SUM('Base de Datos Sumaria'!J159:Q159)&lt;&gt;0,'Base de Datos Maestro'!L159," ")</f>
        <v xml:space="preserve"> </v>
      </c>
      <c r="E162" s="9" t="str">
        <f>IF('Base de Datos Sumaria'!I159&lt;&gt;0,'Base de Datos Sumaria'!I159,"")</f>
        <v/>
      </c>
      <c r="F162" s="10" t="str">
        <f>IF(SUM('Base de Datos Sumaria'!J159:Q159)&lt;&gt;0,'Base de Datos Sumaria'!J159,"")</f>
        <v/>
      </c>
      <c r="G162" s="10" t="str">
        <f>IF(SUM('Base de Datos Sumaria'!J159:Q159)&lt;&gt;0,'Base de Datos Sumaria'!K159," ")</f>
        <v xml:space="preserve"> </v>
      </c>
      <c r="H162" s="10" t="str">
        <f>IF(SUM('Base de Datos Sumaria'!J159:Q159)&lt;&gt;0,'Base de Datos Sumaria'!L159," ")</f>
        <v xml:space="preserve"> </v>
      </c>
      <c r="I162" s="10" t="str">
        <f>IF(SUM('Base de Datos Sumaria'!J159:Q159)&lt;&gt;0,'Base de Datos Sumaria'!M159," ")</f>
        <v xml:space="preserve"> </v>
      </c>
      <c r="J162" s="10" t="str">
        <f>IF(SUM('Base de Datos Sumaria'!J159:Q159)&lt;&gt;0,'Base de Datos Sumaria'!N159," ")</f>
        <v xml:space="preserve"> </v>
      </c>
      <c r="K162" s="10" t="str">
        <f>IF(SUM('Base de Datos Sumaria'!J159:Q159)&lt;&gt;0,'Base de Datos Sumaria'!O159," ")</f>
        <v xml:space="preserve"> </v>
      </c>
      <c r="L162" s="10" t="str">
        <f>IF(SUM('Base de Datos Sumaria'!J159:Q159)&lt;&gt;0,'Base de Datos Sumaria'!P159," ")</f>
        <v xml:space="preserve"> </v>
      </c>
      <c r="M162" s="10" t="str">
        <f>IF(SUM('Base de Datos Sumaria'!J159:Q159)&lt;&gt;0,'Base de Datos Sumaria'!Q159," ")</f>
        <v xml:space="preserve"> </v>
      </c>
      <c r="N162" s="10" t="str">
        <f>IF(SUM('Base de Datos Sumaria'!J159:Q159)&lt;&gt;0,SUM(F162:M162)," ")</f>
        <v xml:space="preserve"> </v>
      </c>
    </row>
    <row r="163" spans="1:14" s="12" customFormat="1" ht="12.95" customHeight="1" x14ac:dyDescent="0.2">
      <c r="A163" s="6" t="str">
        <f>IF(SUM('Base de Datos Sumaria'!J160:Q160)&lt;&gt;0,'Base de Datos Sumaria'!C160," ")</f>
        <v xml:space="preserve"> </v>
      </c>
      <c r="B163" s="6" t="str">
        <f>IF(SUM('Base de Datos Sumaria'!J160:Q160)&lt;&gt;0,'Base de Datos Sumaria'!D160," ")</f>
        <v xml:space="preserve"> </v>
      </c>
      <c r="C163" s="7" t="str">
        <f>IF(SUM('Base de Datos Sumaria'!J160:Q160)&lt;&gt;0,'Base de Datos Sumaria'!H160," ")</f>
        <v xml:space="preserve"> </v>
      </c>
      <c r="D163" s="8" t="str">
        <f>IF(SUM('Base de Datos Sumaria'!J160:Q160)&lt;&gt;0,'Base de Datos Maestro'!L160," ")</f>
        <v xml:space="preserve"> </v>
      </c>
      <c r="E163" s="9" t="str">
        <f>IF('Base de Datos Sumaria'!I160&lt;&gt;0,'Base de Datos Sumaria'!I160,"")</f>
        <v/>
      </c>
      <c r="F163" s="10" t="str">
        <f>IF(SUM('Base de Datos Sumaria'!J160:Q160)&lt;&gt;0,'Base de Datos Sumaria'!J160,"")</f>
        <v/>
      </c>
      <c r="G163" s="10" t="str">
        <f>IF(SUM('Base de Datos Sumaria'!J160:Q160)&lt;&gt;0,'Base de Datos Sumaria'!K160," ")</f>
        <v xml:space="preserve"> </v>
      </c>
      <c r="H163" s="10" t="str">
        <f>IF(SUM('Base de Datos Sumaria'!J160:Q160)&lt;&gt;0,'Base de Datos Sumaria'!L160," ")</f>
        <v xml:space="preserve"> </v>
      </c>
      <c r="I163" s="10" t="str">
        <f>IF(SUM('Base de Datos Sumaria'!J160:Q160)&lt;&gt;0,'Base de Datos Sumaria'!M160," ")</f>
        <v xml:space="preserve"> </v>
      </c>
      <c r="J163" s="10" t="str">
        <f>IF(SUM('Base de Datos Sumaria'!J160:Q160)&lt;&gt;0,'Base de Datos Sumaria'!N160," ")</f>
        <v xml:space="preserve"> </v>
      </c>
      <c r="K163" s="10" t="str">
        <f>IF(SUM('Base de Datos Sumaria'!J160:Q160)&lt;&gt;0,'Base de Datos Sumaria'!O160," ")</f>
        <v xml:space="preserve"> </v>
      </c>
      <c r="L163" s="10" t="str">
        <f>IF(SUM('Base de Datos Sumaria'!J160:Q160)&lt;&gt;0,'Base de Datos Sumaria'!P160," ")</f>
        <v xml:space="preserve"> </v>
      </c>
      <c r="M163" s="10" t="str">
        <f>IF(SUM('Base de Datos Sumaria'!J160:Q160)&lt;&gt;0,'Base de Datos Sumaria'!Q160," ")</f>
        <v xml:space="preserve"> </v>
      </c>
      <c r="N163" s="10" t="str">
        <f>IF(SUM('Base de Datos Sumaria'!J160:Q160)&lt;&gt;0,SUM(F163:M163)," ")</f>
        <v xml:space="preserve"> </v>
      </c>
    </row>
    <row r="164" spans="1:14" s="12" customFormat="1" ht="12.95" customHeight="1" x14ac:dyDescent="0.2">
      <c r="A164" s="6" t="str">
        <f>IF(SUM('Base de Datos Sumaria'!J161:Q161)&lt;&gt;0,'Base de Datos Sumaria'!C161," ")</f>
        <v xml:space="preserve"> </v>
      </c>
      <c r="B164" s="6" t="str">
        <f>IF(SUM('Base de Datos Sumaria'!J161:Q161)&lt;&gt;0,'Base de Datos Sumaria'!D161," ")</f>
        <v xml:space="preserve"> </v>
      </c>
      <c r="C164" s="7" t="str">
        <f>IF(SUM('Base de Datos Sumaria'!J161:Q161)&lt;&gt;0,'Base de Datos Sumaria'!H161," ")</f>
        <v xml:space="preserve"> </v>
      </c>
      <c r="D164" s="8" t="str">
        <f>IF(SUM('Base de Datos Sumaria'!J161:Q161)&lt;&gt;0,'Base de Datos Maestro'!L161," ")</f>
        <v xml:space="preserve"> </v>
      </c>
      <c r="E164" s="9" t="str">
        <f>IF('Base de Datos Sumaria'!I161&lt;&gt;0,'Base de Datos Sumaria'!I161,"")</f>
        <v/>
      </c>
      <c r="F164" s="10" t="str">
        <f>IF(SUM('Base de Datos Sumaria'!J161:Q161)&lt;&gt;0,'Base de Datos Sumaria'!J161,"")</f>
        <v/>
      </c>
      <c r="G164" s="10" t="str">
        <f>IF(SUM('Base de Datos Sumaria'!J161:Q161)&lt;&gt;0,'Base de Datos Sumaria'!K161," ")</f>
        <v xml:space="preserve"> </v>
      </c>
      <c r="H164" s="10" t="str">
        <f>IF(SUM('Base de Datos Sumaria'!J161:Q161)&lt;&gt;0,'Base de Datos Sumaria'!L161," ")</f>
        <v xml:space="preserve"> </v>
      </c>
      <c r="I164" s="10" t="str">
        <f>IF(SUM('Base de Datos Sumaria'!J161:Q161)&lt;&gt;0,'Base de Datos Sumaria'!M161," ")</f>
        <v xml:space="preserve"> </v>
      </c>
      <c r="J164" s="10" t="str">
        <f>IF(SUM('Base de Datos Sumaria'!J161:Q161)&lt;&gt;0,'Base de Datos Sumaria'!N161," ")</f>
        <v xml:space="preserve"> </v>
      </c>
      <c r="K164" s="10" t="str">
        <f>IF(SUM('Base de Datos Sumaria'!J161:Q161)&lt;&gt;0,'Base de Datos Sumaria'!O161," ")</f>
        <v xml:space="preserve"> </v>
      </c>
      <c r="L164" s="10" t="str">
        <f>IF(SUM('Base de Datos Sumaria'!J161:Q161)&lt;&gt;0,'Base de Datos Sumaria'!P161," ")</f>
        <v xml:space="preserve"> </v>
      </c>
      <c r="M164" s="10" t="str">
        <f>IF(SUM('Base de Datos Sumaria'!J161:Q161)&lt;&gt;0,'Base de Datos Sumaria'!Q161," ")</f>
        <v xml:space="preserve"> </v>
      </c>
      <c r="N164" s="10" t="str">
        <f>IF(SUM('Base de Datos Sumaria'!J161:Q161)&lt;&gt;0,SUM(F164:M164)," ")</f>
        <v xml:space="preserve"> </v>
      </c>
    </row>
    <row r="165" spans="1:14" s="12" customFormat="1" ht="12.95" customHeight="1" x14ac:dyDescent="0.2">
      <c r="A165" s="6" t="str">
        <f>IF(SUM('Base de Datos Sumaria'!J162:Q162)&lt;&gt;0,'Base de Datos Sumaria'!C162," ")</f>
        <v xml:space="preserve"> </v>
      </c>
      <c r="B165" s="6" t="str">
        <f>IF(SUM('Base de Datos Sumaria'!J162:Q162)&lt;&gt;0,'Base de Datos Sumaria'!D162," ")</f>
        <v xml:space="preserve"> </v>
      </c>
      <c r="C165" s="7" t="str">
        <f>IF(SUM('Base de Datos Sumaria'!J162:Q162)&lt;&gt;0,'Base de Datos Sumaria'!H162," ")</f>
        <v xml:space="preserve"> </v>
      </c>
      <c r="D165" s="8" t="str">
        <f>IF(SUM('Base de Datos Sumaria'!J162:Q162)&lt;&gt;0,'Base de Datos Maestro'!L162," ")</f>
        <v xml:space="preserve"> </v>
      </c>
      <c r="E165" s="9" t="str">
        <f>IF('Base de Datos Sumaria'!I162&lt;&gt;0,'Base de Datos Sumaria'!I162,"")</f>
        <v/>
      </c>
      <c r="F165" s="10" t="str">
        <f>IF(SUM('Base de Datos Sumaria'!J162:Q162)&lt;&gt;0,'Base de Datos Sumaria'!J162,"")</f>
        <v/>
      </c>
      <c r="G165" s="10" t="str">
        <f>IF(SUM('Base de Datos Sumaria'!J162:Q162)&lt;&gt;0,'Base de Datos Sumaria'!K162," ")</f>
        <v xml:space="preserve"> </v>
      </c>
      <c r="H165" s="10" t="str">
        <f>IF(SUM('Base de Datos Sumaria'!J162:Q162)&lt;&gt;0,'Base de Datos Sumaria'!L162," ")</f>
        <v xml:space="preserve"> </v>
      </c>
      <c r="I165" s="10" t="str">
        <f>IF(SUM('Base de Datos Sumaria'!J162:Q162)&lt;&gt;0,'Base de Datos Sumaria'!M162," ")</f>
        <v xml:space="preserve"> </v>
      </c>
      <c r="J165" s="10" t="str">
        <f>IF(SUM('Base de Datos Sumaria'!J162:Q162)&lt;&gt;0,'Base de Datos Sumaria'!N162," ")</f>
        <v xml:space="preserve"> </v>
      </c>
      <c r="K165" s="10" t="str">
        <f>IF(SUM('Base de Datos Sumaria'!J162:Q162)&lt;&gt;0,'Base de Datos Sumaria'!O162," ")</f>
        <v xml:space="preserve"> </v>
      </c>
      <c r="L165" s="10" t="str">
        <f>IF(SUM('Base de Datos Sumaria'!J162:Q162)&lt;&gt;0,'Base de Datos Sumaria'!P162," ")</f>
        <v xml:space="preserve"> </v>
      </c>
      <c r="M165" s="10" t="str">
        <f>IF(SUM('Base de Datos Sumaria'!J162:Q162)&lt;&gt;0,'Base de Datos Sumaria'!Q162," ")</f>
        <v xml:space="preserve"> </v>
      </c>
      <c r="N165" s="10" t="str">
        <f>IF(SUM('Base de Datos Sumaria'!J162:Q162)&lt;&gt;0,SUM(F165:M165)," ")</f>
        <v xml:space="preserve"> </v>
      </c>
    </row>
    <row r="166" spans="1:14" s="12" customFormat="1" ht="12.95" customHeight="1" x14ac:dyDescent="0.2">
      <c r="A166" s="6" t="str">
        <f>IF(SUM('Base de Datos Sumaria'!J163:Q163)&lt;&gt;0,'Base de Datos Sumaria'!C163," ")</f>
        <v xml:space="preserve"> </v>
      </c>
      <c r="B166" s="6" t="str">
        <f>IF(SUM('Base de Datos Sumaria'!J163:Q163)&lt;&gt;0,'Base de Datos Sumaria'!D163," ")</f>
        <v xml:space="preserve"> </v>
      </c>
      <c r="C166" s="7" t="str">
        <f>IF(SUM('Base de Datos Sumaria'!J163:Q163)&lt;&gt;0,'Base de Datos Sumaria'!H163," ")</f>
        <v xml:space="preserve"> </v>
      </c>
      <c r="D166" s="8" t="str">
        <f>IF(SUM('Base de Datos Sumaria'!J163:Q163)&lt;&gt;0,'Base de Datos Maestro'!L163," ")</f>
        <v xml:space="preserve"> </v>
      </c>
      <c r="E166" s="9" t="str">
        <f>IF('Base de Datos Sumaria'!I163&lt;&gt;0,'Base de Datos Sumaria'!I163,"")</f>
        <v/>
      </c>
      <c r="F166" s="10" t="str">
        <f>IF(SUM('Base de Datos Sumaria'!J163:Q163)&lt;&gt;0,'Base de Datos Sumaria'!J163,"")</f>
        <v/>
      </c>
      <c r="G166" s="10" t="str">
        <f>IF(SUM('Base de Datos Sumaria'!J163:Q163)&lt;&gt;0,'Base de Datos Sumaria'!K163," ")</f>
        <v xml:space="preserve"> </v>
      </c>
      <c r="H166" s="10" t="str">
        <f>IF(SUM('Base de Datos Sumaria'!J163:Q163)&lt;&gt;0,'Base de Datos Sumaria'!L163," ")</f>
        <v xml:space="preserve"> </v>
      </c>
      <c r="I166" s="10" t="str">
        <f>IF(SUM('Base de Datos Sumaria'!J163:Q163)&lt;&gt;0,'Base de Datos Sumaria'!M163," ")</f>
        <v xml:space="preserve"> </v>
      </c>
      <c r="J166" s="10" t="str">
        <f>IF(SUM('Base de Datos Sumaria'!J163:Q163)&lt;&gt;0,'Base de Datos Sumaria'!N163," ")</f>
        <v xml:space="preserve"> </v>
      </c>
      <c r="K166" s="10" t="str">
        <f>IF(SUM('Base de Datos Sumaria'!J163:Q163)&lt;&gt;0,'Base de Datos Sumaria'!O163," ")</f>
        <v xml:space="preserve"> </v>
      </c>
      <c r="L166" s="10" t="str">
        <f>IF(SUM('Base de Datos Sumaria'!J163:Q163)&lt;&gt;0,'Base de Datos Sumaria'!P163," ")</f>
        <v xml:space="preserve"> </v>
      </c>
      <c r="M166" s="10" t="str">
        <f>IF(SUM('Base de Datos Sumaria'!J163:Q163)&lt;&gt;0,'Base de Datos Sumaria'!Q163," ")</f>
        <v xml:space="preserve"> </v>
      </c>
      <c r="N166" s="10" t="str">
        <f>IF(SUM('Base de Datos Sumaria'!J163:Q163)&lt;&gt;0,SUM(F166:M166)," ")</f>
        <v xml:space="preserve"> </v>
      </c>
    </row>
    <row r="167" spans="1:14" s="12" customFormat="1" ht="12.95" customHeight="1" x14ac:dyDescent="0.2">
      <c r="A167" s="6" t="str">
        <f>IF(SUM('Base de Datos Sumaria'!J164:Q164)&lt;&gt;0,'Base de Datos Sumaria'!C164," ")</f>
        <v xml:space="preserve"> </v>
      </c>
      <c r="B167" s="6" t="str">
        <f>IF(SUM('Base de Datos Sumaria'!J164:Q164)&lt;&gt;0,'Base de Datos Sumaria'!D164," ")</f>
        <v xml:space="preserve"> </v>
      </c>
      <c r="C167" s="7" t="str">
        <f>IF(SUM('Base de Datos Sumaria'!J164:Q164)&lt;&gt;0,'Base de Datos Sumaria'!H164," ")</f>
        <v xml:space="preserve"> </v>
      </c>
      <c r="D167" s="8" t="str">
        <f>IF(SUM('Base de Datos Sumaria'!J164:Q164)&lt;&gt;0,'Base de Datos Maestro'!L164," ")</f>
        <v xml:space="preserve"> </v>
      </c>
      <c r="E167" s="9" t="str">
        <f>IF('Base de Datos Sumaria'!I164&lt;&gt;0,'Base de Datos Sumaria'!I164,"")</f>
        <v/>
      </c>
      <c r="F167" s="10" t="str">
        <f>IF(SUM('Base de Datos Sumaria'!J164:Q164)&lt;&gt;0,'Base de Datos Sumaria'!J164,"")</f>
        <v/>
      </c>
      <c r="G167" s="10" t="str">
        <f>IF(SUM('Base de Datos Sumaria'!J164:Q164)&lt;&gt;0,'Base de Datos Sumaria'!K164," ")</f>
        <v xml:space="preserve"> </v>
      </c>
      <c r="H167" s="10" t="str">
        <f>IF(SUM('Base de Datos Sumaria'!J164:Q164)&lt;&gt;0,'Base de Datos Sumaria'!L164," ")</f>
        <v xml:space="preserve"> </v>
      </c>
      <c r="I167" s="10" t="str">
        <f>IF(SUM('Base de Datos Sumaria'!J164:Q164)&lt;&gt;0,'Base de Datos Sumaria'!M164," ")</f>
        <v xml:space="preserve"> </v>
      </c>
      <c r="J167" s="10" t="str">
        <f>IF(SUM('Base de Datos Sumaria'!J164:Q164)&lt;&gt;0,'Base de Datos Sumaria'!N164," ")</f>
        <v xml:space="preserve"> </v>
      </c>
      <c r="K167" s="10" t="str">
        <f>IF(SUM('Base de Datos Sumaria'!J164:Q164)&lt;&gt;0,'Base de Datos Sumaria'!O164," ")</f>
        <v xml:space="preserve"> </v>
      </c>
      <c r="L167" s="10" t="str">
        <f>IF(SUM('Base de Datos Sumaria'!J164:Q164)&lt;&gt;0,'Base de Datos Sumaria'!P164," ")</f>
        <v xml:space="preserve"> </v>
      </c>
      <c r="M167" s="10" t="str">
        <f>IF(SUM('Base de Datos Sumaria'!J164:Q164)&lt;&gt;0,'Base de Datos Sumaria'!Q164," ")</f>
        <v xml:space="preserve"> </v>
      </c>
      <c r="N167" s="10" t="str">
        <f>IF(SUM('Base de Datos Sumaria'!J164:Q164)&lt;&gt;0,SUM(F167:M167)," ")</f>
        <v xml:space="preserve"> </v>
      </c>
    </row>
    <row r="168" spans="1:14" s="12" customFormat="1" ht="12.95" customHeight="1" x14ac:dyDescent="0.2">
      <c r="A168" s="6" t="str">
        <f>IF(SUM('Base de Datos Sumaria'!J165:Q165)&lt;&gt;0,'Base de Datos Sumaria'!C165," ")</f>
        <v xml:space="preserve"> </v>
      </c>
      <c r="B168" s="6" t="str">
        <f>IF(SUM('Base de Datos Sumaria'!J165:Q165)&lt;&gt;0,'Base de Datos Sumaria'!D165," ")</f>
        <v xml:space="preserve"> </v>
      </c>
      <c r="C168" s="7" t="str">
        <f>IF(SUM('Base de Datos Sumaria'!J165:Q165)&lt;&gt;0,'Base de Datos Sumaria'!H165," ")</f>
        <v xml:space="preserve"> </v>
      </c>
      <c r="D168" s="8" t="str">
        <f>IF(SUM('Base de Datos Sumaria'!J165:Q165)&lt;&gt;0,'Base de Datos Maestro'!L165," ")</f>
        <v xml:space="preserve"> </v>
      </c>
      <c r="E168" s="9" t="str">
        <f>IF('Base de Datos Sumaria'!I165&lt;&gt;0,'Base de Datos Sumaria'!I165,"")</f>
        <v/>
      </c>
      <c r="F168" s="10" t="str">
        <f>IF(SUM('Base de Datos Sumaria'!J165:Q165)&lt;&gt;0,'Base de Datos Sumaria'!J165,"")</f>
        <v/>
      </c>
      <c r="G168" s="10" t="str">
        <f>IF(SUM('Base de Datos Sumaria'!J165:Q165)&lt;&gt;0,'Base de Datos Sumaria'!K165," ")</f>
        <v xml:space="preserve"> </v>
      </c>
      <c r="H168" s="10" t="str">
        <f>IF(SUM('Base de Datos Sumaria'!J165:Q165)&lt;&gt;0,'Base de Datos Sumaria'!L165," ")</f>
        <v xml:space="preserve"> </v>
      </c>
      <c r="I168" s="10" t="str">
        <f>IF(SUM('Base de Datos Sumaria'!J165:Q165)&lt;&gt;0,'Base de Datos Sumaria'!M165," ")</f>
        <v xml:space="preserve"> </v>
      </c>
      <c r="J168" s="10" t="str">
        <f>IF(SUM('Base de Datos Sumaria'!J165:Q165)&lt;&gt;0,'Base de Datos Sumaria'!N165," ")</f>
        <v xml:space="preserve"> </v>
      </c>
      <c r="K168" s="10" t="str">
        <f>IF(SUM('Base de Datos Sumaria'!J165:Q165)&lt;&gt;0,'Base de Datos Sumaria'!O165," ")</f>
        <v xml:space="preserve"> </v>
      </c>
      <c r="L168" s="10" t="str">
        <f>IF(SUM('Base de Datos Sumaria'!J165:Q165)&lt;&gt;0,'Base de Datos Sumaria'!P165," ")</f>
        <v xml:space="preserve"> </v>
      </c>
      <c r="M168" s="10" t="str">
        <f>IF(SUM('Base de Datos Sumaria'!J165:Q165)&lt;&gt;0,'Base de Datos Sumaria'!Q165," ")</f>
        <v xml:space="preserve"> </v>
      </c>
      <c r="N168" s="10" t="str">
        <f>IF(SUM('Base de Datos Sumaria'!J165:Q165)&lt;&gt;0,SUM(F168:M168)," ")</f>
        <v xml:space="preserve"> </v>
      </c>
    </row>
    <row r="169" spans="1:14" s="12" customFormat="1" ht="12.95" customHeight="1" x14ac:dyDescent="0.2">
      <c r="A169" s="6" t="str">
        <f>IF(SUM('Base de Datos Sumaria'!J166:Q166)&lt;&gt;0,'Base de Datos Sumaria'!C166," ")</f>
        <v xml:space="preserve"> </v>
      </c>
      <c r="B169" s="6" t="str">
        <f>IF(SUM('Base de Datos Sumaria'!J166:Q166)&lt;&gt;0,'Base de Datos Sumaria'!D166," ")</f>
        <v xml:space="preserve"> </v>
      </c>
      <c r="C169" s="7" t="str">
        <f>IF(SUM('Base de Datos Sumaria'!J166:Q166)&lt;&gt;0,'Base de Datos Sumaria'!H166," ")</f>
        <v xml:space="preserve"> </v>
      </c>
      <c r="D169" s="8" t="str">
        <f>IF(SUM('Base de Datos Sumaria'!J166:Q166)&lt;&gt;0,'Base de Datos Maestro'!L166," ")</f>
        <v xml:space="preserve"> </v>
      </c>
      <c r="E169" s="9" t="str">
        <f>IF('Base de Datos Sumaria'!I166&lt;&gt;0,'Base de Datos Sumaria'!I166,"")</f>
        <v/>
      </c>
      <c r="F169" s="10" t="str">
        <f>IF(SUM('Base de Datos Sumaria'!J166:Q166)&lt;&gt;0,'Base de Datos Sumaria'!J166,"")</f>
        <v/>
      </c>
      <c r="G169" s="10" t="str">
        <f>IF(SUM('Base de Datos Sumaria'!J166:Q166)&lt;&gt;0,'Base de Datos Sumaria'!K166," ")</f>
        <v xml:space="preserve"> </v>
      </c>
      <c r="H169" s="10" t="str">
        <f>IF(SUM('Base de Datos Sumaria'!J166:Q166)&lt;&gt;0,'Base de Datos Sumaria'!L166," ")</f>
        <v xml:space="preserve"> </v>
      </c>
      <c r="I169" s="10" t="str">
        <f>IF(SUM('Base de Datos Sumaria'!J166:Q166)&lt;&gt;0,'Base de Datos Sumaria'!M166," ")</f>
        <v xml:space="preserve"> </v>
      </c>
      <c r="J169" s="10" t="str">
        <f>IF(SUM('Base de Datos Sumaria'!J166:Q166)&lt;&gt;0,'Base de Datos Sumaria'!N166," ")</f>
        <v xml:space="preserve"> </v>
      </c>
      <c r="K169" s="10" t="str">
        <f>IF(SUM('Base de Datos Sumaria'!J166:Q166)&lt;&gt;0,'Base de Datos Sumaria'!O166," ")</f>
        <v xml:space="preserve"> </v>
      </c>
      <c r="L169" s="10" t="str">
        <f>IF(SUM('Base de Datos Sumaria'!J166:Q166)&lt;&gt;0,'Base de Datos Sumaria'!P166," ")</f>
        <v xml:space="preserve"> </v>
      </c>
      <c r="M169" s="10" t="str">
        <f>IF(SUM('Base de Datos Sumaria'!J166:Q166)&lt;&gt;0,'Base de Datos Sumaria'!Q166," ")</f>
        <v xml:space="preserve"> </v>
      </c>
      <c r="N169" s="10" t="str">
        <f>IF(SUM('Base de Datos Sumaria'!J166:Q166)&lt;&gt;0,SUM(F169:M169)," ")</f>
        <v xml:space="preserve"> </v>
      </c>
    </row>
    <row r="170" spans="1:14" s="12" customFormat="1" ht="12.95" customHeight="1" x14ac:dyDescent="0.2">
      <c r="A170" s="6" t="str">
        <f>IF(SUM('Base de Datos Sumaria'!J167:Q167)&lt;&gt;0,'Base de Datos Sumaria'!C167," ")</f>
        <v xml:space="preserve"> </v>
      </c>
      <c r="B170" s="6" t="str">
        <f>IF(SUM('Base de Datos Sumaria'!J167:Q167)&lt;&gt;0,'Base de Datos Sumaria'!D167," ")</f>
        <v xml:space="preserve"> </v>
      </c>
      <c r="C170" s="7" t="str">
        <f>IF(SUM('Base de Datos Sumaria'!J167:Q167)&lt;&gt;0,'Base de Datos Sumaria'!H167," ")</f>
        <v xml:space="preserve"> </v>
      </c>
      <c r="D170" s="8" t="str">
        <f>IF(SUM('Base de Datos Sumaria'!J167:Q167)&lt;&gt;0,'Base de Datos Maestro'!L167," ")</f>
        <v xml:space="preserve"> </v>
      </c>
      <c r="E170" s="9" t="str">
        <f>IF('Base de Datos Sumaria'!I167&lt;&gt;0,'Base de Datos Sumaria'!I167,"")</f>
        <v/>
      </c>
      <c r="F170" s="10" t="str">
        <f>IF(SUM('Base de Datos Sumaria'!J167:Q167)&lt;&gt;0,'Base de Datos Sumaria'!J167,"")</f>
        <v/>
      </c>
      <c r="G170" s="10" t="str">
        <f>IF(SUM('Base de Datos Sumaria'!J167:Q167)&lt;&gt;0,'Base de Datos Sumaria'!K167," ")</f>
        <v xml:space="preserve"> </v>
      </c>
      <c r="H170" s="10" t="str">
        <f>IF(SUM('Base de Datos Sumaria'!J167:Q167)&lt;&gt;0,'Base de Datos Sumaria'!L167," ")</f>
        <v xml:space="preserve"> </v>
      </c>
      <c r="I170" s="10" t="str">
        <f>IF(SUM('Base de Datos Sumaria'!J167:Q167)&lt;&gt;0,'Base de Datos Sumaria'!M167," ")</f>
        <v xml:space="preserve"> </v>
      </c>
      <c r="J170" s="10" t="str">
        <f>IF(SUM('Base de Datos Sumaria'!J167:Q167)&lt;&gt;0,'Base de Datos Sumaria'!N167," ")</f>
        <v xml:space="preserve"> </v>
      </c>
      <c r="K170" s="10" t="str">
        <f>IF(SUM('Base de Datos Sumaria'!J167:Q167)&lt;&gt;0,'Base de Datos Sumaria'!O167," ")</f>
        <v xml:space="preserve"> </v>
      </c>
      <c r="L170" s="10" t="str">
        <f>IF(SUM('Base de Datos Sumaria'!J167:Q167)&lt;&gt;0,'Base de Datos Sumaria'!P167," ")</f>
        <v xml:space="preserve"> </v>
      </c>
      <c r="M170" s="10" t="str">
        <f>IF(SUM('Base de Datos Sumaria'!J167:Q167)&lt;&gt;0,'Base de Datos Sumaria'!Q167," ")</f>
        <v xml:space="preserve"> </v>
      </c>
      <c r="N170" s="10" t="str">
        <f>IF(SUM('Base de Datos Sumaria'!J167:Q167)&lt;&gt;0,SUM(F170:M170)," ")</f>
        <v xml:space="preserve"> </v>
      </c>
    </row>
    <row r="171" spans="1:14" s="12" customFormat="1" ht="12.95" customHeight="1" x14ac:dyDescent="0.2">
      <c r="A171" s="6" t="str">
        <f>IF(SUM('Base de Datos Sumaria'!J168:Q168)&lt;&gt;0,'Base de Datos Sumaria'!C168," ")</f>
        <v xml:space="preserve"> </v>
      </c>
      <c r="B171" s="6" t="str">
        <f>IF(SUM('Base de Datos Sumaria'!J168:Q168)&lt;&gt;0,'Base de Datos Sumaria'!D168," ")</f>
        <v xml:space="preserve"> </v>
      </c>
      <c r="C171" s="7" t="str">
        <f>IF(SUM('Base de Datos Sumaria'!J168:Q168)&lt;&gt;0,'Base de Datos Sumaria'!H168," ")</f>
        <v xml:space="preserve"> </v>
      </c>
      <c r="D171" s="8" t="str">
        <f>IF(SUM('Base de Datos Sumaria'!J168:Q168)&lt;&gt;0,'Base de Datos Maestro'!L168," ")</f>
        <v xml:space="preserve"> </v>
      </c>
      <c r="E171" s="9" t="str">
        <f>IF('Base de Datos Sumaria'!I168&lt;&gt;0,'Base de Datos Sumaria'!I168,"")</f>
        <v/>
      </c>
      <c r="F171" s="10" t="str">
        <f>IF(SUM('Base de Datos Sumaria'!J168:Q168)&lt;&gt;0,'Base de Datos Sumaria'!J168,"")</f>
        <v/>
      </c>
      <c r="G171" s="10" t="str">
        <f>IF(SUM('Base de Datos Sumaria'!J168:Q168)&lt;&gt;0,'Base de Datos Sumaria'!K168," ")</f>
        <v xml:space="preserve"> </v>
      </c>
      <c r="H171" s="10" t="str">
        <f>IF(SUM('Base de Datos Sumaria'!J168:Q168)&lt;&gt;0,'Base de Datos Sumaria'!L168," ")</f>
        <v xml:space="preserve"> </v>
      </c>
      <c r="I171" s="10" t="str">
        <f>IF(SUM('Base de Datos Sumaria'!J168:Q168)&lt;&gt;0,'Base de Datos Sumaria'!M168," ")</f>
        <v xml:space="preserve"> </v>
      </c>
      <c r="J171" s="10" t="str">
        <f>IF(SUM('Base de Datos Sumaria'!J168:Q168)&lt;&gt;0,'Base de Datos Sumaria'!N168," ")</f>
        <v xml:space="preserve"> </v>
      </c>
      <c r="K171" s="10" t="str">
        <f>IF(SUM('Base de Datos Sumaria'!J168:Q168)&lt;&gt;0,'Base de Datos Sumaria'!O168," ")</f>
        <v xml:space="preserve"> </v>
      </c>
      <c r="L171" s="10" t="str">
        <f>IF(SUM('Base de Datos Sumaria'!J168:Q168)&lt;&gt;0,'Base de Datos Sumaria'!P168," ")</f>
        <v xml:space="preserve"> </v>
      </c>
      <c r="M171" s="10" t="str">
        <f>IF(SUM('Base de Datos Sumaria'!J168:Q168)&lt;&gt;0,'Base de Datos Sumaria'!Q168," ")</f>
        <v xml:space="preserve"> </v>
      </c>
      <c r="N171" s="10" t="str">
        <f>IF(SUM('Base de Datos Sumaria'!J168:Q168)&lt;&gt;0,SUM(F171:M171)," ")</f>
        <v xml:space="preserve"> </v>
      </c>
    </row>
    <row r="172" spans="1:14" s="12" customFormat="1" ht="12.95" customHeight="1" x14ac:dyDescent="0.2">
      <c r="A172" s="6" t="str">
        <f>IF(SUM('Base de Datos Sumaria'!J169:Q169)&lt;&gt;0,'Base de Datos Sumaria'!C169," ")</f>
        <v xml:space="preserve"> </v>
      </c>
      <c r="B172" s="6" t="str">
        <f>IF(SUM('Base de Datos Sumaria'!J169:Q169)&lt;&gt;0,'Base de Datos Sumaria'!D169," ")</f>
        <v xml:space="preserve"> </v>
      </c>
      <c r="C172" s="7" t="str">
        <f>IF(SUM('Base de Datos Sumaria'!J169:Q169)&lt;&gt;0,'Base de Datos Sumaria'!H169," ")</f>
        <v xml:space="preserve"> </v>
      </c>
      <c r="D172" s="8" t="str">
        <f>IF(SUM('Base de Datos Sumaria'!J169:Q169)&lt;&gt;0,'Base de Datos Maestro'!L169," ")</f>
        <v xml:space="preserve"> </v>
      </c>
      <c r="E172" s="9" t="str">
        <f>IF('Base de Datos Sumaria'!I169&lt;&gt;0,'Base de Datos Sumaria'!I169,"")</f>
        <v/>
      </c>
      <c r="F172" s="10" t="str">
        <f>IF(SUM('Base de Datos Sumaria'!J169:Q169)&lt;&gt;0,'Base de Datos Sumaria'!J169,"")</f>
        <v/>
      </c>
      <c r="G172" s="10" t="str">
        <f>IF(SUM('Base de Datos Sumaria'!J169:Q169)&lt;&gt;0,'Base de Datos Sumaria'!K169," ")</f>
        <v xml:space="preserve"> </v>
      </c>
      <c r="H172" s="10" t="str">
        <f>IF(SUM('Base de Datos Sumaria'!J169:Q169)&lt;&gt;0,'Base de Datos Sumaria'!L169," ")</f>
        <v xml:space="preserve"> </v>
      </c>
      <c r="I172" s="10" t="str">
        <f>IF(SUM('Base de Datos Sumaria'!J169:Q169)&lt;&gt;0,'Base de Datos Sumaria'!M169," ")</f>
        <v xml:space="preserve"> </v>
      </c>
      <c r="J172" s="10" t="str">
        <f>IF(SUM('Base de Datos Sumaria'!J169:Q169)&lt;&gt;0,'Base de Datos Sumaria'!N169," ")</f>
        <v xml:space="preserve"> </v>
      </c>
      <c r="K172" s="10" t="str">
        <f>IF(SUM('Base de Datos Sumaria'!J169:Q169)&lt;&gt;0,'Base de Datos Sumaria'!O169," ")</f>
        <v xml:space="preserve"> </v>
      </c>
      <c r="L172" s="10" t="str">
        <f>IF(SUM('Base de Datos Sumaria'!J169:Q169)&lt;&gt;0,'Base de Datos Sumaria'!P169," ")</f>
        <v xml:space="preserve"> </v>
      </c>
      <c r="M172" s="10" t="str">
        <f>IF(SUM('Base de Datos Sumaria'!J169:Q169)&lt;&gt;0,'Base de Datos Sumaria'!Q169," ")</f>
        <v xml:space="preserve"> </v>
      </c>
      <c r="N172" s="10" t="str">
        <f>IF(SUM('Base de Datos Sumaria'!J169:Q169)&lt;&gt;0,SUM(F172:M172)," ")</f>
        <v xml:space="preserve"> </v>
      </c>
    </row>
    <row r="173" spans="1:14" s="12" customFormat="1" ht="12.95" customHeight="1" x14ac:dyDescent="0.2">
      <c r="A173" s="6" t="str">
        <f>IF(SUM('Base de Datos Sumaria'!J170:Q170)&lt;&gt;0,'Base de Datos Sumaria'!C170," ")</f>
        <v xml:space="preserve"> </v>
      </c>
      <c r="B173" s="6" t="str">
        <f>IF(SUM('Base de Datos Sumaria'!J170:Q170)&lt;&gt;0,'Base de Datos Sumaria'!D170," ")</f>
        <v xml:space="preserve"> </v>
      </c>
      <c r="C173" s="7" t="str">
        <f>IF(SUM('Base de Datos Sumaria'!J170:Q170)&lt;&gt;0,'Base de Datos Sumaria'!H170," ")</f>
        <v xml:space="preserve"> </v>
      </c>
      <c r="D173" s="8" t="str">
        <f>IF(SUM('Base de Datos Sumaria'!J170:Q170)&lt;&gt;0,'Base de Datos Maestro'!L170," ")</f>
        <v xml:space="preserve"> </v>
      </c>
      <c r="E173" s="9" t="str">
        <f>IF('Base de Datos Sumaria'!I170&lt;&gt;0,'Base de Datos Sumaria'!I170,"")</f>
        <v/>
      </c>
      <c r="F173" s="10" t="str">
        <f>IF(SUM('Base de Datos Sumaria'!J170:Q170)&lt;&gt;0,'Base de Datos Sumaria'!J170,"")</f>
        <v/>
      </c>
      <c r="G173" s="10" t="str">
        <f>IF(SUM('Base de Datos Sumaria'!J170:Q170)&lt;&gt;0,'Base de Datos Sumaria'!K170," ")</f>
        <v xml:space="preserve"> </v>
      </c>
      <c r="H173" s="10" t="str">
        <f>IF(SUM('Base de Datos Sumaria'!J170:Q170)&lt;&gt;0,'Base de Datos Sumaria'!L170," ")</f>
        <v xml:space="preserve"> </v>
      </c>
      <c r="I173" s="10" t="str">
        <f>IF(SUM('Base de Datos Sumaria'!J170:Q170)&lt;&gt;0,'Base de Datos Sumaria'!M170," ")</f>
        <v xml:space="preserve"> </v>
      </c>
      <c r="J173" s="10" t="str">
        <f>IF(SUM('Base de Datos Sumaria'!J170:Q170)&lt;&gt;0,'Base de Datos Sumaria'!N170," ")</f>
        <v xml:space="preserve"> </v>
      </c>
      <c r="K173" s="10" t="str">
        <f>IF(SUM('Base de Datos Sumaria'!J170:Q170)&lt;&gt;0,'Base de Datos Sumaria'!O170," ")</f>
        <v xml:space="preserve"> </v>
      </c>
      <c r="L173" s="10" t="str">
        <f>IF(SUM('Base de Datos Sumaria'!J170:Q170)&lt;&gt;0,'Base de Datos Sumaria'!P170," ")</f>
        <v xml:space="preserve"> </v>
      </c>
      <c r="M173" s="10" t="str">
        <f>IF(SUM('Base de Datos Sumaria'!J170:Q170)&lt;&gt;0,'Base de Datos Sumaria'!Q170," ")</f>
        <v xml:space="preserve"> </v>
      </c>
      <c r="N173" s="10" t="str">
        <f>IF(SUM('Base de Datos Sumaria'!J170:Q170)&lt;&gt;0,SUM(F173:M173)," ")</f>
        <v xml:space="preserve"> </v>
      </c>
    </row>
    <row r="174" spans="1:14" s="12" customFormat="1" ht="12.95" customHeight="1" x14ac:dyDescent="0.2">
      <c r="A174" s="6" t="str">
        <f>IF(SUM('Base de Datos Sumaria'!J171:Q171)&lt;&gt;0,'Base de Datos Sumaria'!C171," ")</f>
        <v xml:space="preserve"> </v>
      </c>
      <c r="B174" s="6" t="str">
        <f>IF(SUM('Base de Datos Sumaria'!J171:Q171)&lt;&gt;0,'Base de Datos Sumaria'!D171," ")</f>
        <v xml:space="preserve"> </v>
      </c>
      <c r="C174" s="7" t="str">
        <f>IF(SUM('Base de Datos Sumaria'!J171:Q171)&lt;&gt;0,'Base de Datos Sumaria'!H171," ")</f>
        <v xml:space="preserve"> </v>
      </c>
      <c r="D174" s="8" t="str">
        <f>IF(SUM('Base de Datos Sumaria'!J171:Q171)&lt;&gt;0,'Base de Datos Maestro'!L171," ")</f>
        <v xml:space="preserve"> </v>
      </c>
      <c r="E174" s="9" t="str">
        <f>IF('Base de Datos Sumaria'!I171&lt;&gt;0,'Base de Datos Sumaria'!I171,"")</f>
        <v/>
      </c>
      <c r="F174" s="10" t="str">
        <f>IF(SUM('Base de Datos Sumaria'!J171:Q171)&lt;&gt;0,'Base de Datos Sumaria'!J171,"")</f>
        <v/>
      </c>
      <c r="G174" s="10" t="str">
        <f>IF(SUM('Base de Datos Sumaria'!J171:Q171)&lt;&gt;0,'Base de Datos Sumaria'!K171," ")</f>
        <v xml:space="preserve"> </v>
      </c>
      <c r="H174" s="10" t="str">
        <f>IF(SUM('Base de Datos Sumaria'!J171:Q171)&lt;&gt;0,'Base de Datos Sumaria'!L171," ")</f>
        <v xml:space="preserve"> </v>
      </c>
      <c r="I174" s="10" t="str">
        <f>IF(SUM('Base de Datos Sumaria'!J171:Q171)&lt;&gt;0,'Base de Datos Sumaria'!M171," ")</f>
        <v xml:space="preserve"> </v>
      </c>
      <c r="J174" s="10" t="str">
        <f>IF(SUM('Base de Datos Sumaria'!J171:Q171)&lt;&gt;0,'Base de Datos Sumaria'!N171," ")</f>
        <v xml:space="preserve"> </v>
      </c>
      <c r="K174" s="10" t="str">
        <f>IF(SUM('Base de Datos Sumaria'!J171:Q171)&lt;&gt;0,'Base de Datos Sumaria'!O171," ")</f>
        <v xml:space="preserve"> </v>
      </c>
      <c r="L174" s="10" t="str">
        <f>IF(SUM('Base de Datos Sumaria'!J171:Q171)&lt;&gt;0,'Base de Datos Sumaria'!P171," ")</f>
        <v xml:space="preserve"> </v>
      </c>
      <c r="M174" s="10" t="str">
        <f>IF(SUM('Base de Datos Sumaria'!J171:Q171)&lt;&gt;0,'Base de Datos Sumaria'!Q171," ")</f>
        <v xml:space="preserve"> </v>
      </c>
      <c r="N174" s="10" t="str">
        <f>IF(SUM('Base de Datos Sumaria'!J171:Q171)&lt;&gt;0,SUM(F174:M174)," ")</f>
        <v xml:space="preserve"> </v>
      </c>
    </row>
    <row r="175" spans="1:14" s="12" customFormat="1" ht="12.95" customHeight="1" x14ac:dyDescent="0.2">
      <c r="A175" s="6" t="str">
        <f>IF(SUM('Base de Datos Sumaria'!J172:Q172)&lt;&gt;0,'Base de Datos Sumaria'!C172," ")</f>
        <v xml:space="preserve"> </v>
      </c>
      <c r="B175" s="6" t="str">
        <f>IF(SUM('Base de Datos Sumaria'!J172:Q172)&lt;&gt;0,'Base de Datos Sumaria'!D172," ")</f>
        <v xml:space="preserve"> </v>
      </c>
      <c r="C175" s="7" t="str">
        <f>IF(SUM('Base de Datos Sumaria'!J172:Q172)&lt;&gt;0,'Base de Datos Sumaria'!H172," ")</f>
        <v xml:space="preserve"> </v>
      </c>
      <c r="D175" s="8" t="str">
        <f>IF(SUM('Base de Datos Sumaria'!J172:Q172)&lt;&gt;0,'Base de Datos Maestro'!L172," ")</f>
        <v xml:space="preserve"> </v>
      </c>
      <c r="E175" s="9" t="str">
        <f>IF('Base de Datos Sumaria'!I172&lt;&gt;0,'Base de Datos Sumaria'!I172,"")</f>
        <v/>
      </c>
      <c r="F175" s="10" t="str">
        <f>IF(SUM('Base de Datos Sumaria'!J172:Q172)&lt;&gt;0,'Base de Datos Sumaria'!J172,"")</f>
        <v/>
      </c>
      <c r="G175" s="10" t="str">
        <f>IF(SUM('Base de Datos Sumaria'!J172:Q172)&lt;&gt;0,'Base de Datos Sumaria'!K172," ")</f>
        <v xml:space="preserve"> </v>
      </c>
      <c r="H175" s="10" t="str">
        <f>IF(SUM('Base de Datos Sumaria'!J172:Q172)&lt;&gt;0,'Base de Datos Sumaria'!L172," ")</f>
        <v xml:space="preserve"> </v>
      </c>
      <c r="I175" s="10" t="str">
        <f>IF(SUM('Base de Datos Sumaria'!J172:Q172)&lt;&gt;0,'Base de Datos Sumaria'!M172," ")</f>
        <v xml:space="preserve"> </v>
      </c>
      <c r="J175" s="10" t="str">
        <f>IF(SUM('Base de Datos Sumaria'!J172:Q172)&lt;&gt;0,'Base de Datos Sumaria'!N172," ")</f>
        <v xml:space="preserve"> </v>
      </c>
      <c r="K175" s="10" t="str">
        <f>IF(SUM('Base de Datos Sumaria'!J172:Q172)&lt;&gt;0,'Base de Datos Sumaria'!O172," ")</f>
        <v xml:space="preserve"> </v>
      </c>
      <c r="L175" s="10" t="str">
        <f>IF(SUM('Base de Datos Sumaria'!J172:Q172)&lt;&gt;0,'Base de Datos Sumaria'!P172," ")</f>
        <v xml:space="preserve"> </v>
      </c>
      <c r="M175" s="10" t="str">
        <f>IF(SUM('Base de Datos Sumaria'!J172:Q172)&lt;&gt;0,'Base de Datos Sumaria'!Q172," ")</f>
        <v xml:space="preserve"> </v>
      </c>
      <c r="N175" s="10" t="str">
        <f>IF(SUM('Base de Datos Sumaria'!J172:Q172)&lt;&gt;0,SUM(F175:M175)," ")</f>
        <v xml:space="preserve"> </v>
      </c>
    </row>
    <row r="176" spans="1:14" s="12" customFormat="1" ht="12.95" customHeight="1" x14ac:dyDescent="0.2">
      <c r="A176" s="6" t="str">
        <f>IF(SUM('Base de Datos Sumaria'!J173:Q173)&lt;&gt;0,'Base de Datos Sumaria'!C173," ")</f>
        <v xml:space="preserve"> </v>
      </c>
      <c r="B176" s="6" t="str">
        <f>IF(SUM('Base de Datos Sumaria'!J173:Q173)&lt;&gt;0,'Base de Datos Sumaria'!D173," ")</f>
        <v xml:space="preserve"> </v>
      </c>
      <c r="C176" s="7" t="str">
        <f>IF(SUM('Base de Datos Sumaria'!J173:Q173)&lt;&gt;0,'Base de Datos Sumaria'!H173," ")</f>
        <v xml:space="preserve"> </v>
      </c>
      <c r="D176" s="8" t="str">
        <f>IF(SUM('Base de Datos Sumaria'!J173:Q173)&lt;&gt;0,'Base de Datos Maestro'!L173," ")</f>
        <v xml:space="preserve"> </v>
      </c>
      <c r="E176" s="9" t="str">
        <f>IF('Base de Datos Sumaria'!I173&lt;&gt;0,'Base de Datos Sumaria'!I173,"")</f>
        <v/>
      </c>
      <c r="F176" s="10" t="str">
        <f>IF(SUM('Base de Datos Sumaria'!J173:Q173)&lt;&gt;0,'Base de Datos Sumaria'!J173,"")</f>
        <v/>
      </c>
      <c r="G176" s="10" t="str">
        <f>IF(SUM('Base de Datos Sumaria'!J173:Q173)&lt;&gt;0,'Base de Datos Sumaria'!K173," ")</f>
        <v xml:space="preserve"> </v>
      </c>
      <c r="H176" s="10" t="str">
        <f>IF(SUM('Base de Datos Sumaria'!J173:Q173)&lt;&gt;0,'Base de Datos Sumaria'!L173," ")</f>
        <v xml:space="preserve"> </v>
      </c>
      <c r="I176" s="10" t="str">
        <f>IF(SUM('Base de Datos Sumaria'!J173:Q173)&lt;&gt;0,'Base de Datos Sumaria'!M173," ")</f>
        <v xml:space="preserve"> </v>
      </c>
      <c r="J176" s="10" t="str">
        <f>IF(SUM('Base de Datos Sumaria'!J173:Q173)&lt;&gt;0,'Base de Datos Sumaria'!N173," ")</f>
        <v xml:space="preserve"> </v>
      </c>
      <c r="K176" s="10" t="str">
        <f>IF(SUM('Base de Datos Sumaria'!J173:Q173)&lt;&gt;0,'Base de Datos Sumaria'!O173," ")</f>
        <v xml:space="preserve"> </v>
      </c>
      <c r="L176" s="10" t="str">
        <f>IF(SUM('Base de Datos Sumaria'!J173:Q173)&lt;&gt;0,'Base de Datos Sumaria'!P173," ")</f>
        <v xml:space="preserve"> </v>
      </c>
      <c r="M176" s="10" t="str">
        <f>IF(SUM('Base de Datos Sumaria'!J173:Q173)&lt;&gt;0,'Base de Datos Sumaria'!Q173," ")</f>
        <v xml:space="preserve"> </v>
      </c>
      <c r="N176" s="10" t="str">
        <f>IF(SUM('Base de Datos Sumaria'!J173:Q173)&lt;&gt;0,SUM(F176:M176)," ")</f>
        <v xml:space="preserve"> </v>
      </c>
    </row>
    <row r="177" spans="1:14" s="12" customFormat="1" ht="12.95" customHeight="1" x14ac:dyDescent="0.2">
      <c r="A177" s="6" t="str">
        <f>IF(SUM('Base de Datos Sumaria'!J174:Q174)&lt;&gt;0,'Base de Datos Sumaria'!C174," ")</f>
        <v xml:space="preserve"> </v>
      </c>
      <c r="B177" s="6" t="str">
        <f>IF(SUM('Base de Datos Sumaria'!J174:Q174)&lt;&gt;0,'Base de Datos Sumaria'!D174," ")</f>
        <v xml:space="preserve"> </v>
      </c>
      <c r="C177" s="7" t="str">
        <f>IF(SUM('Base de Datos Sumaria'!J174:Q174)&lt;&gt;0,'Base de Datos Sumaria'!H174," ")</f>
        <v xml:space="preserve"> </v>
      </c>
      <c r="D177" s="8" t="str">
        <f>IF(SUM('Base de Datos Sumaria'!J174:Q174)&lt;&gt;0,'Base de Datos Maestro'!L174," ")</f>
        <v xml:space="preserve"> </v>
      </c>
      <c r="E177" s="9" t="str">
        <f>IF('Base de Datos Sumaria'!I174&lt;&gt;0,'Base de Datos Sumaria'!I174,"")</f>
        <v/>
      </c>
      <c r="F177" s="10" t="str">
        <f>IF(SUM('Base de Datos Sumaria'!J174:Q174)&lt;&gt;0,'Base de Datos Sumaria'!J174,"")</f>
        <v/>
      </c>
      <c r="G177" s="10" t="str">
        <f>IF(SUM('Base de Datos Sumaria'!J174:Q174)&lt;&gt;0,'Base de Datos Sumaria'!K174," ")</f>
        <v xml:space="preserve"> </v>
      </c>
      <c r="H177" s="10" t="str">
        <f>IF(SUM('Base de Datos Sumaria'!J174:Q174)&lt;&gt;0,'Base de Datos Sumaria'!L174," ")</f>
        <v xml:space="preserve"> </v>
      </c>
      <c r="I177" s="10" t="str">
        <f>IF(SUM('Base de Datos Sumaria'!J174:Q174)&lt;&gt;0,'Base de Datos Sumaria'!M174," ")</f>
        <v xml:space="preserve"> </v>
      </c>
      <c r="J177" s="10" t="str">
        <f>IF(SUM('Base de Datos Sumaria'!J174:Q174)&lt;&gt;0,'Base de Datos Sumaria'!N174," ")</f>
        <v xml:space="preserve"> </v>
      </c>
      <c r="K177" s="10" t="str">
        <f>IF(SUM('Base de Datos Sumaria'!J174:Q174)&lt;&gt;0,'Base de Datos Sumaria'!O174," ")</f>
        <v xml:space="preserve"> </v>
      </c>
      <c r="L177" s="10" t="str">
        <f>IF(SUM('Base de Datos Sumaria'!J174:Q174)&lt;&gt;0,'Base de Datos Sumaria'!P174," ")</f>
        <v xml:space="preserve"> </v>
      </c>
      <c r="M177" s="10" t="str">
        <f>IF(SUM('Base de Datos Sumaria'!J174:Q174)&lt;&gt;0,'Base de Datos Sumaria'!Q174," ")</f>
        <v xml:space="preserve"> </v>
      </c>
      <c r="N177" s="10" t="str">
        <f>IF(SUM('Base de Datos Sumaria'!J174:Q174)&lt;&gt;0,SUM(F177:M177)," ")</f>
        <v xml:space="preserve"> </v>
      </c>
    </row>
    <row r="178" spans="1:14" s="12" customFormat="1" ht="12.95" customHeight="1" x14ac:dyDescent="0.2">
      <c r="A178" s="6" t="str">
        <f>IF(SUM('Base de Datos Sumaria'!J175:Q175)&lt;&gt;0,'Base de Datos Sumaria'!C175," ")</f>
        <v xml:space="preserve"> </v>
      </c>
      <c r="B178" s="6" t="str">
        <f>IF(SUM('Base de Datos Sumaria'!J175:Q175)&lt;&gt;0,'Base de Datos Sumaria'!D175," ")</f>
        <v xml:space="preserve"> </v>
      </c>
      <c r="C178" s="7" t="str">
        <f>IF(SUM('Base de Datos Sumaria'!J175:Q175)&lt;&gt;0,'Base de Datos Sumaria'!H175," ")</f>
        <v xml:space="preserve"> </v>
      </c>
      <c r="D178" s="8" t="str">
        <f>IF(SUM('Base de Datos Sumaria'!J175:Q175)&lt;&gt;0,'Base de Datos Maestro'!L175," ")</f>
        <v xml:space="preserve"> </v>
      </c>
      <c r="E178" s="9" t="str">
        <f>IF('Base de Datos Sumaria'!I175&lt;&gt;0,'Base de Datos Sumaria'!I175,"")</f>
        <v/>
      </c>
      <c r="F178" s="10" t="str">
        <f>IF(SUM('Base de Datos Sumaria'!J175:Q175)&lt;&gt;0,'Base de Datos Sumaria'!J175,"")</f>
        <v/>
      </c>
      <c r="G178" s="10" t="str">
        <f>IF(SUM('Base de Datos Sumaria'!J175:Q175)&lt;&gt;0,'Base de Datos Sumaria'!K175," ")</f>
        <v xml:space="preserve"> </v>
      </c>
      <c r="H178" s="10" t="str">
        <f>IF(SUM('Base de Datos Sumaria'!J175:Q175)&lt;&gt;0,'Base de Datos Sumaria'!L175," ")</f>
        <v xml:space="preserve"> </v>
      </c>
      <c r="I178" s="10" t="str">
        <f>IF(SUM('Base de Datos Sumaria'!J175:Q175)&lt;&gt;0,'Base de Datos Sumaria'!M175," ")</f>
        <v xml:space="preserve"> </v>
      </c>
      <c r="J178" s="10" t="str">
        <f>IF(SUM('Base de Datos Sumaria'!J175:Q175)&lt;&gt;0,'Base de Datos Sumaria'!N175," ")</f>
        <v xml:space="preserve"> </v>
      </c>
      <c r="K178" s="10" t="str">
        <f>IF(SUM('Base de Datos Sumaria'!J175:Q175)&lt;&gt;0,'Base de Datos Sumaria'!O175," ")</f>
        <v xml:space="preserve"> </v>
      </c>
      <c r="L178" s="10" t="str">
        <f>IF(SUM('Base de Datos Sumaria'!J175:Q175)&lt;&gt;0,'Base de Datos Sumaria'!P175," ")</f>
        <v xml:space="preserve"> </v>
      </c>
      <c r="M178" s="10" t="str">
        <f>IF(SUM('Base de Datos Sumaria'!J175:Q175)&lt;&gt;0,'Base de Datos Sumaria'!Q175," ")</f>
        <v xml:space="preserve"> </v>
      </c>
      <c r="N178" s="10" t="str">
        <f>IF(SUM('Base de Datos Sumaria'!J175:Q175)&lt;&gt;0,SUM(F178:M178)," ")</f>
        <v xml:space="preserve"> </v>
      </c>
    </row>
    <row r="179" spans="1:14" s="12" customFormat="1" ht="12.95" customHeight="1" x14ac:dyDescent="0.2">
      <c r="A179" s="6" t="str">
        <f>IF(SUM('Base de Datos Sumaria'!J176:Q176)&lt;&gt;0,'Base de Datos Sumaria'!C176," ")</f>
        <v xml:space="preserve"> </v>
      </c>
      <c r="B179" s="6" t="str">
        <f>IF(SUM('Base de Datos Sumaria'!J176:Q176)&lt;&gt;0,'Base de Datos Sumaria'!D176," ")</f>
        <v xml:space="preserve"> </v>
      </c>
      <c r="C179" s="7" t="str">
        <f>IF(SUM('Base de Datos Sumaria'!J176:Q176)&lt;&gt;0,'Base de Datos Sumaria'!H176," ")</f>
        <v xml:space="preserve"> </v>
      </c>
      <c r="D179" s="8" t="str">
        <f>IF(SUM('Base de Datos Sumaria'!J176:Q176)&lt;&gt;0,'Base de Datos Maestro'!L176," ")</f>
        <v xml:space="preserve"> </v>
      </c>
      <c r="E179" s="9" t="str">
        <f>IF('Base de Datos Sumaria'!I176&lt;&gt;0,'Base de Datos Sumaria'!I176,"")</f>
        <v/>
      </c>
      <c r="F179" s="10" t="str">
        <f>IF(SUM('Base de Datos Sumaria'!J176:Q176)&lt;&gt;0,'Base de Datos Sumaria'!J176,"")</f>
        <v/>
      </c>
      <c r="G179" s="10" t="str">
        <f>IF(SUM('Base de Datos Sumaria'!J176:Q176)&lt;&gt;0,'Base de Datos Sumaria'!K176," ")</f>
        <v xml:space="preserve"> </v>
      </c>
      <c r="H179" s="10" t="str">
        <f>IF(SUM('Base de Datos Sumaria'!J176:Q176)&lt;&gt;0,'Base de Datos Sumaria'!L176," ")</f>
        <v xml:space="preserve"> </v>
      </c>
      <c r="I179" s="10" t="str">
        <f>IF(SUM('Base de Datos Sumaria'!J176:Q176)&lt;&gt;0,'Base de Datos Sumaria'!M176," ")</f>
        <v xml:space="preserve"> </v>
      </c>
      <c r="J179" s="10" t="str">
        <f>IF(SUM('Base de Datos Sumaria'!J176:Q176)&lt;&gt;0,'Base de Datos Sumaria'!N176," ")</f>
        <v xml:space="preserve"> </v>
      </c>
      <c r="K179" s="10" t="str">
        <f>IF(SUM('Base de Datos Sumaria'!J176:Q176)&lt;&gt;0,'Base de Datos Sumaria'!O176," ")</f>
        <v xml:space="preserve"> </v>
      </c>
      <c r="L179" s="10" t="str">
        <f>IF(SUM('Base de Datos Sumaria'!J176:Q176)&lt;&gt;0,'Base de Datos Sumaria'!P176," ")</f>
        <v xml:space="preserve"> </v>
      </c>
      <c r="M179" s="10" t="str">
        <f>IF(SUM('Base de Datos Sumaria'!J176:Q176)&lt;&gt;0,'Base de Datos Sumaria'!Q176," ")</f>
        <v xml:space="preserve"> </v>
      </c>
      <c r="N179" s="10" t="str">
        <f>IF(SUM('Base de Datos Sumaria'!J176:Q176)&lt;&gt;0,SUM(F179:M179)," ")</f>
        <v xml:space="preserve"> </v>
      </c>
    </row>
    <row r="180" spans="1:14" s="12" customFormat="1" ht="12.95" customHeight="1" x14ac:dyDescent="0.2">
      <c r="A180" s="6" t="str">
        <f>IF(SUM('Base de Datos Sumaria'!J177:Q177)&lt;&gt;0,'Base de Datos Sumaria'!C177," ")</f>
        <v xml:space="preserve"> </v>
      </c>
      <c r="B180" s="6" t="str">
        <f>IF(SUM('Base de Datos Sumaria'!J177:Q177)&lt;&gt;0,'Base de Datos Sumaria'!D177," ")</f>
        <v xml:space="preserve"> </v>
      </c>
      <c r="C180" s="7" t="str">
        <f>IF(SUM('Base de Datos Sumaria'!J177:Q177)&lt;&gt;0,'Base de Datos Sumaria'!H177," ")</f>
        <v xml:space="preserve"> </v>
      </c>
      <c r="D180" s="8" t="str">
        <f>IF(SUM('Base de Datos Sumaria'!J177:Q177)&lt;&gt;0,'Base de Datos Maestro'!L177," ")</f>
        <v xml:space="preserve"> </v>
      </c>
      <c r="E180" s="9" t="str">
        <f>IF('Base de Datos Sumaria'!I177&lt;&gt;0,'Base de Datos Sumaria'!I177,"")</f>
        <v/>
      </c>
      <c r="F180" s="10" t="str">
        <f>IF(SUM('Base de Datos Sumaria'!J177:Q177)&lt;&gt;0,'Base de Datos Sumaria'!J177,"")</f>
        <v/>
      </c>
      <c r="G180" s="10" t="str">
        <f>IF(SUM('Base de Datos Sumaria'!J177:Q177)&lt;&gt;0,'Base de Datos Sumaria'!K177," ")</f>
        <v xml:space="preserve"> </v>
      </c>
      <c r="H180" s="10" t="str">
        <f>IF(SUM('Base de Datos Sumaria'!J177:Q177)&lt;&gt;0,'Base de Datos Sumaria'!L177," ")</f>
        <v xml:space="preserve"> </v>
      </c>
      <c r="I180" s="10" t="str">
        <f>IF(SUM('Base de Datos Sumaria'!J177:Q177)&lt;&gt;0,'Base de Datos Sumaria'!M177," ")</f>
        <v xml:space="preserve"> </v>
      </c>
      <c r="J180" s="10" t="str">
        <f>IF(SUM('Base de Datos Sumaria'!J177:Q177)&lt;&gt;0,'Base de Datos Sumaria'!N177," ")</f>
        <v xml:space="preserve"> </v>
      </c>
      <c r="K180" s="10" t="str">
        <f>IF(SUM('Base de Datos Sumaria'!J177:Q177)&lt;&gt;0,'Base de Datos Sumaria'!O177," ")</f>
        <v xml:space="preserve"> </v>
      </c>
      <c r="L180" s="10" t="str">
        <f>IF(SUM('Base de Datos Sumaria'!J177:Q177)&lt;&gt;0,'Base de Datos Sumaria'!P177," ")</f>
        <v xml:space="preserve"> </v>
      </c>
      <c r="M180" s="10" t="str">
        <f>IF(SUM('Base de Datos Sumaria'!J177:Q177)&lt;&gt;0,'Base de Datos Sumaria'!Q177," ")</f>
        <v xml:space="preserve"> </v>
      </c>
      <c r="N180" s="10" t="str">
        <f>IF(SUM('Base de Datos Sumaria'!J177:Q177)&lt;&gt;0,SUM(F180:M180)," ")</f>
        <v xml:space="preserve"> </v>
      </c>
    </row>
    <row r="181" spans="1:14" s="12" customFormat="1" ht="12.95" customHeight="1" x14ac:dyDescent="0.2">
      <c r="A181" s="6" t="str">
        <f>IF(SUM('Base de Datos Sumaria'!J178:Q178)&lt;&gt;0,'Base de Datos Sumaria'!C178," ")</f>
        <v xml:space="preserve"> </v>
      </c>
      <c r="B181" s="6" t="str">
        <f>IF(SUM('Base de Datos Sumaria'!J178:Q178)&lt;&gt;0,'Base de Datos Sumaria'!D178," ")</f>
        <v xml:space="preserve"> </v>
      </c>
      <c r="C181" s="7" t="str">
        <f>IF(SUM('Base de Datos Sumaria'!J178:Q178)&lt;&gt;0,'Base de Datos Sumaria'!H178," ")</f>
        <v xml:space="preserve"> </v>
      </c>
      <c r="D181" s="8" t="str">
        <f>IF(SUM('Base de Datos Sumaria'!J178:Q178)&lt;&gt;0,'Base de Datos Maestro'!L178," ")</f>
        <v xml:space="preserve"> </v>
      </c>
      <c r="E181" s="9" t="str">
        <f>IF('Base de Datos Sumaria'!I178&lt;&gt;0,'Base de Datos Sumaria'!I178,"")</f>
        <v/>
      </c>
      <c r="F181" s="10" t="str">
        <f>IF(SUM('Base de Datos Sumaria'!J178:Q178)&lt;&gt;0,'Base de Datos Sumaria'!J178,"")</f>
        <v/>
      </c>
      <c r="G181" s="10" t="str">
        <f>IF(SUM('Base de Datos Sumaria'!J178:Q178)&lt;&gt;0,'Base de Datos Sumaria'!K178," ")</f>
        <v xml:space="preserve"> </v>
      </c>
      <c r="H181" s="10" t="str">
        <f>IF(SUM('Base de Datos Sumaria'!J178:Q178)&lt;&gt;0,'Base de Datos Sumaria'!L178," ")</f>
        <v xml:space="preserve"> </v>
      </c>
      <c r="I181" s="10" t="str">
        <f>IF(SUM('Base de Datos Sumaria'!J178:Q178)&lt;&gt;0,'Base de Datos Sumaria'!M178," ")</f>
        <v xml:space="preserve"> </v>
      </c>
      <c r="J181" s="10" t="str">
        <f>IF(SUM('Base de Datos Sumaria'!J178:Q178)&lt;&gt;0,'Base de Datos Sumaria'!N178," ")</f>
        <v xml:space="preserve"> </v>
      </c>
      <c r="K181" s="10" t="str">
        <f>IF(SUM('Base de Datos Sumaria'!J178:Q178)&lt;&gt;0,'Base de Datos Sumaria'!O178," ")</f>
        <v xml:space="preserve"> </v>
      </c>
      <c r="L181" s="10" t="str">
        <f>IF(SUM('Base de Datos Sumaria'!J178:Q178)&lt;&gt;0,'Base de Datos Sumaria'!P178," ")</f>
        <v xml:space="preserve"> </v>
      </c>
      <c r="M181" s="10" t="str">
        <f>IF(SUM('Base de Datos Sumaria'!J178:Q178)&lt;&gt;0,'Base de Datos Sumaria'!Q178," ")</f>
        <v xml:space="preserve"> </v>
      </c>
      <c r="N181" s="10" t="str">
        <f>IF(SUM('Base de Datos Sumaria'!J178:Q178)&lt;&gt;0,SUM(F181:M181)," ")</f>
        <v xml:space="preserve"> </v>
      </c>
    </row>
    <row r="182" spans="1:14" s="12" customFormat="1" ht="12.95" customHeight="1" x14ac:dyDescent="0.2">
      <c r="A182" s="6" t="str">
        <f>IF(SUM('Base de Datos Sumaria'!J179:Q179)&lt;&gt;0,'Base de Datos Sumaria'!C179," ")</f>
        <v xml:space="preserve"> </v>
      </c>
      <c r="B182" s="6" t="str">
        <f>IF(SUM('Base de Datos Sumaria'!J179:Q179)&lt;&gt;0,'Base de Datos Sumaria'!D179," ")</f>
        <v xml:space="preserve"> </v>
      </c>
      <c r="C182" s="7" t="str">
        <f>IF(SUM('Base de Datos Sumaria'!J179:Q179)&lt;&gt;0,'Base de Datos Sumaria'!H179," ")</f>
        <v xml:space="preserve"> </v>
      </c>
      <c r="D182" s="8" t="str">
        <f>IF(SUM('Base de Datos Sumaria'!J179:Q179)&lt;&gt;0,'Base de Datos Maestro'!L179," ")</f>
        <v xml:space="preserve"> </v>
      </c>
      <c r="E182" s="9" t="str">
        <f>IF('Base de Datos Sumaria'!I179&lt;&gt;0,'Base de Datos Sumaria'!I179,"")</f>
        <v/>
      </c>
      <c r="F182" s="10" t="str">
        <f>IF(SUM('Base de Datos Sumaria'!J179:Q179)&lt;&gt;0,'Base de Datos Sumaria'!J179,"")</f>
        <v/>
      </c>
      <c r="G182" s="10" t="str">
        <f>IF(SUM('Base de Datos Sumaria'!J179:Q179)&lt;&gt;0,'Base de Datos Sumaria'!K179," ")</f>
        <v xml:space="preserve"> </v>
      </c>
      <c r="H182" s="10" t="str">
        <f>IF(SUM('Base de Datos Sumaria'!J179:Q179)&lt;&gt;0,'Base de Datos Sumaria'!L179," ")</f>
        <v xml:space="preserve"> </v>
      </c>
      <c r="I182" s="10" t="str">
        <f>IF(SUM('Base de Datos Sumaria'!J179:Q179)&lt;&gt;0,'Base de Datos Sumaria'!M179," ")</f>
        <v xml:space="preserve"> </v>
      </c>
      <c r="J182" s="10" t="str">
        <f>IF(SUM('Base de Datos Sumaria'!J179:Q179)&lt;&gt;0,'Base de Datos Sumaria'!N179," ")</f>
        <v xml:space="preserve"> </v>
      </c>
      <c r="K182" s="10" t="str">
        <f>IF(SUM('Base de Datos Sumaria'!J179:Q179)&lt;&gt;0,'Base de Datos Sumaria'!O179," ")</f>
        <v xml:space="preserve"> </v>
      </c>
      <c r="L182" s="10" t="str">
        <f>IF(SUM('Base de Datos Sumaria'!J179:Q179)&lt;&gt;0,'Base de Datos Sumaria'!P179," ")</f>
        <v xml:space="preserve"> </v>
      </c>
      <c r="M182" s="10" t="str">
        <f>IF(SUM('Base de Datos Sumaria'!J179:Q179)&lt;&gt;0,'Base de Datos Sumaria'!Q179," ")</f>
        <v xml:space="preserve"> </v>
      </c>
      <c r="N182" s="10" t="str">
        <f>IF(SUM('Base de Datos Sumaria'!J179:Q179)&lt;&gt;0,SUM(F182:M182)," ")</f>
        <v xml:space="preserve"> </v>
      </c>
    </row>
    <row r="183" spans="1:14" s="12" customFormat="1" ht="12.95" customHeight="1" x14ac:dyDescent="0.2">
      <c r="A183" s="6" t="str">
        <f>IF(SUM('Base de Datos Sumaria'!J180:Q180)&lt;&gt;0,'Base de Datos Sumaria'!C180," ")</f>
        <v xml:space="preserve"> </v>
      </c>
      <c r="B183" s="6" t="str">
        <f>IF(SUM('Base de Datos Sumaria'!J180:Q180)&lt;&gt;0,'Base de Datos Sumaria'!D180," ")</f>
        <v xml:space="preserve"> </v>
      </c>
      <c r="C183" s="7" t="str">
        <f>IF(SUM('Base de Datos Sumaria'!J180:Q180)&lt;&gt;0,'Base de Datos Sumaria'!H180," ")</f>
        <v xml:space="preserve"> </v>
      </c>
      <c r="D183" s="8" t="str">
        <f>IF(SUM('Base de Datos Sumaria'!J180:Q180)&lt;&gt;0,'Base de Datos Maestro'!L180," ")</f>
        <v xml:space="preserve"> </v>
      </c>
      <c r="E183" s="9" t="str">
        <f>IF('Base de Datos Sumaria'!I180&lt;&gt;0,'Base de Datos Sumaria'!I180,"")</f>
        <v/>
      </c>
      <c r="F183" s="10" t="str">
        <f>IF(SUM('Base de Datos Sumaria'!J180:Q180)&lt;&gt;0,'Base de Datos Sumaria'!J180,"")</f>
        <v/>
      </c>
      <c r="G183" s="10" t="str">
        <f>IF(SUM('Base de Datos Sumaria'!J180:Q180)&lt;&gt;0,'Base de Datos Sumaria'!K180," ")</f>
        <v xml:space="preserve"> </v>
      </c>
      <c r="H183" s="10" t="str">
        <f>IF(SUM('Base de Datos Sumaria'!J180:Q180)&lt;&gt;0,'Base de Datos Sumaria'!L180," ")</f>
        <v xml:space="preserve"> </v>
      </c>
      <c r="I183" s="10" t="str">
        <f>IF(SUM('Base de Datos Sumaria'!J180:Q180)&lt;&gt;0,'Base de Datos Sumaria'!M180," ")</f>
        <v xml:space="preserve"> </v>
      </c>
      <c r="J183" s="10" t="str">
        <f>IF(SUM('Base de Datos Sumaria'!J180:Q180)&lt;&gt;0,'Base de Datos Sumaria'!N180," ")</f>
        <v xml:space="preserve"> </v>
      </c>
      <c r="K183" s="10" t="str">
        <f>IF(SUM('Base de Datos Sumaria'!J180:Q180)&lt;&gt;0,'Base de Datos Sumaria'!O180," ")</f>
        <v xml:space="preserve"> </v>
      </c>
      <c r="L183" s="10" t="str">
        <f>IF(SUM('Base de Datos Sumaria'!J180:Q180)&lt;&gt;0,'Base de Datos Sumaria'!P180," ")</f>
        <v xml:space="preserve"> </v>
      </c>
      <c r="M183" s="10" t="str">
        <f>IF(SUM('Base de Datos Sumaria'!J180:Q180)&lt;&gt;0,'Base de Datos Sumaria'!Q180," ")</f>
        <v xml:space="preserve"> </v>
      </c>
      <c r="N183" s="10" t="str">
        <f>IF(SUM('Base de Datos Sumaria'!J180:Q180)&lt;&gt;0,SUM(F183:M183)," ")</f>
        <v xml:space="preserve"> </v>
      </c>
    </row>
    <row r="184" spans="1:14" s="12" customFormat="1" ht="12.95" customHeight="1" x14ac:dyDescent="0.2">
      <c r="A184" s="6" t="str">
        <f>IF(SUM('Base de Datos Sumaria'!J181:Q181)&lt;&gt;0,'Base de Datos Sumaria'!C181," ")</f>
        <v xml:space="preserve"> </v>
      </c>
      <c r="B184" s="6" t="str">
        <f>IF(SUM('Base de Datos Sumaria'!J181:Q181)&lt;&gt;0,'Base de Datos Sumaria'!D181," ")</f>
        <v xml:space="preserve"> </v>
      </c>
      <c r="C184" s="7" t="str">
        <f>IF(SUM('Base de Datos Sumaria'!J181:Q181)&lt;&gt;0,'Base de Datos Sumaria'!H181," ")</f>
        <v xml:space="preserve"> </v>
      </c>
      <c r="D184" s="8" t="str">
        <f>IF(SUM('Base de Datos Sumaria'!J181:Q181)&lt;&gt;0,'Base de Datos Maestro'!L181," ")</f>
        <v xml:space="preserve"> </v>
      </c>
      <c r="E184" s="9" t="str">
        <f>IF('Base de Datos Sumaria'!I181&lt;&gt;0,'Base de Datos Sumaria'!I181,"")</f>
        <v/>
      </c>
      <c r="F184" s="10" t="str">
        <f>IF(SUM('Base de Datos Sumaria'!J181:Q181)&lt;&gt;0,'Base de Datos Sumaria'!J181,"")</f>
        <v/>
      </c>
      <c r="G184" s="10" t="str">
        <f>IF(SUM('Base de Datos Sumaria'!J181:Q181)&lt;&gt;0,'Base de Datos Sumaria'!K181," ")</f>
        <v xml:space="preserve"> </v>
      </c>
      <c r="H184" s="10" t="str">
        <f>IF(SUM('Base de Datos Sumaria'!J181:Q181)&lt;&gt;0,'Base de Datos Sumaria'!L181," ")</f>
        <v xml:space="preserve"> </v>
      </c>
      <c r="I184" s="10" t="str">
        <f>IF(SUM('Base de Datos Sumaria'!J181:Q181)&lt;&gt;0,'Base de Datos Sumaria'!M181," ")</f>
        <v xml:space="preserve"> </v>
      </c>
      <c r="J184" s="10" t="str">
        <f>IF(SUM('Base de Datos Sumaria'!J181:Q181)&lt;&gt;0,'Base de Datos Sumaria'!N181," ")</f>
        <v xml:space="preserve"> </v>
      </c>
      <c r="K184" s="10" t="str">
        <f>IF(SUM('Base de Datos Sumaria'!J181:Q181)&lt;&gt;0,'Base de Datos Sumaria'!O181," ")</f>
        <v xml:space="preserve"> </v>
      </c>
      <c r="L184" s="10" t="str">
        <f>IF(SUM('Base de Datos Sumaria'!J181:Q181)&lt;&gt;0,'Base de Datos Sumaria'!P181," ")</f>
        <v xml:space="preserve"> </v>
      </c>
      <c r="M184" s="10" t="str">
        <f>IF(SUM('Base de Datos Sumaria'!J181:Q181)&lt;&gt;0,'Base de Datos Sumaria'!Q181," ")</f>
        <v xml:space="preserve"> </v>
      </c>
      <c r="N184" s="10" t="str">
        <f>IF(SUM('Base de Datos Sumaria'!J181:Q181)&lt;&gt;0,SUM(F184:M184)," ")</f>
        <v xml:space="preserve"> </v>
      </c>
    </row>
    <row r="185" spans="1:14" s="12" customFormat="1" ht="12.95" customHeight="1" x14ac:dyDescent="0.2">
      <c r="A185" s="6" t="str">
        <f>IF(SUM('Base de Datos Sumaria'!J182:Q182)&lt;&gt;0,'Base de Datos Sumaria'!C182," ")</f>
        <v xml:space="preserve"> </v>
      </c>
      <c r="B185" s="6" t="str">
        <f>IF(SUM('Base de Datos Sumaria'!J182:Q182)&lt;&gt;0,'Base de Datos Sumaria'!D182," ")</f>
        <v xml:space="preserve"> </v>
      </c>
      <c r="C185" s="7" t="str">
        <f>IF(SUM('Base de Datos Sumaria'!J182:Q182)&lt;&gt;0,'Base de Datos Sumaria'!H182," ")</f>
        <v xml:space="preserve"> </v>
      </c>
      <c r="D185" s="8" t="str">
        <f>IF(SUM('Base de Datos Sumaria'!J182:Q182)&lt;&gt;0,'Base de Datos Maestro'!L182," ")</f>
        <v xml:space="preserve"> </v>
      </c>
      <c r="E185" s="9" t="str">
        <f>IF('Base de Datos Sumaria'!I182&lt;&gt;0,'Base de Datos Sumaria'!I182,"")</f>
        <v/>
      </c>
      <c r="F185" s="10" t="str">
        <f>IF(SUM('Base de Datos Sumaria'!J182:Q182)&lt;&gt;0,'Base de Datos Sumaria'!J182,"")</f>
        <v/>
      </c>
      <c r="G185" s="10" t="str">
        <f>IF(SUM('Base de Datos Sumaria'!J182:Q182)&lt;&gt;0,'Base de Datos Sumaria'!K182," ")</f>
        <v xml:space="preserve"> </v>
      </c>
      <c r="H185" s="10" t="str">
        <f>IF(SUM('Base de Datos Sumaria'!J182:Q182)&lt;&gt;0,'Base de Datos Sumaria'!L182," ")</f>
        <v xml:space="preserve"> </v>
      </c>
      <c r="I185" s="10" t="str">
        <f>IF(SUM('Base de Datos Sumaria'!J182:Q182)&lt;&gt;0,'Base de Datos Sumaria'!M182," ")</f>
        <v xml:space="preserve"> </v>
      </c>
      <c r="J185" s="10" t="str">
        <f>IF(SUM('Base de Datos Sumaria'!J182:Q182)&lt;&gt;0,'Base de Datos Sumaria'!N182," ")</f>
        <v xml:space="preserve"> </v>
      </c>
      <c r="K185" s="10" t="str">
        <f>IF(SUM('Base de Datos Sumaria'!J182:Q182)&lt;&gt;0,'Base de Datos Sumaria'!O182," ")</f>
        <v xml:space="preserve"> </v>
      </c>
      <c r="L185" s="10" t="str">
        <f>IF(SUM('Base de Datos Sumaria'!J182:Q182)&lt;&gt;0,'Base de Datos Sumaria'!P182," ")</f>
        <v xml:space="preserve"> </v>
      </c>
      <c r="M185" s="10" t="str">
        <f>IF(SUM('Base de Datos Sumaria'!J182:Q182)&lt;&gt;0,'Base de Datos Sumaria'!Q182," ")</f>
        <v xml:space="preserve"> </v>
      </c>
      <c r="N185" s="10" t="str">
        <f>IF(SUM('Base de Datos Sumaria'!J182:Q182)&lt;&gt;0,SUM(F185:M185)," ")</f>
        <v xml:space="preserve"> </v>
      </c>
    </row>
    <row r="186" spans="1:14" s="12" customFormat="1" ht="12.95" customHeight="1" x14ac:dyDescent="0.2">
      <c r="A186" s="6" t="str">
        <f>IF(SUM('Base de Datos Sumaria'!J183:Q183)&lt;&gt;0,'Base de Datos Sumaria'!C183," ")</f>
        <v xml:space="preserve"> </v>
      </c>
      <c r="B186" s="6" t="str">
        <f>IF(SUM('Base de Datos Sumaria'!J183:Q183)&lt;&gt;0,'Base de Datos Sumaria'!D183," ")</f>
        <v xml:space="preserve"> </v>
      </c>
      <c r="C186" s="7" t="str">
        <f>IF(SUM('Base de Datos Sumaria'!J183:Q183)&lt;&gt;0,'Base de Datos Sumaria'!H183," ")</f>
        <v xml:space="preserve"> </v>
      </c>
      <c r="D186" s="8" t="str">
        <f>IF(SUM('Base de Datos Sumaria'!J183:Q183)&lt;&gt;0,'Base de Datos Maestro'!L183," ")</f>
        <v xml:space="preserve"> </v>
      </c>
      <c r="E186" s="9" t="str">
        <f>IF('Base de Datos Sumaria'!I183&lt;&gt;0,'Base de Datos Sumaria'!I183,"")</f>
        <v/>
      </c>
      <c r="F186" s="10" t="str">
        <f>IF(SUM('Base de Datos Sumaria'!J183:Q183)&lt;&gt;0,'Base de Datos Sumaria'!J183,"")</f>
        <v/>
      </c>
      <c r="G186" s="10" t="str">
        <f>IF(SUM('Base de Datos Sumaria'!J183:Q183)&lt;&gt;0,'Base de Datos Sumaria'!K183," ")</f>
        <v xml:space="preserve"> </v>
      </c>
      <c r="H186" s="10" t="str">
        <f>IF(SUM('Base de Datos Sumaria'!J183:Q183)&lt;&gt;0,'Base de Datos Sumaria'!L183," ")</f>
        <v xml:space="preserve"> </v>
      </c>
      <c r="I186" s="10" t="str">
        <f>IF(SUM('Base de Datos Sumaria'!J183:Q183)&lt;&gt;0,'Base de Datos Sumaria'!M183," ")</f>
        <v xml:space="preserve"> </v>
      </c>
      <c r="J186" s="10" t="str">
        <f>IF(SUM('Base de Datos Sumaria'!J183:Q183)&lt;&gt;0,'Base de Datos Sumaria'!N183," ")</f>
        <v xml:space="preserve"> </v>
      </c>
      <c r="K186" s="10" t="str">
        <f>IF(SUM('Base de Datos Sumaria'!J183:Q183)&lt;&gt;0,'Base de Datos Sumaria'!O183," ")</f>
        <v xml:space="preserve"> </v>
      </c>
      <c r="L186" s="10" t="str">
        <f>IF(SUM('Base de Datos Sumaria'!J183:Q183)&lt;&gt;0,'Base de Datos Sumaria'!P183," ")</f>
        <v xml:space="preserve"> </v>
      </c>
      <c r="M186" s="10" t="str">
        <f>IF(SUM('Base de Datos Sumaria'!J183:Q183)&lt;&gt;0,'Base de Datos Sumaria'!Q183," ")</f>
        <v xml:space="preserve"> </v>
      </c>
      <c r="N186" s="10" t="str">
        <f>IF(SUM('Base de Datos Sumaria'!J183:Q183)&lt;&gt;0,SUM(F186:M186)," ")</f>
        <v xml:space="preserve"> </v>
      </c>
    </row>
    <row r="187" spans="1:14" s="12" customFormat="1" ht="12.95" customHeight="1" x14ac:dyDescent="0.2">
      <c r="A187" s="6" t="str">
        <f>IF(SUM('Base de Datos Sumaria'!J184:Q184)&lt;&gt;0,'Base de Datos Sumaria'!C184," ")</f>
        <v xml:space="preserve"> </v>
      </c>
      <c r="B187" s="6" t="str">
        <f>IF(SUM('Base de Datos Sumaria'!J184:Q184)&lt;&gt;0,'Base de Datos Sumaria'!D184," ")</f>
        <v xml:space="preserve"> </v>
      </c>
      <c r="C187" s="7" t="str">
        <f>IF(SUM('Base de Datos Sumaria'!J184:Q184)&lt;&gt;0,'Base de Datos Sumaria'!H184," ")</f>
        <v xml:space="preserve"> </v>
      </c>
      <c r="D187" s="8" t="str">
        <f>IF(SUM('Base de Datos Sumaria'!J184:Q184)&lt;&gt;0,'Base de Datos Maestro'!L184," ")</f>
        <v xml:space="preserve"> </v>
      </c>
      <c r="E187" s="9" t="str">
        <f>IF('Base de Datos Sumaria'!I184&lt;&gt;0,'Base de Datos Sumaria'!I184,"")</f>
        <v/>
      </c>
      <c r="F187" s="10" t="str">
        <f>IF(SUM('Base de Datos Sumaria'!J184:Q184)&lt;&gt;0,'Base de Datos Sumaria'!J184,"")</f>
        <v/>
      </c>
      <c r="G187" s="10" t="str">
        <f>IF(SUM('Base de Datos Sumaria'!J184:Q184)&lt;&gt;0,'Base de Datos Sumaria'!K184," ")</f>
        <v xml:space="preserve"> </v>
      </c>
      <c r="H187" s="10" t="str">
        <f>IF(SUM('Base de Datos Sumaria'!J184:Q184)&lt;&gt;0,'Base de Datos Sumaria'!L184," ")</f>
        <v xml:space="preserve"> </v>
      </c>
      <c r="I187" s="10" t="str">
        <f>IF(SUM('Base de Datos Sumaria'!J184:Q184)&lt;&gt;0,'Base de Datos Sumaria'!M184," ")</f>
        <v xml:space="preserve"> </v>
      </c>
      <c r="J187" s="10" t="str">
        <f>IF(SUM('Base de Datos Sumaria'!J184:Q184)&lt;&gt;0,'Base de Datos Sumaria'!N184," ")</f>
        <v xml:space="preserve"> </v>
      </c>
      <c r="K187" s="10" t="str">
        <f>IF(SUM('Base de Datos Sumaria'!J184:Q184)&lt;&gt;0,'Base de Datos Sumaria'!O184," ")</f>
        <v xml:space="preserve"> </v>
      </c>
      <c r="L187" s="10" t="str">
        <f>IF(SUM('Base de Datos Sumaria'!J184:Q184)&lt;&gt;0,'Base de Datos Sumaria'!P184," ")</f>
        <v xml:space="preserve"> </v>
      </c>
      <c r="M187" s="10" t="str">
        <f>IF(SUM('Base de Datos Sumaria'!J184:Q184)&lt;&gt;0,'Base de Datos Sumaria'!Q184," ")</f>
        <v xml:space="preserve"> </v>
      </c>
      <c r="N187" s="10" t="str">
        <f>IF(SUM('Base de Datos Sumaria'!J184:Q184)&lt;&gt;0,SUM(F187:M187)," ")</f>
        <v xml:space="preserve"> </v>
      </c>
    </row>
    <row r="188" spans="1:14" s="12" customFormat="1" ht="12.95" customHeight="1" x14ac:dyDescent="0.2">
      <c r="A188" s="6" t="str">
        <f>IF(SUM('Base de Datos Sumaria'!J185:Q185)&lt;&gt;0,'Base de Datos Sumaria'!C185," ")</f>
        <v xml:space="preserve"> </v>
      </c>
      <c r="B188" s="6" t="str">
        <f>IF(SUM('Base de Datos Sumaria'!J185:Q185)&lt;&gt;0,'Base de Datos Sumaria'!D185," ")</f>
        <v xml:space="preserve"> </v>
      </c>
      <c r="C188" s="7" t="str">
        <f>IF(SUM('Base de Datos Sumaria'!J185:Q185)&lt;&gt;0,'Base de Datos Sumaria'!H185," ")</f>
        <v xml:space="preserve"> </v>
      </c>
      <c r="D188" s="8" t="str">
        <f>IF(SUM('Base de Datos Sumaria'!J185:Q185)&lt;&gt;0,'Base de Datos Maestro'!L185," ")</f>
        <v xml:space="preserve"> </v>
      </c>
      <c r="E188" s="9" t="str">
        <f>IF('Base de Datos Sumaria'!I185&lt;&gt;0,'Base de Datos Sumaria'!I185,"")</f>
        <v/>
      </c>
      <c r="F188" s="10" t="str">
        <f>IF(SUM('Base de Datos Sumaria'!J185:Q185)&lt;&gt;0,'Base de Datos Sumaria'!J185,"")</f>
        <v/>
      </c>
      <c r="G188" s="10" t="str">
        <f>IF(SUM('Base de Datos Sumaria'!J185:Q185)&lt;&gt;0,'Base de Datos Sumaria'!K185," ")</f>
        <v xml:space="preserve"> </v>
      </c>
      <c r="H188" s="10" t="str">
        <f>IF(SUM('Base de Datos Sumaria'!J185:Q185)&lt;&gt;0,'Base de Datos Sumaria'!L185," ")</f>
        <v xml:space="preserve"> </v>
      </c>
      <c r="I188" s="10" t="str">
        <f>IF(SUM('Base de Datos Sumaria'!J185:Q185)&lt;&gt;0,'Base de Datos Sumaria'!M185," ")</f>
        <v xml:space="preserve"> </v>
      </c>
      <c r="J188" s="10" t="str">
        <f>IF(SUM('Base de Datos Sumaria'!J185:Q185)&lt;&gt;0,'Base de Datos Sumaria'!N185," ")</f>
        <v xml:space="preserve"> </v>
      </c>
      <c r="K188" s="10" t="str">
        <f>IF(SUM('Base de Datos Sumaria'!J185:Q185)&lt;&gt;0,'Base de Datos Sumaria'!O185," ")</f>
        <v xml:space="preserve"> </v>
      </c>
      <c r="L188" s="10" t="str">
        <f>IF(SUM('Base de Datos Sumaria'!J185:Q185)&lt;&gt;0,'Base de Datos Sumaria'!P185," ")</f>
        <v xml:space="preserve"> </v>
      </c>
      <c r="M188" s="10" t="str">
        <f>IF(SUM('Base de Datos Sumaria'!J185:Q185)&lt;&gt;0,'Base de Datos Sumaria'!Q185," ")</f>
        <v xml:space="preserve"> </v>
      </c>
      <c r="N188" s="10" t="str">
        <f>IF(SUM('Base de Datos Sumaria'!J185:Q185)&lt;&gt;0,SUM(F188:M188)," ")</f>
        <v xml:space="preserve"> </v>
      </c>
    </row>
    <row r="189" spans="1:14" s="12" customFormat="1" ht="12.95" customHeight="1" x14ac:dyDescent="0.2">
      <c r="A189" s="6" t="str">
        <f>IF(SUM('Base de Datos Sumaria'!J186:Q186)&lt;&gt;0,'Base de Datos Sumaria'!C186," ")</f>
        <v xml:space="preserve"> </v>
      </c>
      <c r="B189" s="6" t="str">
        <f>IF(SUM('Base de Datos Sumaria'!J186:Q186)&lt;&gt;0,'Base de Datos Sumaria'!D186," ")</f>
        <v xml:space="preserve"> </v>
      </c>
      <c r="C189" s="7" t="str">
        <f>IF(SUM('Base de Datos Sumaria'!J186:Q186)&lt;&gt;0,'Base de Datos Sumaria'!H186," ")</f>
        <v xml:space="preserve"> </v>
      </c>
      <c r="D189" s="8" t="str">
        <f>IF(SUM('Base de Datos Sumaria'!J186:Q186)&lt;&gt;0,'Base de Datos Maestro'!L186," ")</f>
        <v xml:space="preserve"> </v>
      </c>
      <c r="E189" s="9" t="str">
        <f>IF('Base de Datos Sumaria'!I186&lt;&gt;0,'Base de Datos Sumaria'!I186,"")</f>
        <v/>
      </c>
      <c r="F189" s="10" t="str">
        <f>IF(SUM('Base de Datos Sumaria'!J186:Q186)&lt;&gt;0,'Base de Datos Sumaria'!J186,"")</f>
        <v/>
      </c>
      <c r="G189" s="10" t="str">
        <f>IF(SUM('Base de Datos Sumaria'!J186:Q186)&lt;&gt;0,'Base de Datos Sumaria'!K186," ")</f>
        <v xml:space="preserve"> </v>
      </c>
      <c r="H189" s="10" t="str">
        <f>IF(SUM('Base de Datos Sumaria'!J186:Q186)&lt;&gt;0,'Base de Datos Sumaria'!L186," ")</f>
        <v xml:space="preserve"> </v>
      </c>
      <c r="I189" s="10" t="str">
        <f>IF(SUM('Base de Datos Sumaria'!J186:Q186)&lt;&gt;0,'Base de Datos Sumaria'!M186," ")</f>
        <v xml:space="preserve"> </v>
      </c>
      <c r="J189" s="10" t="str">
        <f>IF(SUM('Base de Datos Sumaria'!J186:Q186)&lt;&gt;0,'Base de Datos Sumaria'!N186," ")</f>
        <v xml:space="preserve"> </v>
      </c>
      <c r="K189" s="10" t="str">
        <f>IF(SUM('Base de Datos Sumaria'!J186:Q186)&lt;&gt;0,'Base de Datos Sumaria'!O186," ")</f>
        <v xml:space="preserve"> </v>
      </c>
      <c r="L189" s="10" t="str">
        <f>IF(SUM('Base de Datos Sumaria'!J186:Q186)&lt;&gt;0,'Base de Datos Sumaria'!P186," ")</f>
        <v xml:space="preserve"> </v>
      </c>
      <c r="M189" s="10" t="str">
        <f>IF(SUM('Base de Datos Sumaria'!J186:Q186)&lt;&gt;0,'Base de Datos Sumaria'!Q186," ")</f>
        <v xml:space="preserve"> </v>
      </c>
      <c r="N189" s="10" t="str">
        <f>IF(SUM('Base de Datos Sumaria'!J186:Q186)&lt;&gt;0,SUM(F189:M189)," ")</f>
        <v xml:space="preserve"> </v>
      </c>
    </row>
    <row r="190" spans="1:14" s="12" customFormat="1" ht="12.95" customHeight="1" x14ac:dyDescent="0.2">
      <c r="A190" s="6" t="str">
        <f>IF(SUM('Base de Datos Sumaria'!J187:Q187)&lt;&gt;0,'Base de Datos Sumaria'!C187," ")</f>
        <v xml:space="preserve"> </v>
      </c>
      <c r="B190" s="6" t="str">
        <f>IF(SUM('Base de Datos Sumaria'!J187:Q187)&lt;&gt;0,'Base de Datos Sumaria'!D187," ")</f>
        <v xml:space="preserve"> </v>
      </c>
      <c r="C190" s="7" t="str">
        <f>IF(SUM('Base de Datos Sumaria'!J187:Q187)&lt;&gt;0,'Base de Datos Sumaria'!H187," ")</f>
        <v xml:space="preserve"> </v>
      </c>
      <c r="D190" s="8" t="str">
        <f>IF(SUM('Base de Datos Sumaria'!J187:Q187)&lt;&gt;0,'Base de Datos Maestro'!L187," ")</f>
        <v xml:space="preserve"> </v>
      </c>
      <c r="E190" s="9" t="str">
        <f>IF('Base de Datos Sumaria'!I187&lt;&gt;0,'Base de Datos Sumaria'!I187,"")</f>
        <v/>
      </c>
      <c r="F190" s="10" t="str">
        <f>IF(SUM('Base de Datos Sumaria'!J187:Q187)&lt;&gt;0,'Base de Datos Sumaria'!J187,"")</f>
        <v/>
      </c>
      <c r="G190" s="10" t="str">
        <f>IF(SUM('Base de Datos Sumaria'!J187:Q187)&lt;&gt;0,'Base de Datos Sumaria'!K187," ")</f>
        <v xml:space="preserve"> </v>
      </c>
      <c r="H190" s="10" t="str">
        <f>IF(SUM('Base de Datos Sumaria'!J187:Q187)&lt;&gt;0,'Base de Datos Sumaria'!L187," ")</f>
        <v xml:space="preserve"> </v>
      </c>
      <c r="I190" s="10" t="str">
        <f>IF(SUM('Base de Datos Sumaria'!J187:Q187)&lt;&gt;0,'Base de Datos Sumaria'!M187," ")</f>
        <v xml:space="preserve"> </v>
      </c>
      <c r="J190" s="10" t="str">
        <f>IF(SUM('Base de Datos Sumaria'!J187:Q187)&lt;&gt;0,'Base de Datos Sumaria'!N187," ")</f>
        <v xml:space="preserve"> </v>
      </c>
      <c r="K190" s="10" t="str">
        <f>IF(SUM('Base de Datos Sumaria'!J187:Q187)&lt;&gt;0,'Base de Datos Sumaria'!O187," ")</f>
        <v xml:space="preserve"> </v>
      </c>
      <c r="L190" s="10" t="str">
        <f>IF(SUM('Base de Datos Sumaria'!J187:Q187)&lt;&gt;0,'Base de Datos Sumaria'!P187," ")</f>
        <v xml:space="preserve"> </v>
      </c>
      <c r="M190" s="10" t="str">
        <f>IF(SUM('Base de Datos Sumaria'!J187:Q187)&lt;&gt;0,'Base de Datos Sumaria'!Q187," ")</f>
        <v xml:space="preserve"> </v>
      </c>
      <c r="N190" s="10" t="str">
        <f>IF(SUM('Base de Datos Sumaria'!J187:Q187)&lt;&gt;0,SUM(F190:M190)," ")</f>
        <v xml:space="preserve"> </v>
      </c>
    </row>
    <row r="191" spans="1:14" s="12" customFormat="1" ht="12.95" customHeight="1" x14ac:dyDescent="0.2">
      <c r="A191" s="6" t="str">
        <f>IF(SUM('Base de Datos Sumaria'!J188:Q188)&lt;&gt;0,'Base de Datos Sumaria'!C188," ")</f>
        <v xml:space="preserve"> </v>
      </c>
      <c r="B191" s="6" t="str">
        <f>IF(SUM('Base de Datos Sumaria'!J188:Q188)&lt;&gt;0,'Base de Datos Sumaria'!D188," ")</f>
        <v xml:space="preserve"> </v>
      </c>
      <c r="C191" s="7" t="str">
        <f>IF(SUM('Base de Datos Sumaria'!J188:Q188)&lt;&gt;0,'Base de Datos Sumaria'!H188," ")</f>
        <v xml:space="preserve"> </v>
      </c>
      <c r="D191" s="8" t="str">
        <f>IF(SUM('Base de Datos Sumaria'!J188:Q188)&lt;&gt;0,'Base de Datos Maestro'!L188," ")</f>
        <v xml:space="preserve"> </v>
      </c>
      <c r="E191" s="9" t="str">
        <f>IF('Base de Datos Sumaria'!I188&lt;&gt;0,'Base de Datos Sumaria'!I188,"")</f>
        <v/>
      </c>
      <c r="F191" s="10" t="str">
        <f>IF(SUM('Base de Datos Sumaria'!J188:Q188)&lt;&gt;0,'Base de Datos Sumaria'!J188,"")</f>
        <v/>
      </c>
      <c r="G191" s="10" t="str">
        <f>IF(SUM('Base de Datos Sumaria'!J188:Q188)&lt;&gt;0,'Base de Datos Sumaria'!K188," ")</f>
        <v xml:space="preserve"> </v>
      </c>
      <c r="H191" s="10" t="str">
        <f>IF(SUM('Base de Datos Sumaria'!J188:Q188)&lt;&gt;0,'Base de Datos Sumaria'!L188," ")</f>
        <v xml:space="preserve"> </v>
      </c>
      <c r="I191" s="10" t="str">
        <f>IF(SUM('Base de Datos Sumaria'!J188:Q188)&lt;&gt;0,'Base de Datos Sumaria'!M188," ")</f>
        <v xml:space="preserve"> </v>
      </c>
      <c r="J191" s="10" t="str">
        <f>IF(SUM('Base de Datos Sumaria'!J188:Q188)&lt;&gt;0,'Base de Datos Sumaria'!N188," ")</f>
        <v xml:space="preserve"> </v>
      </c>
      <c r="K191" s="10" t="str">
        <f>IF(SUM('Base de Datos Sumaria'!J188:Q188)&lt;&gt;0,'Base de Datos Sumaria'!O188," ")</f>
        <v xml:space="preserve"> </v>
      </c>
      <c r="L191" s="10" t="str">
        <f>IF(SUM('Base de Datos Sumaria'!J188:Q188)&lt;&gt;0,'Base de Datos Sumaria'!P188," ")</f>
        <v xml:space="preserve"> </v>
      </c>
      <c r="M191" s="10" t="str">
        <f>IF(SUM('Base de Datos Sumaria'!J188:Q188)&lt;&gt;0,'Base de Datos Sumaria'!Q188," ")</f>
        <v xml:space="preserve"> </v>
      </c>
      <c r="N191" s="10" t="str">
        <f>IF(SUM('Base de Datos Sumaria'!J188:Q188)&lt;&gt;0,SUM(F191:M191)," ")</f>
        <v xml:space="preserve"> </v>
      </c>
    </row>
    <row r="192" spans="1:14" s="12" customFormat="1" ht="12.95" customHeight="1" x14ac:dyDescent="0.2">
      <c r="A192" s="6" t="str">
        <f>IF(SUM('Base de Datos Sumaria'!J189:Q189)&lt;&gt;0,'Base de Datos Sumaria'!C189," ")</f>
        <v xml:space="preserve"> </v>
      </c>
      <c r="B192" s="6" t="str">
        <f>IF(SUM('Base de Datos Sumaria'!J189:Q189)&lt;&gt;0,'Base de Datos Sumaria'!D189," ")</f>
        <v xml:space="preserve"> </v>
      </c>
      <c r="C192" s="7" t="str">
        <f>IF(SUM('Base de Datos Sumaria'!J189:Q189)&lt;&gt;0,'Base de Datos Sumaria'!H189," ")</f>
        <v xml:space="preserve"> </v>
      </c>
      <c r="D192" s="8" t="str">
        <f>IF(SUM('Base de Datos Sumaria'!J189:Q189)&lt;&gt;0,'Base de Datos Maestro'!L189," ")</f>
        <v xml:space="preserve"> </v>
      </c>
      <c r="E192" s="9" t="str">
        <f>IF('Base de Datos Sumaria'!I189&lt;&gt;0,'Base de Datos Sumaria'!I189,"")</f>
        <v/>
      </c>
      <c r="F192" s="10" t="str">
        <f>IF(SUM('Base de Datos Sumaria'!J189:Q189)&lt;&gt;0,'Base de Datos Sumaria'!J189,"")</f>
        <v/>
      </c>
      <c r="G192" s="10" t="str">
        <f>IF(SUM('Base de Datos Sumaria'!J189:Q189)&lt;&gt;0,'Base de Datos Sumaria'!K189," ")</f>
        <v xml:space="preserve"> </v>
      </c>
      <c r="H192" s="10" t="str">
        <f>IF(SUM('Base de Datos Sumaria'!J189:Q189)&lt;&gt;0,'Base de Datos Sumaria'!L189," ")</f>
        <v xml:space="preserve"> </v>
      </c>
      <c r="I192" s="10" t="str">
        <f>IF(SUM('Base de Datos Sumaria'!J189:Q189)&lt;&gt;0,'Base de Datos Sumaria'!M189," ")</f>
        <v xml:space="preserve"> </v>
      </c>
      <c r="J192" s="10" t="str">
        <f>IF(SUM('Base de Datos Sumaria'!J189:Q189)&lt;&gt;0,'Base de Datos Sumaria'!N189," ")</f>
        <v xml:space="preserve"> </v>
      </c>
      <c r="K192" s="10" t="str">
        <f>IF(SUM('Base de Datos Sumaria'!J189:Q189)&lt;&gt;0,'Base de Datos Sumaria'!O189," ")</f>
        <v xml:space="preserve"> </v>
      </c>
      <c r="L192" s="10" t="str">
        <f>IF(SUM('Base de Datos Sumaria'!J189:Q189)&lt;&gt;0,'Base de Datos Sumaria'!P189," ")</f>
        <v xml:space="preserve"> </v>
      </c>
      <c r="M192" s="10" t="str">
        <f>IF(SUM('Base de Datos Sumaria'!J189:Q189)&lt;&gt;0,'Base de Datos Sumaria'!Q189," ")</f>
        <v xml:space="preserve"> </v>
      </c>
      <c r="N192" s="10" t="str">
        <f>IF(SUM('Base de Datos Sumaria'!J189:Q189)&lt;&gt;0,SUM(F192:M192)," ")</f>
        <v xml:space="preserve"> </v>
      </c>
    </row>
    <row r="193" spans="1:14" s="12" customFormat="1" ht="12.95" customHeight="1" x14ac:dyDescent="0.2">
      <c r="A193" s="6" t="str">
        <f>IF(SUM('Base de Datos Sumaria'!J190:Q190)&lt;&gt;0,'Base de Datos Sumaria'!C190," ")</f>
        <v xml:space="preserve"> </v>
      </c>
      <c r="B193" s="6" t="str">
        <f>IF(SUM('Base de Datos Sumaria'!J190:Q190)&lt;&gt;0,'Base de Datos Sumaria'!D190," ")</f>
        <v xml:space="preserve"> </v>
      </c>
      <c r="C193" s="7" t="str">
        <f>IF(SUM('Base de Datos Sumaria'!J190:Q190)&lt;&gt;0,'Base de Datos Sumaria'!H190," ")</f>
        <v xml:space="preserve"> </v>
      </c>
      <c r="D193" s="8" t="str">
        <f>IF(SUM('Base de Datos Sumaria'!J190:Q190)&lt;&gt;0,'Base de Datos Maestro'!L190," ")</f>
        <v xml:space="preserve"> </v>
      </c>
      <c r="E193" s="9" t="str">
        <f>IF('Base de Datos Sumaria'!I190&lt;&gt;0,'Base de Datos Sumaria'!I190,"")</f>
        <v/>
      </c>
      <c r="F193" s="10" t="str">
        <f>IF(SUM('Base de Datos Sumaria'!J190:Q190)&lt;&gt;0,'Base de Datos Sumaria'!J190,"")</f>
        <v/>
      </c>
      <c r="G193" s="10" t="str">
        <f>IF(SUM('Base de Datos Sumaria'!J190:Q190)&lt;&gt;0,'Base de Datos Sumaria'!K190," ")</f>
        <v xml:space="preserve"> </v>
      </c>
      <c r="H193" s="10" t="str">
        <f>IF(SUM('Base de Datos Sumaria'!J190:Q190)&lt;&gt;0,'Base de Datos Sumaria'!L190," ")</f>
        <v xml:space="preserve"> </v>
      </c>
      <c r="I193" s="10" t="str">
        <f>IF(SUM('Base de Datos Sumaria'!J190:Q190)&lt;&gt;0,'Base de Datos Sumaria'!M190," ")</f>
        <v xml:space="preserve"> </v>
      </c>
      <c r="J193" s="10" t="str">
        <f>IF(SUM('Base de Datos Sumaria'!J190:Q190)&lt;&gt;0,'Base de Datos Sumaria'!N190," ")</f>
        <v xml:space="preserve"> </v>
      </c>
      <c r="K193" s="10" t="str">
        <f>IF(SUM('Base de Datos Sumaria'!J190:Q190)&lt;&gt;0,'Base de Datos Sumaria'!O190," ")</f>
        <v xml:space="preserve"> </v>
      </c>
      <c r="L193" s="10" t="str">
        <f>IF(SUM('Base de Datos Sumaria'!J190:Q190)&lt;&gt;0,'Base de Datos Sumaria'!P190," ")</f>
        <v xml:space="preserve"> </v>
      </c>
      <c r="M193" s="10" t="str">
        <f>IF(SUM('Base de Datos Sumaria'!J190:Q190)&lt;&gt;0,'Base de Datos Sumaria'!Q190," ")</f>
        <v xml:space="preserve"> </v>
      </c>
      <c r="N193" s="10" t="str">
        <f>IF(SUM('Base de Datos Sumaria'!J190:Q190)&lt;&gt;0,SUM(F193:M193)," ")</f>
        <v xml:space="preserve"> </v>
      </c>
    </row>
    <row r="194" spans="1:14" s="12" customFormat="1" ht="12.95" customHeight="1" x14ac:dyDescent="0.2">
      <c r="A194" s="6" t="str">
        <f>IF(SUM('Base de Datos Sumaria'!J191:Q191)&lt;&gt;0,'Base de Datos Sumaria'!C191," ")</f>
        <v xml:space="preserve"> </v>
      </c>
      <c r="B194" s="6" t="str">
        <f>IF(SUM('Base de Datos Sumaria'!J191:Q191)&lt;&gt;0,'Base de Datos Sumaria'!D191," ")</f>
        <v xml:space="preserve"> </v>
      </c>
      <c r="C194" s="7" t="str">
        <f>IF(SUM('Base de Datos Sumaria'!J191:Q191)&lt;&gt;0,'Base de Datos Sumaria'!H191," ")</f>
        <v xml:space="preserve"> </v>
      </c>
      <c r="D194" s="8" t="str">
        <f>IF(SUM('Base de Datos Sumaria'!J191:Q191)&lt;&gt;0,'Base de Datos Maestro'!L191," ")</f>
        <v xml:space="preserve"> </v>
      </c>
      <c r="E194" s="9" t="str">
        <f>IF('Base de Datos Sumaria'!I191&lt;&gt;0,'Base de Datos Sumaria'!I191,"")</f>
        <v/>
      </c>
      <c r="F194" s="10" t="str">
        <f>IF(SUM('Base de Datos Sumaria'!J191:Q191)&lt;&gt;0,'Base de Datos Sumaria'!J191,"")</f>
        <v/>
      </c>
      <c r="G194" s="10" t="str">
        <f>IF(SUM('Base de Datos Sumaria'!J191:Q191)&lt;&gt;0,'Base de Datos Sumaria'!K191," ")</f>
        <v xml:space="preserve"> </v>
      </c>
      <c r="H194" s="10" t="str">
        <f>IF(SUM('Base de Datos Sumaria'!J191:Q191)&lt;&gt;0,'Base de Datos Sumaria'!L191," ")</f>
        <v xml:space="preserve"> </v>
      </c>
      <c r="I194" s="10" t="str">
        <f>IF(SUM('Base de Datos Sumaria'!J191:Q191)&lt;&gt;0,'Base de Datos Sumaria'!M191," ")</f>
        <v xml:space="preserve"> </v>
      </c>
      <c r="J194" s="10" t="str">
        <f>IF(SUM('Base de Datos Sumaria'!J191:Q191)&lt;&gt;0,'Base de Datos Sumaria'!N191," ")</f>
        <v xml:space="preserve"> </v>
      </c>
      <c r="K194" s="10" t="str">
        <f>IF(SUM('Base de Datos Sumaria'!J191:Q191)&lt;&gt;0,'Base de Datos Sumaria'!O191," ")</f>
        <v xml:space="preserve"> </v>
      </c>
      <c r="L194" s="10" t="str">
        <f>IF(SUM('Base de Datos Sumaria'!J191:Q191)&lt;&gt;0,'Base de Datos Sumaria'!P191," ")</f>
        <v xml:space="preserve"> </v>
      </c>
      <c r="M194" s="10" t="str">
        <f>IF(SUM('Base de Datos Sumaria'!J191:Q191)&lt;&gt;0,'Base de Datos Sumaria'!Q191," ")</f>
        <v xml:space="preserve"> </v>
      </c>
      <c r="N194" s="10" t="str">
        <f>IF(SUM('Base de Datos Sumaria'!J191:Q191)&lt;&gt;0,SUM(F194:M194)," ")</f>
        <v xml:space="preserve"> </v>
      </c>
    </row>
    <row r="195" spans="1:14" s="12" customFormat="1" ht="12.95" customHeight="1" x14ac:dyDescent="0.2">
      <c r="A195" s="6" t="str">
        <f>IF(SUM('Base de Datos Sumaria'!J192:Q192)&lt;&gt;0,'Base de Datos Sumaria'!C192," ")</f>
        <v xml:space="preserve"> </v>
      </c>
      <c r="B195" s="6" t="str">
        <f>IF(SUM('Base de Datos Sumaria'!J192:Q192)&lt;&gt;0,'Base de Datos Sumaria'!D192," ")</f>
        <v xml:space="preserve"> </v>
      </c>
      <c r="C195" s="7" t="str">
        <f>IF(SUM('Base de Datos Sumaria'!J192:Q192)&lt;&gt;0,'Base de Datos Sumaria'!H192," ")</f>
        <v xml:space="preserve"> </v>
      </c>
      <c r="D195" s="8" t="str">
        <f>IF(SUM('Base de Datos Sumaria'!J192:Q192)&lt;&gt;0,'Base de Datos Maestro'!L192," ")</f>
        <v xml:space="preserve"> </v>
      </c>
      <c r="E195" s="9" t="str">
        <f>IF('Base de Datos Sumaria'!I192&lt;&gt;0,'Base de Datos Sumaria'!I192,"")</f>
        <v/>
      </c>
      <c r="F195" s="10" t="str">
        <f>IF(SUM('Base de Datos Sumaria'!J192:Q192)&lt;&gt;0,'Base de Datos Sumaria'!J192,"")</f>
        <v/>
      </c>
      <c r="G195" s="10" t="str">
        <f>IF(SUM('Base de Datos Sumaria'!J192:Q192)&lt;&gt;0,'Base de Datos Sumaria'!K192," ")</f>
        <v xml:space="preserve"> </v>
      </c>
      <c r="H195" s="10" t="str">
        <f>IF(SUM('Base de Datos Sumaria'!J192:Q192)&lt;&gt;0,'Base de Datos Sumaria'!L192," ")</f>
        <v xml:space="preserve"> </v>
      </c>
      <c r="I195" s="10" t="str">
        <f>IF(SUM('Base de Datos Sumaria'!J192:Q192)&lt;&gt;0,'Base de Datos Sumaria'!M192," ")</f>
        <v xml:space="preserve"> </v>
      </c>
      <c r="J195" s="10" t="str">
        <f>IF(SUM('Base de Datos Sumaria'!J192:Q192)&lt;&gt;0,'Base de Datos Sumaria'!N192," ")</f>
        <v xml:space="preserve"> </v>
      </c>
      <c r="K195" s="10" t="str">
        <f>IF(SUM('Base de Datos Sumaria'!J192:Q192)&lt;&gt;0,'Base de Datos Sumaria'!O192," ")</f>
        <v xml:space="preserve"> </v>
      </c>
      <c r="L195" s="10" t="str">
        <f>IF(SUM('Base de Datos Sumaria'!J192:Q192)&lt;&gt;0,'Base de Datos Sumaria'!P192," ")</f>
        <v xml:space="preserve"> </v>
      </c>
      <c r="M195" s="10" t="str">
        <f>IF(SUM('Base de Datos Sumaria'!J192:Q192)&lt;&gt;0,'Base de Datos Sumaria'!Q192," ")</f>
        <v xml:space="preserve"> </v>
      </c>
      <c r="N195" s="10" t="str">
        <f>IF(SUM('Base de Datos Sumaria'!J192:Q192)&lt;&gt;0,SUM(F195:M195)," ")</f>
        <v xml:space="preserve"> </v>
      </c>
    </row>
    <row r="196" spans="1:14" s="12" customFormat="1" ht="12.95" customHeight="1" x14ac:dyDescent="0.2">
      <c r="A196" s="6" t="str">
        <f>IF(SUM('Base de Datos Sumaria'!J193:Q193)&lt;&gt;0,'Base de Datos Sumaria'!C193," ")</f>
        <v xml:space="preserve"> </v>
      </c>
      <c r="B196" s="6" t="str">
        <f>IF(SUM('Base de Datos Sumaria'!J193:Q193)&lt;&gt;0,'Base de Datos Sumaria'!D193," ")</f>
        <v xml:space="preserve"> </v>
      </c>
      <c r="C196" s="7" t="str">
        <f>IF(SUM('Base de Datos Sumaria'!J193:Q193)&lt;&gt;0,'Base de Datos Sumaria'!H193," ")</f>
        <v xml:space="preserve"> </v>
      </c>
      <c r="D196" s="8" t="str">
        <f>IF(SUM('Base de Datos Sumaria'!J193:Q193)&lt;&gt;0,'Base de Datos Maestro'!L193," ")</f>
        <v xml:space="preserve"> </v>
      </c>
      <c r="E196" s="9" t="str">
        <f>IF('Base de Datos Sumaria'!I193&lt;&gt;0,'Base de Datos Sumaria'!I193,"")</f>
        <v/>
      </c>
      <c r="F196" s="10" t="str">
        <f>IF(SUM('Base de Datos Sumaria'!J193:Q193)&lt;&gt;0,'Base de Datos Sumaria'!J193,"")</f>
        <v/>
      </c>
      <c r="G196" s="10" t="str">
        <f>IF(SUM('Base de Datos Sumaria'!J193:Q193)&lt;&gt;0,'Base de Datos Sumaria'!K193," ")</f>
        <v xml:space="preserve"> </v>
      </c>
      <c r="H196" s="10" t="str">
        <f>IF(SUM('Base de Datos Sumaria'!J193:Q193)&lt;&gt;0,'Base de Datos Sumaria'!L193," ")</f>
        <v xml:space="preserve"> </v>
      </c>
      <c r="I196" s="10" t="str">
        <f>IF(SUM('Base de Datos Sumaria'!J193:Q193)&lt;&gt;0,'Base de Datos Sumaria'!M193," ")</f>
        <v xml:space="preserve"> </v>
      </c>
      <c r="J196" s="10" t="str">
        <f>IF(SUM('Base de Datos Sumaria'!J193:Q193)&lt;&gt;0,'Base de Datos Sumaria'!N193," ")</f>
        <v xml:space="preserve"> </v>
      </c>
      <c r="K196" s="10" t="str">
        <f>IF(SUM('Base de Datos Sumaria'!J193:Q193)&lt;&gt;0,'Base de Datos Sumaria'!O193," ")</f>
        <v xml:space="preserve"> </v>
      </c>
      <c r="L196" s="10" t="str">
        <f>IF(SUM('Base de Datos Sumaria'!J193:Q193)&lt;&gt;0,'Base de Datos Sumaria'!P193," ")</f>
        <v xml:space="preserve"> </v>
      </c>
      <c r="M196" s="10" t="str">
        <f>IF(SUM('Base de Datos Sumaria'!J193:Q193)&lt;&gt;0,'Base de Datos Sumaria'!Q193," ")</f>
        <v xml:space="preserve"> </v>
      </c>
      <c r="N196" s="10" t="str">
        <f>IF(SUM('Base de Datos Sumaria'!J193:Q193)&lt;&gt;0,SUM(F196:M196)," ")</f>
        <v xml:space="preserve"> </v>
      </c>
    </row>
    <row r="197" spans="1:14" s="12" customFormat="1" ht="12.95" customHeight="1" x14ac:dyDescent="0.2">
      <c r="A197" s="6" t="str">
        <f>IF(SUM('Base de Datos Sumaria'!J194:Q194)&lt;&gt;0,'Base de Datos Sumaria'!C194," ")</f>
        <v xml:space="preserve"> </v>
      </c>
      <c r="B197" s="6" t="str">
        <f>IF(SUM('Base de Datos Sumaria'!J194:Q194)&lt;&gt;0,'Base de Datos Sumaria'!D194," ")</f>
        <v xml:space="preserve"> </v>
      </c>
      <c r="C197" s="7" t="str">
        <f>IF(SUM('Base de Datos Sumaria'!J194:Q194)&lt;&gt;0,'Base de Datos Sumaria'!H194," ")</f>
        <v xml:space="preserve"> </v>
      </c>
      <c r="D197" s="8" t="str">
        <f>IF(SUM('Base de Datos Sumaria'!J194:Q194)&lt;&gt;0,'Base de Datos Maestro'!L194," ")</f>
        <v xml:space="preserve"> </v>
      </c>
      <c r="E197" s="9" t="str">
        <f>IF('Base de Datos Sumaria'!I194&lt;&gt;0,'Base de Datos Sumaria'!I194,"")</f>
        <v/>
      </c>
      <c r="F197" s="10" t="str">
        <f>IF(SUM('Base de Datos Sumaria'!J194:Q194)&lt;&gt;0,'Base de Datos Sumaria'!J194,"")</f>
        <v/>
      </c>
      <c r="G197" s="10" t="str">
        <f>IF(SUM('Base de Datos Sumaria'!J194:Q194)&lt;&gt;0,'Base de Datos Sumaria'!K194," ")</f>
        <v xml:space="preserve"> </v>
      </c>
      <c r="H197" s="10" t="str">
        <f>IF(SUM('Base de Datos Sumaria'!J194:Q194)&lt;&gt;0,'Base de Datos Sumaria'!L194," ")</f>
        <v xml:space="preserve"> </v>
      </c>
      <c r="I197" s="10" t="str">
        <f>IF(SUM('Base de Datos Sumaria'!J194:Q194)&lt;&gt;0,'Base de Datos Sumaria'!M194," ")</f>
        <v xml:space="preserve"> </v>
      </c>
      <c r="J197" s="10" t="str">
        <f>IF(SUM('Base de Datos Sumaria'!J194:Q194)&lt;&gt;0,'Base de Datos Sumaria'!N194," ")</f>
        <v xml:space="preserve"> </v>
      </c>
      <c r="K197" s="10" t="str">
        <f>IF(SUM('Base de Datos Sumaria'!J194:Q194)&lt;&gt;0,'Base de Datos Sumaria'!O194," ")</f>
        <v xml:space="preserve"> </v>
      </c>
      <c r="L197" s="10" t="str">
        <f>IF(SUM('Base de Datos Sumaria'!J194:Q194)&lt;&gt;0,'Base de Datos Sumaria'!P194," ")</f>
        <v xml:space="preserve"> </v>
      </c>
      <c r="M197" s="10" t="str">
        <f>IF(SUM('Base de Datos Sumaria'!J194:Q194)&lt;&gt;0,'Base de Datos Sumaria'!Q194," ")</f>
        <v xml:space="preserve"> </v>
      </c>
      <c r="N197" s="10" t="str">
        <f>IF(SUM('Base de Datos Sumaria'!J194:Q194)&lt;&gt;0,SUM(F197:M197)," ")</f>
        <v xml:space="preserve"> </v>
      </c>
    </row>
    <row r="198" spans="1:14" s="12" customFormat="1" ht="12.95" customHeight="1" x14ac:dyDescent="0.2">
      <c r="A198" s="6" t="str">
        <f>IF(SUM('Base de Datos Sumaria'!J195:Q195)&lt;&gt;0,'Base de Datos Sumaria'!C195," ")</f>
        <v xml:space="preserve"> </v>
      </c>
      <c r="B198" s="6" t="str">
        <f>IF(SUM('Base de Datos Sumaria'!J195:Q195)&lt;&gt;0,'Base de Datos Sumaria'!D195," ")</f>
        <v xml:space="preserve"> </v>
      </c>
      <c r="C198" s="7" t="str">
        <f>IF(SUM('Base de Datos Sumaria'!J195:Q195)&lt;&gt;0,'Base de Datos Sumaria'!H195," ")</f>
        <v xml:space="preserve"> </v>
      </c>
      <c r="D198" s="8" t="str">
        <f>IF(SUM('Base de Datos Sumaria'!J195:Q195)&lt;&gt;0,'Base de Datos Maestro'!L195," ")</f>
        <v xml:space="preserve"> </v>
      </c>
      <c r="E198" s="9" t="str">
        <f>IF('Base de Datos Sumaria'!I195&lt;&gt;0,'Base de Datos Sumaria'!I195,"")</f>
        <v/>
      </c>
      <c r="F198" s="10" t="str">
        <f>IF(SUM('Base de Datos Sumaria'!J195:Q195)&lt;&gt;0,'Base de Datos Sumaria'!J195,"")</f>
        <v/>
      </c>
      <c r="G198" s="10" t="str">
        <f>IF(SUM('Base de Datos Sumaria'!J195:Q195)&lt;&gt;0,'Base de Datos Sumaria'!K195," ")</f>
        <v xml:space="preserve"> </v>
      </c>
      <c r="H198" s="10" t="str">
        <f>IF(SUM('Base de Datos Sumaria'!J195:Q195)&lt;&gt;0,'Base de Datos Sumaria'!L195," ")</f>
        <v xml:space="preserve"> </v>
      </c>
      <c r="I198" s="10" t="str">
        <f>IF(SUM('Base de Datos Sumaria'!J195:Q195)&lt;&gt;0,'Base de Datos Sumaria'!M195," ")</f>
        <v xml:space="preserve"> </v>
      </c>
      <c r="J198" s="10" t="str">
        <f>IF(SUM('Base de Datos Sumaria'!J195:Q195)&lt;&gt;0,'Base de Datos Sumaria'!N195," ")</f>
        <v xml:space="preserve"> </v>
      </c>
      <c r="K198" s="10" t="str">
        <f>IF(SUM('Base de Datos Sumaria'!J195:Q195)&lt;&gt;0,'Base de Datos Sumaria'!O195," ")</f>
        <v xml:space="preserve"> </v>
      </c>
      <c r="L198" s="10" t="str">
        <f>IF(SUM('Base de Datos Sumaria'!J195:Q195)&lt;&gt;0,'Base de Datos Sumaria'!P195," ")</f>
        <v xml:space="preserve"> </v>
      </c>
      <c r="M198" s="10" t="str">
        <f>IF(SUM('Base de Datos Sumaria'!J195:Q195)&lt;&gt;0,'Base de Datos Sumaria'!Q195," ")</f>
        <v xml:space="preserve"> </v>
      </c>
      <c r="N198" s="10" t="str">
        <f>IF(SUM('Base de Datos Sumaria'!J195:Q195)&lt;&gt;0,SUM(F198:M198)," ")</f>
        <v xml:space="preserve"> </v>
      </c>
    </row>
    <row r="199" spans="1:14" s="12" customFormat="1" ht="12.95" customHeight="1" x14ac:dyDescent="0.2">
      <c r="A199" s="6" t="str">
        <f>IF(SUM('Base de Datos Sumaria'!J196:Q196)&lt;&gt;0,'Base de Datos Sumaria'!C196," ")</f>
        <v xml:space="preserve"> </v>
      </c>
      <c r="B199" s="6" t="str">
        <f>IF(SUM('Base de Datos Sumaria'!J196:Q196)&lt;&gt;0,'Base de Datos Sumaria'!D196," ")</f>
        <v xml:space="preserve"> </v>
      </c>
      <c r="C199" s="7" t="str">
        <f>IF(SUM('Base de Datos Sumaria'!J196:Q196)&lt;&gt;0,'Base de Datos Sumaria'!H196," ")</f>
        <v xml:space="preserve"> </v>
      </c>
      <c r="D199" s="8" t="str">
        <f>IF(SUM('Base de Datos Sumaria'!J196:Q196)&lt;&gt;0,'Base de Datos Maestro'!L196," ")</f>
        <v xml:space="preserve"> </v>
      </c>
      <c r="E199" s="9" t="str">
        <f>IF('Base de Datos Sumaria'!I196&lt;&gt;0,'Base de Datos Sumaria'!I196,"")</f>
        <v/>
      </c>
      <c r="F199" s="10" t="str">
        <f>IF(SUM('Base de Datos Sumaria'!J196:Q196)&lt;&gt;0,'Base de Datos Sumaria'!J196,"")</f>
        <v/>
      </c>
      <c r="G199" s="10" t="str">
        <f>IF(SUM('Base de Datos Sumaria'!J196:Q196)&lt;&gt;0,'Base de Datos Sumaria'!K196," ")</f>
        <v xml:space="preserve"> </v>
      </c>
      <c r="H199" s="10" t="str">
        <f>IF(SUM('Base de Datos Sumaria'!J196:Q196)&lt;&gt;0,'Base de Datos Sumaria'!L196," ")</f>
        <v xml:space="preserve"> </v>
      </c>
      <c r="I199" s="10" t="str">
        <f>IF(SUM('Base de Datos Sumaria'!J196:Q196)&lt;&gt;0,'Base de Datos Sumaria'!M196," ")</f>
        <v xml:space="preserve"> </v>
      </c>
      <c r="J199" s="10" t="str">
        <f>IF(SUM('Base de Datos Sumaria'!J196:Q196)&lt;&gt;0,'Base de Datos Sumaria'!N196," ")</f>
        <v xml:space="preserve"> </v>
      </c>
      <c r="K199" s="10" t="str">
        <f>IF(SUM('Base de Datos Sumaria'!J196:Q196)&lt;&gt;0,'Base de Datos Sumaria'!O196," ")</f>
        <v xml:space="preserve"> </v>
      </c>
      <c r="L199" s="10" t="str">
        <f>IF(SUM('Base de Datos Sumaria'!J196:Q196)&lt;&gt;0,'Base de Datos Sumaria'!P196," ")</f>
        <v xml:space="preserve"> </v>
      </c>
      <c r="M199" s="10" t="str">
        <f>IF(SUM('Base de Datos Sumaria'!J196:Q196)&lt;&gt;0,'Base de Datos Sumaria'!Q196," ")</f>
        <v xml:space="preserve"> </v>
      </c>
      <c r="N199" s="10" t="str">
        <f>IF(SUM('Base de Datos Sumaria'!J196:Q196)&lt;&gt;0,SUM(F199:M199)," ")</f>
        <v xml:space="preserve"> </v>
      </c>
    </row>
    <row r="200" spans="1:14" s="12" customFormat="1" ht="12.95" customHeight="1" x14ac:dyDescent="0.2">
      <c r="A200" s="6" t="str">
        <f>IF(SUM('Base de Datos Sumaria'!J197:Q197)&lt;&gt;0,'Base de Datos Sumaria'!C197," ")</f>
        <v xml:space="preserve"> </v>
      </c>
      <c r="B200" s="6" t="str">
        <f>IF(SUM('Base de Datos Sumaria'!J197:Q197)&lt;&gt;0,'Base de Datos Sumaria'!D197," ")</f>
        <v xml:space="preserve"> </v>
      </c>
      <c r="C200" s="7" t="str">
        <f>IF(SUM('Base de Datos Sumaria'!J197:Q197)&lt;&gt;0,'Base de Datos Sumaria'!H197," ")</f>
        <v xml:space="preserve"> </v>
      </c>
      <c r="D200" s="8" t="str">
        <f>IF(SUM('Base de Datos Sumaria'!J197:Q197)&lt;&gt;0,'Base de Datos Maestro'!L197," ")</f>
        <v xml:space="preserve"> </v>
      </c>
      <c r="E200" s="9" t="str">
        <f>IF('Base de Datos Sumaria'!I197&lt;&gt;0,'Base de Datos Sumaria'!I197,"")</f>
        <v/>
      </c>
      <c r="F200" s="10" t="str">
        <f>IF(SUM('Base de Datos Sumaria'!J197:Q197)&lt;&gt;0,'Base de Datos Sumaria'!J197,"")</f>
        <v/>
      </c>
      <c r="G200" s="10" t="str">
        <f>IF(SUM('Base de Datos Sumaria'!J197:Q197)&lt;&gt;0,'Base de Datos Sumaria'!K197," ")</f>
        <v xml:space="preserve"> </v>
      </c>
      <c r="H200" s="10" t="str">
        <f>IF(SUM('Base de Datos Sumaria'!J197:Q197)&lt;&gt;0,'Base de Datos Sumaria'!L197," ")</f>
        <v xml:space="preserve"> </v>
      </c>
      <c r="I200" s="10" t="str">
        <f>IF(SUM('Base de Datos Sumaria'!J197:Q197)&lt;&gt;0,'Base de Datos Sumaria'!M197," ")</f>
        <v xml:space="preserve"> </v>
      </c>
      <c r="J200" s="10" t="str">
        <f>IF(SUM('Base de Datos Sumaria'!J197:Q197)&lt;&gt;0,'Base de Datos Sumaria'!N197," ")</f>
        <v xml:space="preserve"> </v>
      </c>
      <c r="K200" s="10" t="str">
        <f>IF(SUM('Base de Datos Sumaria'!J197:Q197)&lt;&gt;0,'Base de Datos Sumaria'!O197," ")</f>
        <v xml:space="preserve"> </v>
      </c>
      <c r="L200" s="10" t="str">
        <f>IF(SUM('Base de Datos Sumaria'!J197:Q197)&lt;&gt;0,'Base de Datos Sumaria'!P197," ")</f>
        <v xml:space="preserve"> </v>
      </c>
      <c r="M200" s="10" t="str">
        <f>IF(SUM('Base de Datos Sumaria'!J197:Q197)&lt;&gt;0,'Base de Datos Sumaria'!Q197," ")</f>
        <v xml:space="preserve"> </v>
      </c>
      <c r="N200" s="10" t="str">
        <f>IF(SUM('Base de Datos Sumaria'!J197:Q197)&lt;&gt;0,SUM(F200:M200)," ")</f>
        <v xml:space="preserve"> </v>
      </c>
    </row>
    <row r="201" spans="1:14" s="12" customFormat="1" ht="12.95" customHeight="1" x14ac:dyDescent="0.2">
      <c r="A201" s="6" t="str">
        <f>IF(SUM('Base de Datos Sumaria'!J198:Q198)&lt;&gt;0,'Base de Datos Sumaria'!C198," ")</f>
        <v xml:space="preserve"> </v>
      </c>
      <c r="B201" s="6" t="str">
        <f>IF(SUM('Base de Datos Sumaria'!J198:Q198)&lt;&gt;0,'Base de Datos Sumaria'!D198," ")</f>
        <v xml:space="preserve"> </v>
      </c>
      <c r="C201" s="7" t="str">
        <f>IF(SUM('Base de Datos Sumaria'!J198:Q198)&lt;&gt;0,'Base de Datos Sumaria'!H198," ")</f>
        <v xml:space="preserve"> </v>
      </c>
      <c r="D201" s="8" t="str">
        <f>IF(SUM('Base de Datos Sumaria'!J198:Q198)&lt;&gt;0,'Base de Datos Maestro'!L198," ")</f>
        <v xml:space="preserve"> </v>
      </c>
      <c r="E201" s="9" t="str">
        <f>IF('Base de Datos Sumaria'!I198&lt;&gt;0,'Base de Datos Sumaria'!I198,"")</f>
        <v/>
      </c>
      <c r="F201" s="10" t="str">
        <f>IF(SUM('Base de Datos Sumaria'!J198:Q198)&lt;&gt;0,'Base de Datos Sumaria'!J198,"")</f>
        <v/>
      </c>
      <c r="G201" s="10" t="str">
        <f>IF(SUM('Base de Datos Sumaria'!J198:Q198)&lt;&gt;0,'Base de Datos Sumaria'!K198," ")</f>
        <v xml:space="preserve"> </v>
      </c>
      <c r="H201" s="10" t="str">
        <f>IF(SUM('Base de Datos Sumaria'!J198:Q198)&lt;&gt;0,'Base de Datos Sumaria'!L198," ")</f>
        <v xml:space="preserve"> </v>
      </c>
      <c r="I201" s="10" t="str">
        <f>IF(SUM('Base de Datos Sumaria'!J198:Q198)&lt;&gt;0,'Base de Datos Sumaria'!M198," ")</f>
        <v xml:space="preserve"> </v>
      </c>
      <c r="J201" s="10" t="str">
        <f>IF(SUM('Base de Datos Sumaria'!J198:Q198)&lt;&gt;0,'Base de Datos Sumaria'!N198," ")</f>
        <v xml:space="preserve"> </v>
      </c>
      <c r="K201" s="10" t="str">
        <f>IF(SUM('Base de Datos Sumaria'!J198:Q198)&lt;&gt;0,'Base de Datos Sumaria'!O198," ")</f>
        <v xml:space="preserve"> </v>
      </c>
      <c r="L201" s="10" t="str">
        <f>IF(SUM('Base de Datos Sumaria'!J198:Q198)&lt;&gt;0,'Base de Datos Sumaria'!P198," ")</f>
        <v xml:space="preserve"> </v>
      </c>
      <c r="M201" s="10" t="str">
        <f>IF(SUM('Base de Datos Sumaria'!J198:Q198)&lt;&gt;0,'Base de Datos Sumaria'!Q198," ")</f>
        <v xml:space="preserve"> </v>
      </c>
      <c r="N201" s="10" t="str">
        <f>IF(SUM('Base de Datos Sumaria'!J198:Q198)&lt;&gt;0,SUM(F201:M201)," ")</f>
        <v xml:space="preserve"> </v>
      </c>
    </row>
    <row r="202" spans="1:14" s="12" customFormat="1" ht="12.95" customHeight="1" x14ac:dyDescent="0.2">
      <c r="A202" s="6" t="str">
        <f>IF(SUM('Base de Datos Sumaria'!J199:Q199)&lt;&gt;0,'Base de Datos Sumaria'!C199," ")</f>
        <v xml:space="preserve"> </v>
      </c>
      <c r="B202" s="6" t="str">
        <f>IF(SUM('Base de Datos Sumaria'!J199:Q199)&lt;&gt;0,'Base de Datos Sumaria'!D199," ")</f>
        <v xml:space="preserve"> </v>
      </c>
      <c r="C202" s="7" t="str">
        <f>IF(SUM('Base de Datos Sumaria'!J199:Q199)&lt;&gt;0,'Base de Datos Sumaria'!H199," ")</f>
        <v xml:space="preserve"> </v>
      </c>
      <c r="D202" s="8" t="str">
        <f>IF(SUM('Base de Datos Sumaria'!J199:Q199)&lt;&gt;0,'Base de Datos Maestro'!L199," ")</f>
        <v xml:space="preserve"> </v>
      </c>
      <c r="E202" s="9" t="str">
        <f>IF('Base de Datos Sumaria'!I199&lt;&gt;0,'Base de Datos Sumaria'!I199,"")</f>
        <v/>
      </c>
      <c r="F202" s="10" t="str">
        <f>IF(SUM('Base de Datos Sumaria'!J199:Q199)&lt;&gt;0,'Base de Datos Sumaria'!J199,"")</f>
        <v/>
      </c>
      <c r="G202" s="10" t="str">
        <f>IF(SUM('Base de Datos Sumaria'!J199:Q199)&lt;&gt;0,'Base de Datos Sumaria'!K199," ")</f>
        <v xml:space="preserve"> </v>
      </c>
      <c r="H202" s="10" t="str">
        <f>IF(SUM('Base de Datos Sumaria'!J199:Q199)&lt;&gt;0,'Base de Datos Sumaria'!L199," ")</f>
        <v xml:space="preserve"> </v>
      </c>
      <c r="I202" s="10" t="str">
        <f>IF(SUM('Base de Datos Sumaria'!J199:Q199)&lt;&gt;0,'Base de Datos Sumaria'!M199," ")</f>
        <v xml:space="preserve"> </v>
      </c>
      <c r="J202" s="10" t="str">
        <f>IF(SUM('Base de Datos Sumaria'!J199:Q199)&lt;&gt;0,'Base de Datos Sumaria'!N199," ")</f>
        <v xml:space="preserve"> </v>
      </c>
      <c r="K202" s="10" t="str">
        <f>IF(SUM('Base de Datos Sumaria'!J199:Q199)&lt;&gt;0,'Base de Datos Sumaria'!O199," ")</f>
        <v xml:space="preserve"> </v>
      </c>
      <c r="L202" s="10" t="str">
        <f>IF(SUM('Base de Datos Sumaria'!J199:Q199)&lt;&gt;0,'Base de Datos Sumaria'!P199," ")</f>
        <v xml:space="preserve"> </v>
      </c>
      <c r="M202" s="10" t="str">
        <f>IF(SUM('Base de Datos Sumaria'!J199:Q199)&lt;&gt;0,'Base de Datos Sumaria'!Q199," ")</f>
        <v xml:space="preserve"> </v>
      </c>
      <c r="N202" s="10" t="str">
        <f>IF(SUM('Base de Datos Sumaria'!J199:Q199)&lt;&gt;0,SUM(F202:M202)," ")</f>
        <v xml:space="preserve"> </v>
      </c>
    </row>
    <row r="203" spans="1:14" s="12" customFormat="1" ht="12.95" customHeight="1" x14ac:dyDescent="0.2">
      <c r="A203" s="6" t="str">
        <f>IF(SUM('Base de Datos Sumaria'!J200:Q200)&lt;&gt;0,'Base de Datos Sumaria'!C200," ")</f>
        <v xml:space="preserve"> </v>
      </c>
      <c r="B203" s="6" t="str">
        <f>IF(SUM('Base de Datos Sumaria'!J200:Q200)&lt;&gt;0,'Base de Datos Sumaria'!D200," ")</f>
        <v xml:space="preserve"> </v>
      </c>
      <c r="C203" s="7" t="str">
        <f>IF(SUM('Base de Datos Sumaria'!J200:Q200)&lt;&gt;0,'Base de Datos Sumaria'!H200," ")</f>
        <v xml:space="preserve"> </v>
      </c>
      <c r="D203" s="8" t="str">
        <f>IF(SUM('Base de Datos Sumaria'!J200:Q200)&lt;&gt;0,'Base de Datos Maestro'!L200," ")</f>
        <v xml:space="preserve"> </v>
      </c>
      <c r="E203" s="9" t="str">
        <f>IF('Base de Datos Sumaria'!I200&lt;&gt;0,'Base de Datos Sumaria'!I200,"")</f>
        <v/>
      </c>
      <c r="F203" s="10" t="str">
        <f>IF(SUM('Base de Datos Sumaria'!J200:Q200)&lt;&gt;0,'Base de Datos Sumaria'!J200,"")</f>
        <v/>
      </c>
      <c r="G203" s="10" t="str">
        <f>IF(SUM('Base de Datos Sumaria'!J200:Q200)&lt;&gt;0,'Base de Datos Sumaria'!K200," ")</f>
        <v xml:space="preserve"> </v>
      </c>
      <c r="H203" s="10" t="str">
        <f>IF(SUM('Base de Datos Sumaria'!J200:Q200)&lt;&gt;0,'Base de Datos Sumaria'!L200," ")</f>
        <v xml:space="preserve"> </v>
      </c>
      <c r="I203" s="10" t="str">
        <f>IF(SUM('Base de Datos Sumaria'!J200:Q200)&lt;&gt;0,'Base de Datos Sumaria'!M200," ")</f>
        <v xml:space="preserve"> </v>
      </c>
      <c r="J203" s="10" t="str">
        <f>IF(SUM('Base de Datos Sumaria'!J200:Q200)&lt;&gt;0,'Base de Datos Sumaria'!N200," ")</f>
        <v xml:space="preserve"> </v>
      </c>
      <c r="K203" s="10" t="str">
        <f>IF(SUM('Base de Datos Sumaria'!J200:Q200)&lt;&gt;0,'Base de Datos Sumaria'!O200," ")</f>
        <v xml:space="preserve"> </v>
      </c>
      <c r="L203" s="10" t="str">
        <f>IF(SUM('Base de Datos Sumaria'!J200:Q200)&lt;&gt;0,'Base de Datos Sumaria'!P200," ")</f>
        <v xml:space="preserve"> </v>
      </c>
      <c r="M203" s="10" t="str">
        <f>IF(SUM('Base de Datos Sumaria'!J200:Q200)&lt;&gt;0,'Base de Datos Sumaria'!Q200," ")</f>
        <v xml:space="preserve"> </v>
      </c>
      <c r="N203" s="10" t="str">
        <f>IF(SUM('Base de Datos Sumaria'!J200:Q200)&lt;&gt;0,SUM(F203:M203)," ")</f>
        <v xml:space="preserve"> </v>
      </c>
    </row>
    <row r="204" spans="1:14" s="12" customFormat="1" ht="12.95" customHeight="1" x14ac:dyDescent="0.2">
      <c r="A204" s="6" t="str">
        <f>IF(SUM('Base de Datos Sumaria'!J201:Q201)&lt;&gt;0,'Base de Datos Sumaria'!C201," ")</f>
        <v xml:space="preserve"> </v>
      </c>
      <c r="B204" s="6" t="str">
        <f>IF(SUM('Base de Datos Sumaria'!J201:Q201)&lt;&gt;0,'Base de Datos Sumaria'!D201," ")</f>
        <v xml:space="preserve"> </v>
      </c>
      <c r="C204" s="7" t="str">
        <f>IF(SUM('Base de Datos Sumaria'!J201:Q201)&lt;&gt;0,'Base de Datos Sumaria'!H201," ")</f>
        <v xml:space="preserve"> </v>
      </c>
      <c r="D204" s="8" t="str">
        <f>IF(SUM('Base de Datos Sumaria'!J201:Q201)&lt;&gt;0,'Base de Datos Maestro'!L201," ")</f>
        <v xml:space="preserve"> </v>
      </c>
      <c r="E204" s="9" t="str">
        <f>IF('Base de Datos Sumaria'!I201&lt;&gt;0,'Base de Datos Sumaria'!I201,"")</f>
        <v/>
      </c>
      <c r="F204" s="10" t="str">
        <f>IF(SUM('Base de Datos Sumaria'!J201:Q201)&lt;&gt;0,'Base de Datos Sumaria'!J201,"")</f>
        <v/>
      </c>
      <c r="G204" s="10" t="str">
        <f>IF(SUM('Base de Datos Sumaria'!J201:Q201)&lt;&gt;0,'Base de Datos Sumaria'!K201," ")</f>
        <v xml:space="preserve"> </v>
      </c>
      <c r="H204" s="10" t="str">
        <f>IF(SUM('Base de Datos Sumaria'!J201:Q201)&lt;&gt;0,'Base de Datos Sumaria'!L201," ")</f>
        <v xml:space="preserve"> </v>
      </c>
      <c r="I204" s="10" t="str">
        <f>IF(SUM('Base de Datos Sumaria'!J201:Q201)&lt;&gt;0,'Base de Datos Sumaria'!M201," ")</f>
        <v xml:space="preserve"> </v>
      </c>
      <c r="J204" s="10" t="str">
        <f>IF(SUM('Base de Datos Sumaria'!J201:Q201)&lt;&gt;0,'Base de Datos Sumaria'!N201," ")</f>
        <v xml:space="preserve"> </v>
      </c>
      <c r="K204" s="10" t="str">
        <f>IF(SUM('Base de Datos Sumaria'!J201:Q201)&lt;&gt;0,'Base de Datos Sumaria'!O201," ")</f>
        <v xml:space="preserve"> </v>
      </c>
      <c r="L204" s="10" t="str">
        <f>IF(SUM('Base de Datos Sumaria'!J201:Q201)&lt;&gt;0,'Base de Datos Sumaria'!P201," ")</f>
        <v xml:space="preserve"> </v>
      </c>
      <c r="M204" s="10" t="str">
        <f>IF(SUM('Base de Datos Sumaria'!J201:Q201)&lt;&gt;0,'Base de Datos Sumaria'!Q201," ")</f>
        <v xml:space="preserve"> </v>
      </c>
      <c r="N204" s="10" t="str">
        <f>IF(SUM('Base de Datos Sumaria'!J201:Q201)&lt;&gt;0,SUM(F204:M204)," ")</f>
        <v xml:space="preserve"> </v>
      </c>
    </row>
    <row r="205" spans="1:14" s="12" customFormat="1" ht="12.95" customHeight="1" x14ac:dyDescent="0.2">
      <c r="A205" s="6" t="str">
        <f>IF(SUM('Base de Datos Sumaria'!J202:Q202)&lt;&gt;0,'Base de Datos Sumaria'!C202," ")</f>
        <v xml:space="preserve"> </v>
      </c>
      <c r="B205" s="6" t="str">
        <f>IF(SUM('Base de Datos Sumaria'!J202:Q202)&lt;&gt;0,'Base de Datos Sumaria'!D202," ")</f>
        <v xml:space="preserve"> </v>
      </c>
      <c r="C205" s="7" t="str">
        <f>IF(SUM('Base de Datos Sumaria'!J202:Q202)&lt;&gt;0,'Base de Datos Sumaria'!H202," ")</f>
        <v xml:space="preserve"> </v>
      </c>
      <c r="D205" s="8" t="str">
        <f>IF(SUM('Base de Datos Sumaria'!J202:Q202)&lt;&gt;0,'Base de Datos Maestro'!L202," ")</f>
        <v xml:space="preserve"> </v>
      </c>
      <c r="E205" s="9" t="str">
        <f>IF('Base de Datos Sumaria'!I202&lt;&gt;0,'Base de Datos Sumaria'!I202,"")</f>
        <v/>
      </c>
      <c r="F205" s="10" t="str">
        <f>IF(SUM('Base de Datos Sumaria'!J202:Q202)&lt;&gt;0,'Base de Datos Sumaria'!J202,"")</f>
        <v/>
      </c>
      <c r="G205" s="10" t="str">
        <f>IF(SUM('Base de Datos Sumaria'!J202:Q202)&lt;&gt;0,'Base de Datos Sumaria'!K202," ")</f>
        <v xml:space="preserve"> </v>
      </c>
      <c r="H205" s="10" t="str">
        <f>IF(SUM('Base de Datos Sumaria'!J202:Q202)&lt;&gt;0,'Base de Datos Sumaria'!L202," ")</f>
        <v xml:space="preserve"> </v>
      </c>
      <c r="I205" s="10" t="str">
        <f>IF(SUM('Base de Datos Sumaria'!J202:Q202)&lt;&gt;0,'Base de Datos Sumaria'!M202," ")</f>
        <v xml:space="preserve"> </v>
      </c>
      <c r="J205" s="10" t="str">
        <f>IF(SUM('Base de Datos Sumaria'!J202:Q202)&lt;&gt;0,'Base de Datos Sumaria'!N202," ")</f>
        <v xml:space="preserve"> </v>
      </c>
      <c r="K205" s="10" t="str">
        <f>IF(SUM('Base de Datos Sumaria'!J202:Q202)&lt;&gt;0,'Base de Datos Sumaria'!O202," ")</f>
        <v xml:space="preserve"> </v>
      </c>
      <c r="L205" s="10" t="str">
        <f>IF(SUM('Base de Datos Sumaria'!J202:Q202)&lt;&gt;0,'Base de Datos Sumaria'!P202," ")</f>
        <v xml:space="preserve"> </v>
      </c>
      <c r="M205" s="10" t="str">
        <f>IF(SUM('Base de Datos Sumaria'!J202:Q202)&lt;&gt;0,'Base de Datos Sumaria'!Q202," ")</f>
        <v xml:space="preserve"> </v>
      </c>
      <c r="N205" s="10" t="str">
        <f>IF(SUM('Base de Datos Sumaria'!J202:Q202)&lt;&gt;0,SUM(F205:M205)," ")</f>
        <v xml:space="preserve"> </v>
      </c>
    </row>
    <row r="206" spans="1:14" s="12" customFormat="1" ht="12.95" customHeight="1" x14ac:dyDescent="0.2">
      <c r="A206" s="6" t="str">
        <f>IF(SUM('Base de Datos Sumaria'!J203:Q203)&lt;&gt;0,'Base de Datos Sumaria'!C203," ")</f>
        <v xml:space="preserve"> </v>
      </c>
      <c r="B206" s="6" t="str">
        <f>IF(SUM('Base de Datos Sumaria'!J203:Q203)&lt;&gt;0,'Base de Datos Sumaria'!D203," ")</f>
        <v xml:space="preserve"> </v>
      </c>
      <c r="C206" s="7" t="str">
        <f>IF(SUM('Base de Datos Sumaria'!J203:Q203)&lt;&gt;0,'Base de Datos Sumaria'!H203," ")</f>
        <v xml:space="preserve"> </v>
      </c>
      <c r="D206" s="8" t="str">
        <f>IF(SUM('Base de Datos Sumaria'!J203:Q203)&lt;&gt;0,'Base de Datos Maestro'!L203," ")</f>
        <v xml:space="preserve"> </v>
      </c>
      <c r="E206" s="9" t="str">
        <f>IF('Base de Datos Sumaria'!I203&lt;&gt;0,'Base de Datos Sumaria'!I203,"")</f>
        <v/>
      </c>
      <c r="F206" s="10" t="str">
        <f>IF(SUM('Base de Datos Sumaria'!J203:Q203)&lt;&gt;0,'Base de Datos Sumaria'!J203,"")</f>
        <v/>
      </c>
      <c r="G206" s="10" t="str">
        <f>IF(SUM('Base de Datos Sumaria'!J203:Q203)&lt;&gt;0,'Base de Datos Sumaria'!K203," ")</f>
        <v xml:space="preserve"> </v>
      </c>
      <c r="H206" s="10" t="str">
        <f>IF(SUM('Base de Datos Sumaria'!J203:Q203)&lt;&gt;0,'Base de Datos Sumaria'!L203," ")</f>
        <v xml:space="preserve"> </v>
      </c>
      <c r="I206" s="10" t="str">
        <f>IF(SUM('Base de Datos Sumaria'!J203:Q203)&lt;&gt;0,'Base de Datos Sumaria'!M203," ")</f>
        <v xml:space="preserve"> </v>
      </c>
      <c r="J206" s="10" t="str">
        <f>IF(SUM('Base de Datos Sumaria'!J203:Q203)&lt;&gt;0,'Base de Datos Sumaria'!N203," ")</f>
        <v xml:space="preserve"> </v>
      </c>
      <c r="K206" s="10" t="str">
        <f>IF(SUM('Base de Datos Sumaria'!J203:Q203)&lt;&gt;0,'Base de Datos Sumaria'!O203," ")</f>
        <v xml:space="preserve"> </v>
      </c>
      <c r="L206" s="10" t="str">
        <f>IF(SUM('Base de Datos Sumaria'!J203:Q203)&lt;&gt;0,'Base de Datos Sumaria'!P203," ")</f>
        <v xml:space="preserve"> </v>
      </c>
      <c r="M206" s="10" t="str">
        <f>IF(SUM('Base de Datos Sumaria'!J203:Q203)&lt;&gt;0,'Base de Datos Sumaria'!Q203," ")</f>
        <v xml:space="preserve"> </v>
      </c>
      <c r="N206" s="10" t="str">
        <f>IF(SUM('Base de Datos Sumaria'!J203:Q203)&lt;&gt;0,SUM(F206:M206)," ")</f>
        <v xml:space="preserve"> </v>
      </c>
    </row>
    <row r="207" spans="1:14" s="12" customFormat="1" ht="12.95" customHeight="1" x14ac:dyDescent="0.2">
      <c r="A207" s="6" t="str">
        <f>IF(SUM('Base de Datos Sumaria'!J204:Q204)&lt;&gt;0,'Base de Datos Sumaria'!C204," ")</f>
        <v xml:space="preserve"> </v>
      </c>
      <c r="B207" s="6" t="str">
        <f>IF(SUM('Base de Datos Sumaria'!J204:Q204)&lt;&gt;0,'Base de Datos Sumaria'!D204," ")</f>
        <v xml:space="preserve"> </v>
      </c>
      <c r="C207" s="7" t="str">
        <f>IF(SUM('Base de Datos Sumaria'!J204:Q204)&lt;&gt;0,'Base de Datos Sumaria'!H204," ")</f>
        <v xml:space="preserve"> </v>
      </c>
      <c r="D207" s="8" t="str">
        <f>IF(SUM('Base de Datos Sumaria'!J204:Q204)&lt;&gt;0,'Base de Datos Maestro'!L204," ")</f>
        <v xml:space="preserve"> </v>
      </c>
      <c r="E207" s="9" t="str">
        <f>IF('Base de Datos Sumaria'!I204&lt;&gt;0,'Base de Datos Sumaria'!I204,"")</f>
        <v/>
      </c>
      <c r="F207" s="10" t="str">
        <f>IF(SUM('Base de Datos Sumaria'!J204:Q204)&lt;&gt;0,'Base de Datos Sumaria'!J204,"")</f>
        <v/>
      </c>
      <c r="G207" s="10" t="str">
        <f>IF(SUM('Base de Datos Sumaria'!J204:Q204)&lt;&gt;0,'Base de Datos Sumaria'!K204," ")</f>
        <v xml:space="preserve"> </v>
      </c>
      <c r="H207" s="10" t="str">
        <f>IF(SUM('Base de Datos Sumaria'!J204:Q204)&lt;&gt;0,'Base de Datos Sumaria'!L204," ")</f>
        <v xml:space="preserve"> </v>
      </c>
      <c r="I207" s="10" t="str">
        <f>IF(SUM('Base de Datos Sumaria'!J204:Q204)&lt;&gt;0,'Base de Datos Sumaria'!M204," ")</f>
        <v xml:space="preserve"> </v>
      </c>
      <c r="J207" s="10" t="str">
        <f>IF(SUM('Base de Datos Sumaria'!J204:Q204)&lt;&gt;0,'Base de Datos Sumaria'!N204," ")</f>
        <v xml:space="preserve"> </v>
      </c>
      <c r="K207" s="10" t="str">
        <f>IF(SUM('Base de Datos Sumaria'!J204:Q204)&lt;&gt;0,'Base de Datos Sumaria'!O204," ")</f>
        <v xml:space="preserve"> </v>
      </c>
      <c r="L207" s="10" t="str">
        <f>IF(SUM('Base de Datos Sumaria'!J204:Q204)&lt;&gt;0,'Base de Datos Sumaria'!P204," ")</f>
        <v xml:space="preserve"> </v>
      </c>
      <c r="M207" s="10" t="str">
        <f>IF(SUM('Base de Datos Sumaria'!J204:Q204)&lt;&gt;0,'Base de Datos Sumaria'!Q204," ")</f>
        <v xml:space="preserve"> </v>
      </c>
      <c r="N207" s="10" t="str">
        <f>IF(SUM('Base de Datos Sumaria'!J204:Q204)&lt;&gt;0,SUM(F207:M207)," ")</f>
        <v xml:space="preserve"> </v>
      </c>
    </row>
    <row r="208" spans="1:14" s="12" customFormat="1" ht="12.95" customHeight="1" x14ac:dyDescent="0.2">
      <c r="A208" s="6" t="str">
        <f>IF(SUM('Base de Datos Sumaria'!J205:Q205)&lt;&gt;0,'Base de Datos Sumaria'!C205," ")</f>
        <v xml:space="preserve"> </v>
      </c>
      <c r="B208" s="6" t="str">
        <f>IF(SUM('Base de Datos Sumaria'!J205:Q205)&lt;&gt;0,'Base de Datos Sumaria'!D205," ")</f>
        <v xml:space="preserve"> </v>
      </c>
      <c r="C208" s="7" t="str">
        <f>IF(SUM('Base de Datos Sumaria'!J205:Q205)&lt;&gt;0,'Base de Datos Sumaria'!H205," ")</f>
        <v xml:space="preserve"> </v>
      </c>
      <c r="D208" s="8" t="str">
        <f>IF(SUM('Base de Datos Sumaria'!J205:Q205)&lt;&gt;0,'Base de Datos Maestro'!L205," ")</f>
        <v xml:space="preserve"> </v>
      </c>
      <c r="E208" s="9" t="str">
        <f>IF('Base de Datos Sumaria'!I205&lt;&gt;0,'Base de Datos Sumaria'!I205,"")</f>
        <v/>
      </c>
      <c r="F208" s="10" t="str">
        <f>IF(SUM('Base de Datos Sumaria'!J205:Q205)&lt;&gt;0,'Base de Datos Sumaria'!J205,"")</f>
        <v/>
      </c>
      <c r="G208" s="10" t="str">
        <f>IF(SUM('Base de Datos Sumaria'!J205:Q205)&lt;&gt;0,'Base de Datos Sumaria'!K205," ")</f>
        <v xml:space="preserve"> </v>
      </c>
      <c r="H208" s="10" t="str">
        <f>IF(SUM('Base de Datos Sumaria'!J205:Q205)&lt;&gt;0,'Base de Datos Sumaria'!L205," ")</f>
        <v xml:space="preserve"> </v>
      </c>
      <c r="I208" s="10" t="str">
        <f>IF(SUM('Base de Datos Sumaria'!J205:Q205)&lt;&gt;0,'Base de Datos Sumaria'!M205," ")</f>
        <v xml:space="preserve"> </v>
      </c>
      <c r="J208" s="10" t="str">
        <f>IF(SUM('Base de Datos Sumaria'!J205:Q205)&lt;&gt;0,'Base de Datos Sumaria'!N205," ")</f>
        <v xml:space="preserve"> </v>
      </c>
      <c r="K208" s="10" t="str">
        <f>IF(SUM('Base de Datos Sumaria'!J205:Q205)&lt;&gt;0,'Base de Datos Sumaria'!O205," ")</f>
        <v xml:space="preserve"> </v>
      </c>
      <c r="L208" s="10" t="str">
        <f>IF(SUM('Base de Datos Sumaria'!J205:Q205)&lt;&gt;0,'Base de Datos Sumaria'!P205," ")</f>
        <v xml:space="preserve"> </v>
      </c>
      <c r="M208" s="10" t="str">
        <f>IF(SUM('Base de Datos Sumaria'!J205:Q205)&lt;&gt;0,'Base de Datos Sumaria'!Q205," ")</f>
        <v xml:space="preserve"> </v>
      </c>
      <c r="N208" s="10" t="str">
        <f>IF(SUM('Base de Datos Sumaria'!J205:Q205)&lt;&gt;0,SUM(F208:M208)," ")</f>
        <v xml:space="preserve"> </v>
      </c>
    </row>
    <row r="209" spans="1:14" s="12" customFormat="1" ht="12.95" customHeight="1" x14ac:dyDescent="0.2">
      <c r="A209" s="6" t="str">
        <f>IF(SUM('Base de Datos Sumaria'!J206:Q206)&lt;&gt;0,'Base de Datos Sumaria'!C206," ")</f>
        <v xml:space="preserve"> </v>
      </c>
      <c r="B209" s="6" t="str">
        <f>IF(SUM('Base de Datos Sumaria'!J206:Q206)&lt;&gt;0,'Base de Datos Sumaria'!D206," ")</f>
        <v xml:space="preserve"> </v>
      </c>
      <c r="C209" s="7" t="str">
        <f>IF(SUM('Base de Datos Sumaria'!J206:Q206)&lt;&gt;0,'Base de Datos Sumaria'!H206," ")</f>
        <v xml:space="preserve"> </v>
      </c>
      <c r="D209" s="8" t="str">
        <f>IF(SUM('Base de Datos Sumaria'!J206:Q206)&lt;&gt;0,'Base de Datos Maestro'!L206," ")</f>
        <v xml:space="preserve"> </v>
      </c>
      <c r="E209" s="9" t="str">
        <f>IF('Base de Datos Sumaria'!I206&lt;&gt;0,'Base de Datos Sumaria'!I206,"")</f>
        <v/>
      </c>
      <c r="F209" s="10" t="str">
        <f>IF(SUM('Base de Datos Sumaria'!J206:Q206)&lt;&gt;0,'Base de Datos Sumaria'!J206,"")</f>
        <v/>
      </c>
      <c r="G209" s="10" t="str">
        <f>IF(SUM('Base de Datos Sumaria'!J206:Q206)&lt;&gt;0,'Base de Datos Sumaria'!K206," ")</f>
        <v xml:space="preserve"> </v>
      </c>
      <c r="H209" s="10" t="str">
        <f>IF(SUM('Base de Datos Sumaria'!J206:Q206)&lt;&gt;0,'Base de Datos Sumaria'!L206," ")</f>
        <v xml:space="preserve"> </v>
      </c>
      <c r="I209" s="10" t="str">
        <f>IF(SUM('Base de Datos Sumaria'!J206:Q206)&lt;&gt;0,'Base de Datos Sumaria'!M206," ")</f>
        <v xml:space="preserve"> </v>
      </c>
      <c r="J209" s="10" t="str">
        <f>IF(SUM('Base de Datos Sumaria'!J206:Q206)&lt;&gt;0,'Base de Datos Sumaria'!N206," ")</f>
        <v xml:space="preserve"> </v>
      </c>
      <c r="K209" s="10" t="str">
        <f>IF(SUM('Base de Datos Sumaria'!J206:Q206)&lt;&gt;0,'Base de Datos Sumaria'!O206," ")</f>
        <v xml:space="preserve"> </v>
      </c>
      <c r="L209" s="10" t="str">
        <f>IF(SUM('Base de Datos Sumaria'!J206:Q206)&lt;&gt;0,'Base de Datos Sumaria'!P206," ")</f>
        <v xml:space="preserve"> </v>
      </c>
      <c r="M209" s="10" t="str">
        <f>IF(SUM('Base de Datos Sumaria'!J206:Q206)&lt;&gt;0,'Base de Datos Sumaria'!Q206," ")</f>
        <v xml:space="preserve"> </v>
      </c>
      <c r="N209" s="10" t="str">
        <f>IF(SUM('Base de Datos Sumaria'!J206:Q206)&lt;&gt;0,SUM(F209:M209)," ")</f>
        <v xml:space="preserve"> </v>
      </c>
    </row>
    <row r="210" spans="1:14" s="12" customFormat="1" ht="12.95" customHeight="1" x14ac:dyDescent="0.2">
      <c r="A210" s="6" t="str">
        <f>IF(SUM('Base de Datos Sumaria'!J207:Q207)&lt;&gt;0,'Base de Datos Sumaria'!C207," ")</f>
        <v xml:space="preserve"> </v>
      </c>
      <c r="B210" s="6" t="str">
        <f>IF(SUM('Base de Datos Sumaria'!J207:Q207)&lt;&gt;0,'Base de Datos Sumaria'!D207," ")</f>
        <v xml:space="preserve"> </v>
      </c>
      <c r="C210" s="7" t="str">
        <f>IF(SUM('Base de Datos Sumaria'!J207:Q207)&lt;&gt;0,'Base de Datos Sumaria'!H207," ")</f>
        <v xml:space="preserve"> </v>
      </c>
      <c r="D210" s="8" t="str">
        <f>IF(SUM('Base de Datos Sumaria'!J207:Q207)&lt;&gt;0,'Base de Datos Maestro'!L207," ")</f>
        <v xml:space="preserve"> </v>
      </c>
      <c r="E210" s="9" t="str">
        <f>IF('Base de Datos Sumaria'!I207&lt;&gt;0,'Base de Datos Sumaria'!I207,"")</f>
        <v/>
      </c>
      <c r="F210" s="10" t="str">
        <f>IF(SUM('Base de Datos Sumaria'!J207:Q207)&lt;&gt;0,'Base de Datos Sumaria'!J207,"")</f>
        <v/>
      </c>
      <c r="G210" s="10" t="str">
        <f>IF(SUM('Base de Datos Sumaria'!J207:Q207)&lt;&gt;0,'Base de Datos Sumaria'!K207," ")</f>
        <v xml:space="preserve"> </v>
      </c>
      <c r="H210" s="10" t="str">
        <f>IF(SUM('Base de Datos Sumaria'!J207:Q207)&lt;&gt;0,'Base de Datos Sumaria'!L207," ")</f>
        <v xml:space="preserve"> </v>
      </c>
      <c r="I210" s="10" t="str">
        <f>IF(SUM('Base de Datos Sumaria'!J207:Q207)&lt;&gt;0,'Base de Datos Sumaria'!M207," ")</f>
        <v xml:space="preserve"> </v>
      </c>
      <c r="J210" s="10" t="str">
        <f>IF(SUM('Base de Datos Sumaria'!J207:Q207)&lt;&gt;0,'Base de Datos Sumaria'!N207," ")</f>
        <v xml:space="preserve"> </v>
      </c>
      <c r="K210" s="10" t="str">
        <f>IF(SUM('Base de Datos Sumaria'!J207:Q207)&lt;&gt;0,'Base de Datos Sumaria'!O207," ")</f>
        <v xml:space="preserve"> </v>
      </c>
      <c r="L210" s="10" t="str">
        <f>IF(SUM('Base de Datos Sumaria'!J207:Q207)&lt;&gt;0,'Base de Datos Sumaria'!P207," ")</f>
        <v xml:space="preserve"> </v>
      </c>
      <c r="M210" s="10" t="str">
        <f>IF(SUM('Base de Datos Sumaria'!J207:Q207)&lt;&gt;0,'Base de Datos Sumaria'!Q207," ")</f>
        <v xml:space="preserve"> </v>
      </c>
      <c r="N210" s="10" t="str">
        <f>IF(SUM('Base de Datos Sumaria'!J207:Q207)&lt;&gt;0,SUM(F210:M210)," ")</f>
        <v xml:space="preserve"> </v>
      </c>
    </row>
    <row r="211" spans="1:14" s="12" customFormat="1" ht="12.95" customHeight="1" x14ac:dyDescent="0.2">
      <c r="A211" s="6" t="str">
        <f>IF(SUM('Base de Datos Sumaria'!J208:Q208)&lt;&gt;0,'Base de Datos Sumaria'!C208," ")</f>
        <v xml:space="preserve"> </v>
      </c>
      <c r="B211" s="6" t="str">
        <f>IF(SUM('Base de Datos Sumaria'!J208:Q208)&lt;&gt;0,'Base de Datos Sumaria'!D208," ")</f>
        <v xml:space="preserve"> </v>
      </c>
      <c r="C211" s="7" t="str">
        <f>IF(SUM('Base de Datos Sumaria'!J208:Q208)&lt;&gt;0,'Base de Datos Sumaria'!H208," ")</f>
        <v xml:space="preserve"> </v>
      </c>
      <c r="D211" s="8" t="str">
        <f>IF(SUM('Base de Datos Sumaria'!J208:Q208)&lt;&gt;0,'Base de Datos Maestro'!L208," ")</f>
        <v xml:space="preserve"> </v>
      </c>
      <c r="E211" s="9" t="str">
        <f>IF('Base de Datos Sumaria'!I208&lt;&gt;0,'Base de Datos Sumaria'!I208,"")</f>
        <v/>
      </c>
      <c r="F211" s="10" t="str">
        <f>IF(SUM('Base de Datos Sumaria'!J208:Q208)&lt;&gt;0,'Base de Datos Sumaria'!J208,"")</f>
        <v/>
      </c>
      <c r="G211" s="10" t="str">
        <f>IF(SUM('Base de Datos Sumaria'!J208:Q208)&lt;&gt;0,'Base de Datos Sumaria'!K208," ")</f>
        <v xml:space="preserve"> </v>
      </c>
      <c r="H211" s="10" t="str">
        <f>IF(SUM('Base de Datos Sumaria'!J208:Q208)&lt;&gt;0,'Base de Datos Sumaria'!L208," ")</f>
        <v xml:space="preserve"> </v>
      </c>
      <c r="I211" s="10" t="str">
        <f>IF(SUM('Base de Datos Sumaria'!J208:Q208)&lt;&gt;0,'Base de Datos Sumaria'!M208," ")</f>
        <v xml:space="preserve"> </v>
      </c>
      <c r="J211" s="10" t="str">
        <f>IF(SUM('Base de Datos Sumaria'!J208:Q208)&lt;&gt;0,'Base de Datos Sumaria'!N208," ")</f>
        <v xml:space="preserve"> </v>
      </c>
      <c r="K211" s="10" t="str">
        <f>IF(SUM('Base de Datos Sumaria'!J208:Q208)&lt;&gt;0,'Base de Datos Sumaria'!O208," ")</f>
        <v xml:space="preserve"> </v>
      </c>
      <c r="L211" s="10" t="str">
        <f>IF(SUM('Base de Datos Sumaria'!J208:Q208)&lt;&gt;0,'Base de Datos Sumaria'!P208," ")</f>
        <v xml:space="preserve"> </v>
      </c>
      <c r="M211" s="10" t="str">
        <f>IF(SUM('Base de Datos Sumaria'!J208:Q208)&lt;&gt;0,'Base de Datos Sumaria'!Q208," ")</f>
        <v xml:space="preserve"> </v>
      </c>
      <c r="N211" s="10" t="str">
        <f>IF(SUM('Base de Datos Sumaria'!J208:Q208)&lt;&gt;0,SUM(F211:M211)," ")</f>
        <v xml:space="preserve"> </v>
      </c>
    </row>
    <row r="212" spans="1:14" s="12" customFormat="1" ht="12.95" customHeight="1" x14ac:dyDescent="0.2">
      <c r="A212" s="6" t="str">
        <f>IF(SUM('Base de Datos Sumaria'!J209:Q209)&lt;&gt;0,'Base de Datos Sumaria'!C209," ")</f>
        <v xml:space="preserve"> </v>
      </c>
      <c r="B212" s="6" t="str">
        <f>IF(SUM('Base de Datos Sumaria'!J209:Q209)&lt;&gt;0,'Base de Datos Sumaria'!D209," ")</f>
        <v xml:space="preserve"> </v>
      </c>
      <c r="C212" s="7" t="str">
        <f>IF(SUM('Base de Datos Sumaria'!J209:Q209)&lt;&gt;0,'Base de Datos Sumaria'!H209," ")</f>
        <v xml:space="preserve"> </v>
      </c>
      <c r="D212" s="8" t="str">
        <f>IF(SUM('Base de Datos Sumaria'!J209:Q209)&lt;&gt;0,'Base de Datos Maestro'!L209," ")</f>
        <v xml:space="preserve"> </v>
      </c>
      <c r="E212" s="9" t="str">
        <f>IF('Base de Datos Sumaria'!I209&lt;&gt;0,'Base de Datos Sumaria'!I209,"")</f>
        <v/>
      </c>
      <c r="F212" s="10" t="str">
        <f>IF(SUM('Base de Datos Sumaria'!J209:Q209)&lt;&gt;0,'Base de Datos Sumaria'!J209,"")</f>
        <v/>
      </c>
      <c r="G212" s="10" t="str">
        <f>IF(SUM('Base de Datos Sumaria'!J209:Q209)&lt;&gt;0,'Base de Datos Sumaria'!K209," ")</f>
        <v xml:space="preserve"> </v>
      </c>
      <c r="H212" s="10" t="str">
        <f>IF(SUM('Base de Datos Sumaria'!J209:Q209)&lt;&gt;0,'Base de Datos Sumaria'!L209," ")</f>
        <v xml:space="preserve"> </v>
      </c>
      <c r="I212" s="10" t="str">
        <f>IF(SUM('Base de Datos Sumaria'!J209:Q209)&lt;&gt;0,'Base de Datos Sumaria'!M209," ")</f>
        <v xml:space="preserve"> </v>
      </c>
      <c r="J212" s="10" t="str">
        <f>IF(SUM('Base de Datos Sumaria'!J209:Q209)&lt;&gt;0,'Base de Datos Sumaria'!N209," ")</f>
        <v xml:space="preserve"> </v>
      </c>
      <c r="K212" s="10" t="str">
        <f>IF(SUM('Base de Datos Sumaria'!J209:Q209)&lt;&gt;0,'Base de Datos Sumaria'!O209," ")</f>
        <v xml:space="preserve"> </v>
      </c>
      <c r="L212" s="10" t="str">
        <f>IF(SUM('Base de Datos Sumaria'!J209:Q209)&lt;&gt;0,'Base de Datos Sumaria'!P209," ")</f>
        <v xml:space="preserve"> </v>
      </c>
      <c r="M212" s="10" t="str">
        <f>IF(SUM('Base de Datos Sumaria'!J209:Q209)&lt;&gt;0,'Base de Datos Sumaria'!Q209," ")</f>
        <v xml:space="preserve"> </v>
      </c>
      <c r="N212" s="10" t="str">
        <f>IF(SUM('Base de Datos Sumaria'!J209:Q209)&lt;&gt;0,SUM(F212:M212)," ")</f>
        <v xml:space="preserve"> </v>
      </c>
    </row>
    <row r="213" spans="1:14" s="12" customFormat="1" ht="12.95" customHeight="1" x14ac:dyDescent="0.2">
      <c r="A213" s="6" t="str">
        <f>IF(SUM('Base de Datos Sumaria'!J210:Q210)&lt;&gt;0,'Base de Datos Sumaria'!C210," ")</f>
        <v xml:space="preserve"> </v>
      </c>
      <c r="B213" s="6" t="str">
        <f>IF(SUM('Base de Datos Sumaria'!J210:Q210)&lt;&gt;0,'Base de Datos Sumaria'!D210," ")</f>
        <v xml:space="preserve"> </v>
      </c>
      <c r="C213" s="7" t="str">
        <f>IF(SUM('Base de Datos Sumaria'!J210:Q210)&lt;&gt;0,'Base de Datos Sumaria'!H210," ")</f>
        <v xml:space="preserve"> </v>
      </c>
      <c r="D213" s="8" t="str">
        <f>IF(SUM('Base de Datos Sumaria'!J210:Q210)&lt;&gt;0,'Base de Datos Maestro'!L210," ")</f>
        <v xml:space="preserve"> </v>
      </c>
      <c r="E213" s="9" t="str">
        <f>IF('Base de Datos Sumaria'!I210&lt;&gt;0,'Base de Datos Sumaria'!I210,"")</f>
        <v/>
      </c>
      <c r="F213" s="10" t="str">
        <f>IF(SUM('Base de Datos Sumaria'!J210:Q210)&lt;&gt;0,'Base de Datos Sumaria'!J210,"")</f>
        <v/>
      </c>
      <c r="G213" s="10" t="str">
        <f>IF(SUM('Base de Datos Sumaria'!J210:Q210)&lt;&gt;0,'Base de Datos Sumaria'!K210," ")</f>
        <v xml:space="preserve"> </v>
      </c>
      <c r="H213" s="10" t="str">
        <f>IF(SUM('Base de Datos Sumaria'!J210:Q210)&lt;&gt;0,'Base de Datos Sumaria'!L210," ")</f>
        <v xml:space="preserve"> </v>
      </c>
      <c r="I213" s="10" t="str">
        <f>IF(SUM('Base de Datos Sumaria'!J210:Q210)&lt;&gt;0,'Base de Datos Sumaria'!M210," ")</f>
        <v xml:space="preserve"> </v>
      </c>
      <c r="J213" s="10" t="str">
        <f>IF(SUM('Base de Datos Sumaria'!J210:Q210)&lt;&gt;0,'Base de Datos Sumaria'!N210," ")</f>
        <v xml:space="preserve"> </v>
      </c>
      <c r="K213" s="10" t="str">
        <f>IF(SUM('Base de Datos Sumaria'!J210:Q210)&lt;&gt;0,'Base de Datos Sumaria'!O210," ")</f>
        <v xml:space="preserve"> </v>
      </c>
      <c r="L213" s="10" t="str">
        <f>IF(SUM('Base de Datos Sumaria'!J210:Q210)&lt;&gt;0,'Base de Datos Sumaria'!P210," ")</f>
        <v xml:space="preserve"> </v>
      </c>
      <c r="M213" s="10" t="str">
        <f>IF(SUM('Base de Datos Sumaria'!J210:Q210)&lt;&gt;0,'Base de Datos Sumaria'!Q210," ")</f>
        <v xml:space="preserve"> </v>
      </c>
      <c r="N213" s="10" t="str">
        <f>IF(SUM('Base de Datos Sumaria'!J210:Q210)&lt;&gt;0,SUM(F213:M213)," ")</f>
        <v xml:space="preserve"> </v>
      </c>
    </row>
    <row r="214" spans="1:14" s="12" customFormat="1" ht="12.95" customHeight="1" x14ac:dyDescent="0.2">
      <c r="A214" s="6" t="str">
        <f>IF(SUM('Base de Datos Sumaria'!J211:Q211)&lt;&gt;0,'Base de Datos Sumaria'!C211," ")</f>
        <v xml:space="preserve"> </v>
      </c>
      <c r="B214" s="6" t="str">
        <f>IF(SUM('Base de Datos Sumaria'!J211:Q211)&lt;&gt;0,'Base de Datos Sumaria'!D211," ")</f>
        <v xml:space="preserve"> </v>
      </c>
      <c r="C214" s="7" t="str">
        <f>IF(SUM('Base de Datos Sumaria'!J211:Q211)&lt;&gt;0,'Base de Datos Sumaria'!H211," ")</f>
        <v xml:space="preserve"> </v>
      </c>
      <c r="D214" s="8" t="str">
        <f>IF(SUM('Base de Datos Sumaria'!J211:Q211)&lt;&gt;0,'Base de Datos Maestro'!L211," ")</f>
        <v xml:space="preserve"> </v>
      </c>
      <c r="E214" s="9" t="str">
        <f>IF('Base de Datos Sumaria'!I211&lt;&gt;0,'Base de Datos Sumaria'!I211,"")</f>
        <v/>
      </c>
      <c r="F214" s="10" t="str">
        <f>IF(SUM('Base de Datos Sumaria'!J211:Q211)&lt;&gt;0,'Base de Datos Sumaria'!J211,"")</f>
        <v/>
      </c>
      <c r="G214" s="10" t="str">
        <f>IF(SUM('Base de Datos Sumaria'!J211:Q211)&lt;&gt;0,'Base de Datos Sumaria'!K211," ")</f>
        <v xml:space="preserve"> </v>
      </c>
      <c r="H214" s="10" t="str">
        <f>IF(SUM('Base de Datos Sumaria'!J211:Q211)&lt;&gt;0,'Base de Datos Sumaria'!L211," ")</f>
        <v xml:space="preserve"> </v>
      </c>
      <c r="I214" s="10" t="str">
        <f>IF(SUM('Base de Datos Sumaria'!J211:Q211)&lt;&gt;0,'Base de Datos Sumaria'!M211," ")</f>
        <v xml:space="preserve"> </v>
      </c>
      <c r="J214" s="10" t="str">
        <f>IF(SUM('Base de Datos Sumaria'!J211:Q211)&lt;&gt;0,'Base de Datos Sumaria'!N211," ")</f>
        <v xml:space="preserve"> </v>
      </c>
      <c r="K214" s="10" t="str">
        <f>IF(SUM('Base de Datos Sumaria'!J211:Q211)&lt;&gt;0,'Base de Datos Sumaria'!O211," ")</f>
        <v xml:space="preserve"> </v>
      </c>
      <c r="L214" s="10" t="str">
        <f>IF(SUM('Base de Datos Sumaria'!J211:Q211)&lt;&gt;0,'Base de Datos Sumaria'!P211," ")</f>
        <v xml:space="preserve"> </v>
      </c>
      <c r="M214" s="10" t="str">
        <f>IF(SUM('Base de Datos Sumaria'!J211:Q211)&lt;&gt;0,'Base de Datos Sumaria'!Q211," ")</f>
        <v xml:space="preserve"> </v>
      </c>
      <c r="N214" s="10" t="str">
        <f>IF(SUM('Base de Datos Sumaria'!J211:Q211)&lt;&gt;0,SUM(F214:M214)," ")</f>
        <v xml:space="preserve"> </v>
      </c>
    </row>
    <row r="215" spans="1:14" s="12" customFormat="1" ht="12.95" customHeight="1" x14ac:dyDescent="0.2">
      <c r="A215" s="6" t="str">
        <f>IF(SUM('Base de Datos Sumaria'!J212:Q212)&lt;&gt;0,'Base de Datos Sumaria'!C212," ")</f>
        <v xml:space="preserve"> </v>
      </c>
      <c r="B215" s="6" t="str">
        <f>IF(SUM('Base de Datos Sumaria'!J212:Q212)&lt;&gt;0,'Base de Datos Sumaria'!D212," ")</f>
        <v xml:space="preserve"> </v>
      </c>
      <c r="C215" s="7" t="str">
        <f>IF(SUM('Base de Datos Sumaria'!J212:Q212)&lt;&gt;0,'Base de Datos Sumaria'!H212," ")</f>
        <v xml:space="preserve"> </v>
      </c>
      <c r="D215" s="8" t="str">
        <f>IF(SUM('Base de Datos Sumaria'!J212:Q212)&lt;&gt;0,'Base de Datos Maestro'!L212," ")</f>
        <v xml:space="preserve"> </v>
      </c>
      <c r="E215" s="9" t="str">
        <f>IF('Base de Datos Sumaria'!I212&lt;&gt;0,'Base de Datos Sumaria'!I212,"")</f>
        <v/>
      </c>
      <c r="F215" s="10" t="str">
        <f>IF(SUM('Base de Datos Sumaria'!J212:Q212)&lt;&gt;0,'Base de Datos Sumaria'!J212,"")</f>
        <v/>
      </c>
      <c r="G215" s="10" t="str">
        <f>IF(SUM('Base de Datos Sumaria'!J212:Q212)&lt;&gt;0,'Base de Datos Sumaria'!K212," ")</f>
        <v xml:space="preserve"> </v>
      </c>
      <c r="H215" s="10" t="str">
        <f>IF(SUM('Base de Datos Sumaria'!J212:Q212)&lt;&gt;0,'Base de Datos Sumaria'!L212," ")</f>
        <v xml:space="preserve"> </v>
      </c>
      <c r="I215" s="10" t="str">
        <f>IF(SUM('Base de Datos Sumaria'!J212:Q212)&lt;&gt;0,'Base de Datos Sumaria'!M212," ")</f>
        <v xml:space="preserve"> </v>
      </c>
      <c r="J215" s="10" t="str">
        <f>IF(SUM('Base de Datos Sumaria'!J212:Q212)&lt;&gt;0,'Base de Datos Sumaria'!N212," ")</f>
        <v xml:space="preserve"> </v>
      </c>
      <c r="K215" s="10" t="str">
        <f>IF(SUM('Base de Datos Sumaria'!J212:Q212)&lt;&gt;0,'Base de Datos Sumaria'!O212," ")</f>
        <v xml:space="preserve"> </v>
      </c>
      <c r="L215" s="10" t="str">
        <f>IF(SUM('Base de Datos Sumaria'!J212:Q212)&lt;&gt;0,'Base de Datos Sumaria'!P212," ")</f>
        <v xml:space="preserve"> </v>
      </c>
      <c r="M215" s="10" t="str">
        <f>IF(SUM('Base de Datos Sumaria'!J212:Q212)&lt;&gt;0,'Base de Datos Sumaria'!Q212," ")</f>
        <v xml:space="preserve"> </v>
      </c>
      <c r="N215" s="10" t="str">
        <f>IF(SUM('Base de Datos Sumaria'!J212:Q212)&lt;&gt;0,SUM(F215:M215)," ")</f>
        <v xml:space="preserve"> </v>
      </c>
    </row>
    <row r="216" spans="1:14" s="12" customFormat="1" ht="12.95" customHeight="1" x14ac:dyDescent="0.2">
      <c r="A216" s="6" t="str">
        <f>IF(SUM('Base de Datos Sumaria'!J213:Q213)&lt;&gt;0,'Base de Datos Sumaria'!C213," ")</f>
        <v xml:space="preserve"> </v>
      </c>
      <c r="B216" s="6" t="str">
        <f>IF(SUM('Base de Datos Sumaria'!J213:Q213)&lt;&gt;0,'Base de Datos Sumaria'!D213," ")</f>
        <v xml:space="preserve"> </v>
      </c>
      <c r="C216" s="7" t="str">
        <f>IF(SUM('Base de Datos Sumaria'!J213:Q213)&lt;&gt;0,'Base de Datos Sumaria'!H213," ")</f>
        <v xml:space="preserve"> </v>
      </c>
      <c r="D216" s="8" t="str">
        <f>IF(SUM('Base de Datos Sumaria'!J213:Q213)&lt;&gt;0,'Base de Datos Maestro'!L213," ")</f>
        <v xml:space="preserve"> </v>
      </c>
      <c r="E216" s="9" t="str">
        <f>IF('Base de Datos Sumaria'!I213&lt;&gt;0,'Base de Datos Sumaria'!I213,"")</f>
        <v/>
      </c>
      <c r="F216" s="10" t="str">
        <f>IF(SUM('Base de Datos Sumaria'!J213:Q213)&lt;&gt;0,'Base de Datos Sumaria'!J213,"")</f>
        <v/>
      </c>
      <c r="G216" s="10" t="str">
        <f>IF(SUM('Base de Datos Sumaria'!J213:Q213)&lt;&gt;0,'Base de Datos Sumaria'!K213," ")</f>
        <v xml:space="preserve"> </v>
      </c>
      <c r="H216" s="10" t="str">
        <f>IF(SUM('Base de Datos Sumaria'!J213:Q213)&lt;&gt;0,'Base de Datos Sumaria'!L213," ")</f>
        <v xml:space="preserve"> </v>
      </c>
      <c r="I216" s="10" t="str">
        <f>IF(SUM('Base de Datos Sumaria'!J213:Q213)&lt;&gt;0,'Base de Datos Sumaria'!M213," ")</f>
        <v xml:space="preserve"> </v>
      </c>
      <c r="J216" s="10" t="str">
        <f>IF(SUM('Base de Datos Sumaria'!J213:Q213)&lt;&gt;0,'Base de Datos Sumaria'!N213," ")</f>
        <v xml:space="preserve"> </v>
      </c>
      <c r="K216" s="10" t="str">
        <f>IF(SUM('Base de Datos Sumaria'!J213:Q213)&lt;&gt;0,'Base de Datos Sumaria'!O213," ")</f>
        <v xml:space="preserve"> </v>
      </c>
      <c r="L216" s="10" t="str">
        <f>IF(SUM('Base de Datos Sumaria'!J213:Q213)&lt;&gt;0,'Base de Datos Sumaria'!P213," ")</f>
        <v xml:space="preserve"> </v>
      </c>
      <c r="M216" s="10" t="str">
        <f>IF(SUM('Base de Datos Sumaria'!J213:Q213)&lt;&gt;0,'Base de Datos Sumaria'!Q213," ")</f>
        <v xml:space="preserve"> </v>
      </c>
      <c r="N216" s="10" t="str">
        <f>IF(SUM('Base de Datos Sumaria'!J213:Q213)&lt;&gt;0,SUM(F216:M216)," ")</f>
        <v xml:space="preserve"> </v>
      </c>
    </row>
    <row r="217" spans="1:14" s="12" customFormat="1" ht="12.95" customHeight="1" x14ac:dyDescent="0.2">
      <c r="A217" s="6" t="str">
        <f>IF(SUM('Base de Datos Sumaria'!J214:Q214)&lt;&gt;0,'Base de Datos Sumaria'!C214," ")</f>
        <v xml:space="preserve"> </v>
      </c>
      <c r="B217" s="6" t="str">
        <f>IF(SUM('Base de Datos Sumaria'!J214:Q214)&lt;&gt;0,'Base de Datos Sumaria'!D214," ")</f>
        <v xml:space="preserve"> </v>
      </c>
      <c r="C217" s="7" t="str">
        <f>IF(SUM('Base de Datos Sumaria'!J214:Q214)&lt;&gt;0,'Base de Datos Sumaria'!H214," ")</f>
        <v xml:space="preserve"> </v>
      </c>
      <c r="D217" s="8" t="str">
        <f>IF(SUM('Base de Datos Sumaria'!J214:Q214)&lt;&gt;0,'Base de Datos Maestro'!L214," ")</f>
        <v xml:space="preserve"> </v>
      </c>
      <c r="E217" s="9" t="str">
        <f>IF('Base de Datos Sumaria'!I214&lt;&gt;0,'Base de Datos Sumaria'!I214,"")</f>
        <v/>
      </c>
      <c r="F217" s="10" t="str">
        <f>IF(SUM('Base de Datos Sumaria'!J214:Q214)&lt;&gt;0,'Base de Datos Sumaria'!J214,"")</f>
        <v/>
      </c>
      <c r="G217" s="10" t="str">
        <f>IF(SUM('Base de Datos Sumaria'!J214:Q214)&lt;&gt;0,'Base de Datos Sumaria'!K214," ")</f>
        <v xml:space="preserve"> </v>
      </c>
      <c r="H217" s="10" t="str">
        <f>IF(SUM('Base de Datos Sumaria'!J214:Q214)&lt;&gt;0,'Base de Datos Sumaria'!L214," ")</f>
        <v xml:space="preserve"> </v>
      </c>
      <c r="I217" s="10" t="str">
        <f>IF(SUM('Base de Datos Sumaria'!J214:Q214)&lt;&gt;0,'Base de Datos Sumaria'!M214," ")</f>
        <v xml:space="preserve"> </v>
      </c>
      <c r="J217" s="10" t="str">
        <f>IF(SUM('Base de Datos Sumaria'!J214:Q214)&lt;&gt;0,'Base de Datos Sumaria'!N214," ")</f>
        <v xml:space="preserve"> </v>
      </c>
      <c r="K217" s="10" t="str">
        <f>IF(SUM('Base de Datos Sumaria'!J214:Q214)&lt;&gt;0,'Base de Datos Sumaria'!O214," ")</f>
        <v xml:space="preserve"> </v>
      </c>
      <c r="L217" s="10" t="str">
        <f>IF(SUM('Base de Datos Sumaria'!J214:Q214)&lt;&gt;0,'Base de Datos Sumaria'!P214," ")</f>
        <v xml:space="preserve"> </v>
      </c>
      <c r="M217" s="10" t="str">
        <f>IF(SUM('Base de Datos Sumaria'!J214:Q214)&lt;&gt;0,'Base de Datos Sumaria'!Q214," ")</f>
        <v xml:space="preserve"> </v>
      </c>
      <c r="N217" s="10" t="str">
        <f>IF(SUM('Base de Datos Sumaria'!J214:Q214)&lt;&gt;0,SUM(F217:M217)," ")</f>
        <v xml:space="preserve"> </v>
      </c>
    </row>
    <row r="218" spans="1:14" s="12" customFormat="1" ht="12.95" customHeight="1" x14ac:dyDescent="0.2">
      <c r="A218" s="6" t="str">
        <f>IF(SUM('Base de Datos Sumaria'!J215:Q215)&lt;&gt;0,'Base de Datos Sumaria'!C215," ")</f>
        <v xml:space="preserve"> </v>
      </c>
      <c r="B218" s="6" t="str">
        <f>IF(SUM('Base de Datos Sumaria'!J215:Q215)&lt;&gt;0,'Base de Datos Sumaria'!D215," ")</f>
        <v xml:space="preserve"> </v>
      </c>
      <c r="C218" s="7" t="str">
        <f>IF(SUM('Base de Datos Sumaria'!J215:Q215)&lt;&gt;0,'Base de Datos Sumaria'!H215," ")</f>
        <v xml:space="preserve"> </v>
      </c>
      <c r="D218" s="8" t="str">
        <f>IF(SUM('Base de Datos Sumaria'!J215:Q215)&lt;&gt;0,'Base de Datos Maestro'!L215," ")</f>
        <v xml:space="preserve"> </v>
      </c>
      <c r="E218" s="9" t="str">
        <f>IF('Base de Datos Sumaria'!I215&lt;&gt;0,'Base de Datos Sumaria'!I215,"")</f>
        <v/>
      </c>
      <c r="F218" s="10" t="str">
        <f>IF(SUM('Base de Datos Sumaria'!J215:Q215)&lt;&gt;0,'Base de Datos Sumaria'!J215,"")</f>
        <v/>
      </c>
      <c r="G218" s="10" t="str">
        <f>IF(SUM('Base de Datos Sumaria'!J215:Q215)&lt;&gt;0,'Base de Datos Sumaria'!K215," ")</f>
        <v xml:space="preserve"> </v>
      </c>
      <c r="H218" s="10" t="str">
        <f>IF(SUM('Base de Datos Sumaria'!J215:Q215)&lt;&gt;0,'Base de Datos Sumaria'!L215," ")</f>
        <v xml:space="preserve"> </v>
      </c>
      <c r="I218" s="10" t="str">
        <f>IF(SUM('Base de Datos Sumaria'!J215:Q215)&lt;&gt;0,'Base de Datos Sumaria'!M215," ")</f>
        <v xml:space="preserve"> </v>
      </c>
      <c r="J218" s="10" t="str">
        <f>IF(SUM('Base de Datos Sumaria'!J215:Q215)&lt;&gt;0,'Base de Datos Sumaria'!N215," ")</f>
        <v xml:space="preserve"> </v>
      </c>
      <c r="K218" s="10" t="str">
        <f>IF(SUM('Base de Datos Sumaria'!J215:Q215)&lt;&gt;0,'Base de Datos Sumaria'!O215," ")</f>
        <v xml:space="preserve"> </v>
      </c>
      <c r="L218" s="10" t="str">
        <f>IF(SUM('Base de Datos Sumaria'!J215:Q215)&lt;&gt;0,'Base de Datos Sumaria'!P215," ")</f>
        <v xml:space="preserve"> </v>
      </c>
      <c r="M218" s="10" t="str">
        <f>IF(SUM('Base de Datos Sumaria'!J215:Q215)&lt;&gt;0,'Base de Datos Sumaria'!Q215," ")</f>
        <v xml:space="preserve"> </v>
      </c>
      <c r="N218" s="10" t="str">
        <f>IF(SUM('Base de Datos Sumaria'!J215:Q215)&lt;&gt;0,SUM(F218:M218)," ")</f>
        <v xml:space="preserve"> </v>
      </c>
    </row>
    <row r="219" spans="1:14" s="12" customFormat="1" ht="12.95" customHeight="1" x14ac:dyDescent="0.2">
      <c r="A219" s="6" t="str">
        <f>IF(SUM('Base de Datos Sumaria'!J216:Q216)&lt;&gt;0,'Base de Datos Sumaria'!C216," ")</f>
        <v xml:space="preserve"> </v>
      </c>
      <c r="B219" s="6" t="str">
        <f>IF(SUM('Base de Datos Sumaria'!J216:Q216)&lt;&gt;0,'Base de Datos Sumaria'!D216," ")</f>
        <v xml:space="preserve"> </v>
      </c>
      <c r="C219" s="7" t="str">
        <f>IF(SUM('Base de Datos Sumaria'!J216:Q216)&lt;&gt;0,'Base de Datos Sumaria'!H216," ")</f>
        <v xml:space="preserve"> </v>
      </c>
      <c r="D219" s="8" t="str">
        <f>IF(SUM('Base de Datos Sumaria'!J216:Q216)&lt;&gt;0,'Base de Datos Maestro'!L216," ")</f>
        <v xml:space="preserve"> </v>
      </c>
      <c r="E219" s="9" t="str">
        <f>IF('Base de Datos Sumaria'!I216&lt;&gt;0,'Base de Datos Sumaria'!I216,"")</f>
        <v/>
      </c>
      <c r="F219" s="10" t="str">
        <f>IF(SUM('Base de Datos Sumaria'!J216:Q216)&lt;&gt;0,'Base de Datos Sumaria'!J216,"")</f>
        <v/>
      </c>
      <c r="G219" s="10" t="str">
        <f>IF(SUM('Base de Datos Sumaria'!J216:Q216)&lt;&gt;0,'Base de Datos Sumaria'!K216," ")</f>
        <v xml:space="preserve"> </v>
      </c>
      <c r="H219" s="10" t="str">
        <f>IF(SUM('Base de Datos Sumaria'!J216:Q216)&lt;&gt;0,'Base de Datos Sumaria'!L216," ")</f>
        <v xml:space="preserve"> </v>
      </c>
      <c r="I219" s="10" t="str">
        <f>IF(SUM('Base de Datos Sumaria'!J216:Q216)&lt;&gt;0,'Base de Datos Sumaria'!M216," ")</f>
        <v xml:space="preserve"> </v>
      </c>
      <c r="J219" s="10" t="str">
        <f>IF(SUM('Base de Datos Sumaria'!J216:Q216)&lt;&gt;0,'Base de Datos Sumaria'!N216," ")</f>
        <v xml:space="preserve"> </v>
      </c>
      <c r="K219" s="10" t="str">
        <f>IF(SUM('Base de Datos Sumaria'!J216:Q216)&lt;&gt;0,'Base de Datos Sumaria'!O216," ")</f>
        <v xml:space="preserve"> </v>
      </c>
      <c r="L219" s="10" t="str">
        <f>IF(SUM('Base de Datos Sumaria'!J216:Q216)&lt;&gt;0,'Base de Datos Sumaria'!P216," ")</f>
        <v xml:space="preserve"> </v>
      </c>
      <c r="M219" s="10" t="str">
        <f>IF(SUM('Base de Datos Sumaria'!J216:Q216)&lt;&gt;0,'Base de Datos Sumaria'!Q216," ")</f>
        <v xml:space="preserve"> </v>
      </c>
      <c r="N219" s="10" t="str">
        <f>IF(SUM('Base de Datos Sumaria'!J216:Q216)&lt;&gt;0,SUM(F219:M219)," ")</f>
        <v xml:space="preserve"> </v>
      </c>
    </row>
    <row r="220" spans="1:14" s="12" customFormat="1" ht="12.95" customHeight="1" x14ac:dyDescent="0.2">
      <c r="A220" s="6" t="str">
        <f>IF(SUM('Base de Datos Sumaria'!J217:Q217)&lt;&gt;0,'Base de Datos Sumaria'!C217," ")</f>
        <v xml:space="preserve"> </v>
      </c>
      <c r="B220" s="6" t="str">
        <f>IF(SUM('Base de Datos Sumaria'!J217:Q217)&lt;&gt;0,'Base de Datos Sumaria'!D217," ")</f>
        <v xml:space="preserve"> </v>
      </c>
      <c r="C220" s="7" t="str">
        <f>IF(SUM('Base de Datos Sumaria'!J217:Q217)&lt;&gt;0,'Base de Datos Sumaria'!H217," ")</f>
        <v xml:space="preserve"> </v>
      </c>
      <c r="D220" s="8" t="str">
        <f>IF(SUM('Base de Datos Sumaria'!J217:Q217)&lt;&gt;0,'Base de Datos Maestro'!L217," ")</f>
        <v xml:space="preserve"> </v>
      </c>
      <c r="E220" s="9" t="str">
        <f>IF('Base de Datos Sumaria'!I217&lt;&gt;0,'Base de Datos Sumaria'!I217,"")</f>
        <v/>
      </c>
      <c r="F220" s="10" t="str">
        <f>IF(SUM('Base de Datos Sumaria'!J217:Q217)&lt;&gt;0,'Base de Datos Sumaria'!J217,"")</f>
        <v/>
      </c>
      <c r="G220" s="10" t="str">
        <f>IF(SUM('Base de Datos Sumaria'!J217:Q217)&lt;&gt;0,'Base de Datos Sumaria'!K217," ")</f>
        <v xml:space="preserve"> </v>
      </c>
      <c r="H220" s="10" t="str">
        <f>IF(SUM('Base de Datos Sumaria'!J217:Q217)&lt;&gt;0,'Base de Datos Sumaria'!L217," ")</f>
        <v xml:space="preserve"> </v>
      </c>
      <c r="I220" s="10" t="str">
        <f>IF(SUM('Base de Datos Sumaria'!J217:Q217)&lt;&gt;0,'Base de Datos Sumaria'!M217," ")</f>
        <v xml:space="preserve"> </v>
      </c>
      <c r="J220" s="10" t="str">
        <f>IF(SUM('Base de Datos Sumaria'!J217:Q217)&lt;&gt;0,'Base de Datos Sumaria'!N217," ")</f>
        <v xml:space="preserve"> </v>
      </c>
      <c r="K220" s="10" t="str">
        <f>IF(SUM('Base de Datos Sumaria'!J217:Q217)&lt;&gt;0,'Base de Datos Sumaria'!O217," ")</f>
        <v xml:space="preserve"> </v>
      </c>
      <c r="L220" s="10" t="str">
        <f>IF(SUM('Base de Datos Sumaria'!J217:Q217)&lt;&gt;0,'Base de Datos Sumaria'!P217," ")</f>
        <v xml:space="preserve"> </v>
      </c>
      <c r="M220" s="10" t="str">
        <f>IF(SUM('Base de Datos Sumaria'!J217:Q217)&lt;&gt;0,'Base de Datos Sumaria'!Q217," ")</f>
        <v xml:space="preserve"> </v>
      </c>
      <c r="N220" s="10" t="str">
        <f>IF(SUM('Base de Datos Sumaria'!J217:Q217)&lt;&gt;0,SUM(F220:M220)," ")</f>
        <v xml:space="preserve"> </v>
      </c>
    </row>
    <row r="221" spans="1:14" s="12" customFormat="1" ht="12.95" customHeight="1" x14ac:dyDescent="0.2">
      <c r="A221" s="6" t="str">
        <f>IF(SUM('Base de Datos Sumaria'!J218:Q218)&lt;&gt;0,'Base de Datos Sumaria'!C218," ")</f>
        <v xml:space="preserve"> </v>
      </c>
      <c r="B221" s="6" t="str">
        <f>IF(SUM('Base de Datos Sumaria'!J218:Q218)&lt;&gt;0,'Base de Datos Sumaria'!D218," ")</f>
        <v xml:space="preserve"> </v>
      </c>
      <c r="C221" s="7" t="str">
        <f>IF(SUM('Base de Datos Sumaria'!J218:Q218)&lt;&gt;0,'Base de Datos Sumaria'!H218," ")</f>
        <v xml:space="preserve"> </v>
      </c>
      <c r="D221" s="8" t="str">
        <f>IF(SUM('Base de Datos Sumaria'!J218:Q218)&lt;&gt;0,'Base de Datos Maestro'!L218," ")</f>
        <v xml:space="preserve"> </v>
      </c>
      <c r="E221" s="9" t="str">
        <f>IF('Base de Datos Sumaria'!I218&lt;&gt;0,'Base de Datos Sumaria'!I218,"")</f>
        <v/>
      </c>
      <c r="F221" s="10" t="str">
        <f>IF(SUM('Base de Datos Sumaria'!J218:Q218)&lt;&gt;0,'Base de Datos Sumaria'!J218,"")</f>
        <v/>
      </c>
      <c r="G221" s="10" t="str">
        <f>IF(SUM('Base de Datos Sumaria'!J218:Q218)&lt;&gt;0,'Base de Datos Sumaria'!K218," ")</f>
        <v xml:space="preserve"> </v>
      </c>
      <c r="H221" s="10" t="str">
        <f>IF(SUM('Base de Datos Sumaria'!J218:Q218)&lt;&gt;0,'Base de Datos Sumaria'!L218," ")</f>
        <v xml:space="preserve"> </v>
      </c>
      <c r="I221" s="10" t="str">
        <f>IF(SUM('Base de Datos Sumaria'!J218:Q218)&lt;&gt;0,'Base de Datos Sumaria'!M218," ")</f>
        <v xml:space="preserve"> </v>
      </c>
      <c r="J221" s="10" t="str">
        <f>IF(SUM('Base de Datos Sumaria'!J218:Q218)&lt;&gt;0,'Base de Datos Sumaria'!N218," ")</f>
        <v xml:space="preserve"> </v>
      </c>
      <c r="K221" s="10" t="str">
        <f>IF(SUM('Base de Datos Sumaria'!J218:Q218)&lt;&gt;0,'Base de Datos Sumaria'!O218," ")</f>
        <v xml:space="preserve"> </v>
      </c>
      <c r="L221" s="10" t="str">
        <f>IF(SUM('Base de Datos Sumaria'!J218:Q218)&lt;&gt;0,'Base de Datos Sumaria'!P218," ")</f>
        <v xml:space="preserve"> </v>
      </c>
      <c r="M221" s="10" t="str">
        <f>IF(SUM('Base de Datos Sumaria'!J218:Q218)&lt;&gt;0,'Base de Datos Sumaria'!Q218," ")</f>
        <v xml:space="preserve"> </v>
      </c>
      <c r="N221" s="10" t="str">
        <f>IF(SUM('Base de Datos Sumaria'!J218:Q218)&lt;&gt;0,SUM(F221:M221)," ")</f>
        <v xml:space="preserve"> </v>
      </c>
    </row>
    <row r="222" spans="1:14" s="12" customFormat="1" ht="12.95" customHeight="1" x14ac:dyDescent="0.2">
      <c r="A222" s="6" t="str">
        <f>IF(SUM('Base de Datos Sumaria'!J219:Q219)&lt;&gt;0,'Base de Datos Sumaria'!C219," ")</f>
        <v xml:space="preserve"> </v>
      </c>
      <c r="B222" s="6" t="str">
        <f>IF(SUM('Base de Datos Sumaria'!J219:Q219)&lt;&gt;0,'Base de Datos Sumaria'!D219," ")</f>
        <v xml:space="preserve"> </v>
      </c>
      <c r="C222" s="7" t="str">
        <f>IF(SUM('Base de Datos Sumaria'!J219:Q219)&lt;&gt;0,'Base de Datos Sumaria'!H219," ")</f>
        <v xml:space="preserve"> </v>
      </c>
      <c r="D222" s="8" t="str">
        <f>IF(SUM('Base de Datos Sumaria'!J219:Q219)&lt;&gt;0,'Base de Datos Maestro'!L219," ")</f>
        <v xml:space="preserve"> </v>
      </c>
      <c r="E222" s="9" t="str">
        <f>IF('Base de Datos Sumaria'!I219&lt;&gt;0,'Base de Datos Sumaria'!I219,"")</f>
        <v/>
      </c>
      <c r="F222" s="10" t="str">
        <f>IF(SUM('Base de Datos Sumaria'!J219:Q219)&lt;&gt;0,'Base de Datos Sumaria'!J219,"")</f>
        <v/>
      </c>
      <c r="G222" s="10" t="str">
        <f>IF(SUM('Base de Datos Sumaria'!J219:Q219)&lt;&gt;0,'Base de Datos Sumaria'!K219," ")</f>
        <v xml:space="preserve"> </v>
      </c>
      <c r="H222" s="10" t="str">
        <f>IF(SUM('Base de Datos Sumaria'!J219:Q219)&lt;&gt;0,'Base de Datos Sumaria'!L219," ")</f>
        <v xml:space="preserve"> </v>
      </c>
      <c r="I222" s="10" t="str">
        <f>IF(SUM('Base de Datos Sumaria'!J219:Q219)&lt;&gt;0,'Base de Datos Sumaria'!M219," ")</f>
        <v xml:space="preserve"> </v>
      </c>
      <c r="J222" s="10" t="str">
        <f>IF(SUM('Base de Datos Sumaria'!J219:Q219)&lt;&gt;0,'Base de Datos Sumaria'!N219," ")</f>
        <v xml:space="preserve"> </v>
      </c>
      <c r="K222" s="10" t="str">
        <f>IF(SUM('Base de Datos Sumaria'!J219:Q219)&lt;&gt;0,'Base de Datos Sumaria'!O219," ")</f>
        <v xml:space="preserve"> </v>
      </c>
      <c r="L222" s="10" t="str">
        <f>IF(SUM('Base de Datos Sumaria'!J219:Q219)&lt;&gt;0,'Base de Datos Sumaria'!P219," ")</f>
        <v xml:space="preserve"> </v>
      </c>
      <c r="M222" s="10" t="str">
        <f>IF(SUM('Base de Datos Sumaria'!J219:Q219)&lt;&gt;0,'Base de Datos Sumaria'!Q219," ")</f>
        <v xml:space="preserve"> </v>
      </c>
      <c r="N222" s="10" t="str">
        <f>IF(SUM('Base de Datos Sumaria'!J219:Q219)&lt;&gt;0,SUM(F222:M222)," ")</f>
        <v xml:space="preserve"> </v>
      </c>
    </row>
    <row r="223" spans="1:14" s="12" customFormat="1" ht="12.95" customHeight="1" x14ac:dyDescent="0.2">
      <c r="A223" s="6" t="str">
        <f>IF(SUM('Base de Datos Sumaria'!J220:Q220)&lt;&gt;0,'Base de Datos Sumaria'!C220," ")</f>
        <v xml:space="preserve"> </v>
      </c>
      <c r="B223" s="6" t="str">
        <f>IF(SUM('Base de Datos Sumaria'!J220:Q220)&lt;&gt;0,'Base de Datos Sumaria'!D220," ")</f>
        <v xml:space="preserve"> </v>
      </c>
      <c r="C223" s="7" t="str">
        <f>IF(SUM('Base de Datos Sumaria'!J220:Q220)&lt;&gt;0,'Base de Datos Sumaria'!H220," ")</f>
        <v xml:space="preserve"> </v>
      </c>
      <c r="D223" s="8" t="str">
        <f>IF(SUM('Base de Datos Sumaria'!J220:Q220)&lt;&gt;0,'Base de Datos Maestro'!L220," ")</f>
        <v xml:space="preserve"> </v>
      </c>
      <c r="E223" s="9" t="str">
        <f>IF('Base de Datos Sumaria'!I220&lt;&gt;0,'Base de Datos Sumaria'!I220,"")</f>
        <v/>
      </c>
      <c r="F223" s="10" t="str">
        <f>IF(SUM('Base de Datos Sumaria'!J220:Q220)&lt;&gt;0,'Base de Datos Sumaria'!J220,"")</f>
        <v/>
      </c>
      <c r="G223" s="10" t="str">
        <f>IF(SUM('Base de Datos Sumaria'!J220:Q220)&lt;&gt;0,'Base de Datos Sumaria'!K220," ")</f>
        <v xml:space="preserve"> </v>
      </c>
      <c r="H223" s="10" t="str">
        <f>IF(SUM('Base de Datos Sumaria'!J220:Q220)&lt;&gt;0,'Base de Datos Sumaria'!L220," ")</f>
        <v xml:space="preserve"> </v>
      </c>
      <c r="I223" s="10" t="str">
        <f>IF(SUM('Base de Datos Sumaria'!J220:Q220)&lt;&gt;0,'Base de Datos Sumaria'!M220," ")</f>
        <v xml:space="preserve"> </v>
      </c>
      <c r="J223" s="10" t="str">
        <f>IF(SUM('Base de Datos Sumaria'!J220:Q220)&lt;&gt;0,'Base de Datos Sumaria'!N220," ")</f>
        <v xml:space="preserve"> </v>
      </c>
      <c r="K223" s="10" t="str">
        <f>IF(SUM('Base de Datos Sumaria'!J220:Q220)&lt;&gt;0,'Base de Datos Sumaria'!O220," ")</f>
        <v xml:space="preserve"> </v>
      </c>
      <c r="L223" s="10" t="str">
        <f>IF(SUM('Base de Datos Sumaria'!J220:Q220)&lt;&gt;0,'Base de Datos Sumaria'!P220," ")</f>
        <v xml:space="preserve"> </v>
      </c>
      <c r="M223" s="10" t="str">
        <f>IF(SUM('Base de Datos Sumaria'!J220:Q220)&lt;&gt;0,'Base de Datos Sumaria'!Q220," ")</f>
        <v xml:space="preserve"> </v>
      </c>
      <c r="N223" s="10" t="str">
        <f>IF(SUM('Base de Datos Sumaria'!J220:Q220)&lt;&gt;0,SUM(F223:M223)," ")</f>
        <v xml:space="preserve"> </v>
      </c>
    </row>
    <row r="224" spans="1:14" s="12" customFormat="1" ht="12.95" customHeight="1" x14ac:dyDescent="0.2">
      <c r="A224" s="6" t="str">
        <f>IF(SUM('Base de Datos Sumaria'!J221:Q221)&lt;&gt;0,'Base de Datos Sumaria'!C221," ")</f>
        <v xml:space="preserve"> </v>
      </c>
      <c r="B224" s="6" t="str">
        <f>IF(SUM('Base de Datos Sumaria'!J221:Q221)&lt;&gt;0,'Base de Datos Sumaria'!D221," ")</f>
        <v xml:space="preserve"> </v>
      </c>
      <c r="C224" s="7" t="str">
        <f>IF(SUM('Base de Datos Sumaria'!J221:Q221)&lt;&gt;0,'Base de Datos Sumaria'!H221," ")</f>
        <v xml:space="preserve"> </v>
      </c>
      <c r="D224" s="8" t="str">
        <f>IF(SUM('Base de Datos Sumaria'!J221:Q221)&lt;&gt;0,'Base de Datos Maestro'!L221," ")</f>
        <v xml:space="preserve"> </v>
      </c>
      <c r="E224" s="9" t="str">
        <f>IF('Base de Datos Sumaria'!I221&lt;&gt;0,'Base de Datos Sumaria'!I221,"")</f>
        <v/>
      </c>
      <c r="F224" s="10" t="str">
        <f>IF(SUM('Base de Datos Sumaria'!J221:Q221)&lt;&gt;0,'Base de Datos Sumaria'!J221,"")</f>
        <v/>
      </c>
      <c r="G224" s="10" t="str">
        <f>IF(SUM('Base de Datos Sumaria'!J221:Q221)&lt;&gt;0,'Base de Datos Sumaria'!K221," ")</f>
        <v xml:space="preserve"> </v>
      </c>
      <c r="H224" s="10" t="str">
        <f>IF(SUM('Base de Datos Sumaria'!J221:Q221)&lt;&gt;0,'Base de Datos Sumaria'!L221," ")</f>
        <v xml:space="preserve"> </v>
      </c>
      <c r="I224" s="10" t="str">
        <f>IF(SUM('Base de Datos Sumaria'!J221:Q221)&lt;&gt;0,'Base de Datos Sumaria'!M221," ")</f>
        <v xml:space="preserve"> </v>
      </c>
      <c r="J224" s="10" t="str">
        <f>IF(SUM('Base de Datos Sumaria'!J221:Q221)&lt;&gt;0,'Base de Datos Sumaria'!N221," ")</f>
        <v xml:space="preserve"> </v>
      </c>
      <c r="K224" s="10" t="str">
        <f>IF(SUM('Base de Datos Sumaria'!J221:Q221)&lt;&gt;0,'Base de Datos Sumaria'!O221," ")</f>
        <v xml:space="preserve"> </v>
      </c>
      <c r="L224" s="10" t="str">
        <f>IF(SUM('Base de Datos Sumaria'!J221:Q221)&lt;&gt;0,'Base de Datos Sumaria'!P221," ")</f>
        <v xml:space="preserve"> </v>
      </c>
      <c r="M224" s="10" t="str">
        <f>IF(SUM('Base de Datos Sumaria'!J221:Q221)&lt;&gt;0,'Base de Datos Sumaria'!Q221," ")</f>
        <v xml:space="preserve"> </v>
      </c>
      <c r="N224" s="10" t="str">
        <f>IF(SUM('Base de Datos Sumaria'!J221:Q221)&lt;&gt;0,SUM(F224:M224)," ")</f>
        <v xml:space="preserve"> </v>
      </c>
    </row>
    <row r="225" spans="1:14" s="12" customFormat="1" ht="12.95" customHeight="1" x14ac:dyDescent="0.2">
      <c r="A225" s="6" t="str">
        <f>IF(SUM('Base de Datos Sumaria'!J222:Q222)&lt;&gt;0,'Base de Datos Sumaria'!C222," ")</f>
        <v xml:space="preserve"> </v>
      </c>
      <c r="B225" s="6" t="str">
        <f>IF(SUM('Base de Datos Sumaria'!J222:Q222)&lt;&gt;0,'Base de Datos Sumaria'!D222," ")</f>
        <v xml:space="preserve"> </v>
      </c>
      <c r="C225" s="7" t="str">
        <f>IF(SUM('Base de Datos Sumaria'!J222:Q222)&lt;&gt;0,'Base de Datos Sumaria'!H222," ")</f>
        <v xml:space="preserve"> </v>
      </c>
      <c r="D225" s="8" t="str">
        <f>IF(SUM('Base de Datos Sumaria'!J222:Q222)&lt;&gt;0,'Base de Datos Maestro'!L222," ")</f>
        <v xml:space="preserve"> </v>
      </c>
      <c r="E225" s="9" t="str">
        <f>IF('Base de Datos Sumaria'!I222&lt;&gt;0,'Base de Datos Sumaria'!I222,"")</f>
        <v/>
      </c>
      <c r="F225" s="10" t="str">
        <f>IF(SUM('Base de Datos Sumaria'!J222:Q222)&lt;&gt;0,'Base de Datos Sumaria'!J222,"")</f>
        <v/>
      </c>
      <c r="G225" s="10" t="str">
        <f>IF(SUM('Base de Datos Sumaria'!J222:Q222)&lt;&gt;0,'Base de Datos Sumaria'!K222," ")</f>
        <v xml:space="preserve"> </v>
      </c>
      <c r="H225" s="10" t="str">
        <f>IF(SUM('Base de Datos Sumaria'!J222:Q222)&lt;&gt;0,'Base de Datos Sumaria'!L222," ")</f>
        <v xml:space="preserve"> </v>
      </c>
      <c r="I225" s="10" t="str">
        <f>IF(SUM('Base de Datos Sumaria'!J222:Q222)&lt;&gt;0,'Base de Datos Sumaria'!M222," ")</f>
        <v xml:space="preserve"> </v>
      </c>
      <c r="J225" s="10" t="str">
        <f>IF(SUM('Base de Datos Sumaria'!J222:Q222)&lt;&gt;0,'Base de Datos Sumaria'!N222," ")</f>
        <v xml:space="preserve"> </v>
      </c>
      <c r="K225" s="10" t="str">
        <f>IF(SUM('Base de Datos Sumaria'!J222:Q222)&lt;&gt;0,'Base de Datos Sumaria'!O222," ")</f>
        <v xml:space="preserve"> </v>
      </c>
      <c r="L225" s="10" t="str">
        <f>IF(SUM('Base de Datos Sumaria'!J222:Q222)&lt;&gt;0,'Base de Datos Sumaria'!P222," ")</f>
        <v xml:space="preserve"> </v>
      </c>
      <c r="M225" s="10" t="str">
        <f>IF(SUM('Base de Datos Sumaria'!J222:Q222)&lt;&gt;0,'Base de Datos Sumaria'!Q222," ")</f>
        <v xml:space="preserve"> </v>
      </c>
      <c r="N225" s="10" t="str">
        <f>IF(SUM('Base de Datos Sumaria'!J222:Q222)&lt;&gt;0,SUM(F225:M225)," ")</f>
        <v xml:space="preserve"> </v>
      </c>
    </row>
    <row r="226" spans="1:14" s="12" customFormat="1" ht="12.95" customHeight="1" x14ac:dyDescent="0.2">
      <c r="A226" s="6" t="str">
        <f>IF(SUM('Base de Datos Sumaria'!J223:Q223)&lt;&gt;0,'Base de Datos Sumaria'!C223," ")</f>
        <v xml:space="preserve"> </v>
      </c>
      <c r="B226" s="6" t="str">
        <f>IF(SUM('Base de Datos Sumaria'!J223:Q223)&lt;&gt;0,'Base de Datos Sumaria'!D223," ")</f>
        <v xml:space="preserve"> </v>
      </c>
      <c r="C226" s="7" t="str">
        <f>IF(SUM('Base de Datos Sumaria'!J223:Q223)&lt;&gt;0,'Base de Datos Sumaria'!H223," ")</f>
        <v xml:space="preserve"> </v>
      </c>
      <c r="D226" s="8" t="str">
        <f>IF(SUM('Base de Datos Sumaria'!J223:Q223)&lt;&gt;0,'Base de Datos Maestro'!L223," ")</f>
        <v xml:space="preserve"> </v>
      </c>
      <c r="E226" s="9" t="str">
        <f>IF('Base de Datos Sumaria'!I223&lt;&gt;0,'Base de Datos Sumaria'!I223,"")</f>
        <v/>
      </c>
      <c r="F226" s="10" t="str">
        <f>IF(SUM('Base de Datos Sumaria'!J223:Q223)&lt;&gt;0,'Base de Datos Sumaria'!J223,"")</f>
        <v/>
      </c>
      <c r="G226" s="10" t="str">
        <f>IF(SUM('Base de Datos Sumaria'!J223:Q223)&lt;&gt;0,'Base de Datos Sumaria'!K223," ")</f>
        <v xml:space="preserve"> </v>
      </c>
      <c r="H226" s="10" t="str">
        <f>IF(SUM('Base de Datos Sumaria'!J223:Q223)&lt;&gt;0,'Base de Datos Sumaria'!L223," ")</f>
        <v xml:space="preserve"> </v>
      </c>
      <c r="I226" s="10" t="str">
        <f>IF(SUM('Base de Datos Sumaria'!J223:Q223)&lt;&gt;0,'Base de Datos Sumaria'!M223," ")</f>
        <v xml:space="preserve"> </v>
      </c>
      <c r="J226" s="10" t="str">
        <f>IF(SUM('Base de Datos Sumaria'!J223:Q223)&lt;&gt;0,'Base de Datos Sumaria'!N223," ")</f>
        <v xml:space="preserve"> </v>
      </c>
      <c r="K226" s="10" t="str">
        <f>IF(SUM('Base de Datos Sumaria'!J223:Q223)&lt;&gt;0,'Base de Datos Sumaria'!O223," ")</f>
        <v xml:space="preserve"> </v>
      </c>
      <c r="L226" s="10" t="str">
        <f>IF(SUM('Base de Datos Sumaria'!J223:Q223)&lt;&gt;0,'Base de Datos Sumaria'!P223," ")</f>
        <v xml:space="preserve"> </v>
      </c>
      <c r="M226" s="10" t="str">
        <f>IF(SUM('Base de Datos Sumaria'!J223:Q223)&lt;&gt;0,'Base de Datos Sumaria'!Q223," ")</f>
        <v xml:space="preserve"> </v>
      </c>
      <c r="N226" s="10" t="str">
        <f>IF(SUM('Base de Datos Sumaria'!J223:Q223)&lt;&gt;0,SUM(F226:M226)," ")</f>
        <v xml:space="preserve"> </v>
      </c>
    </row>
    <row r="227" spans="1:14" s="12" customFormat="1" ht="12.95" customHeight="1" x14ac:dyDescent="0.2">
      <c r="A227" s="6" t="str">
        <f>IF(SUM('Base de Datos Sumaria'!J224:Q224)&lt;&gt;0,'Base de Datos Sumaria'!C224," ")</f>
        <v xml:space="preserve"> </v>
      </c>
      <c r="B227" s="6" t="str">
        <f>IF(SUM('Base de Datos Sumaria'!J224:Q224)&lt;&gt;0,'Base de Datos Sumaria'!D224," ")</f>
        <v xml:space="preserve"> </v>
      </c>
      <c r="C227" s="7" t="str">
        <f>IF(SUM('Base de Datos Sumaria'!J224:Q224)&lt;&gt;0,'Base de Datos Sumaria'!H224," ")</f>
        <v xml:space="preserve"> </v>
      </c>
      <c r="D227" s="8" t="str">
        <f>IF(SUM('Base de Datos Sumaria'!J224:Q224)&lt;&gt;0,'Base de Datos Maestro'!L224," ")</f>
        <v xml:space="preserve"> </v>
      </c>
      <c r="E227" s="9" t="str">
        <f>IF('Base de Datos Sumaria'!I224&lt;&gt;0,'Base de Datos Sumaria'!I224,"")</f>
        <v/>
      </c>
      <c r="F227" s="10" t="str">
        <f>IF(SUM('Base de Datos Sumaria'!J224:Q224)&lt;&gt;0,'Base de Datos Sumaria'!J224,"")</f>
        <v/>
      </c>
      <c r="G227" s="10" t="str">
        <f>IF(SUM('Base de Datos Sumaria'!J224:Q224)&lt;&gt;0,'Base de Datos Sumaria'!K224," ")</f>
        <v xml:space="preserve"> </v>
      </c>
      <c r="H227" s="10" t="str">
        <f>IF(SUM('Base de Datos Sumaria'!J224:Q224)&lt;&gt;0,'Base de Datos Sumaria'!L224," ")</f>
        <v xml:space="preserve"> </v>
      </c>
      <c r="I227" s="10" t="str">
        <f>IF(SUM('Base de Datos Sumaria'!J224:Q224)&lt;&gt;0,'Base de Datos Sumaria'!M224," ")</f>
        <v xml:space="preserve"> </v>
      </c>
      <c r="J227" s="10" t="str">
        <f>IF(SUM('Base de Datos Sumaria'!J224:Q224)&lt;&gt;0,'Base de Datos Sumaria'!N224," ")</f>
        <v xml:space="preserve"> </v>
      </c>
      <c r="K227" s="10" t="str">
        <f>IF(SUM('Base de Datos Sumaria'!J224:Q224)&lt;&gt;0,'Base de Datos Sumaria'!O224," ")</f>
        <v xml:space="preserve"> </v>
      </c>
      <c r="L227" s="10" t="str">
        <f>IF(SUM('Base de Datos Sumaria'!J224:Q224)&lt;&gt;0,'Base de Datos Sumaria'!P224," ")</f>
        <v xml:space="preserve"> </v>
      </c>
      <c r="M227" s="10" t="str">
        <f>IF(SUM('Base de Datos Sumaria'!J224:Q224)&lt;&gt;0,'Base de Datos Sumaria'!Q224," ")</f>
        <v xml:space="preserve"> </v>
      </c>
      <c r="N227" s="10" t="str">
        <f>IF(SUM('Base de Datos Sumaria'!J224:Q224)&lt;&gt;0,SUM(F227:M227)," ")</f>
        <v xml:space="preserve"> </v>
      </c>
    </row>
    <row r="228" spans="1:14" s="12" customFormat="1" ht="12.95" customHeight="1" x14ac:dyDescent="0.2">
      <c r="A228" s="6" t="str">
        <f>IF(SUM('Base de Datos Sumaria'!J225:Q225)&lt;&gt;0,'Base de Datos Sumaria'!C225," ")</f>
        <v xml:space="preserve"> </v>
      </c>
      <c r="B228" s="6" t="str">
        <f>IF(SUM('Base de Datos Sumaria'!J225:Q225)&lt;&gt;0,'Base de Datos Sumaria'!D225," ")</f>
        <v xml:space="preserve"> </v>
      </c>
      <c r="C228" s="7" t="str">
        <f>IF(SUM('Base de Datos Sumaria'!J225:Q225)&lt;&gt;0,'Base de Datos Sumaria'!H225," ")</f>
        <v xml:space="preserve"> </v>
      </c>
      <c r="D228" s="8" t="str">
        <f>IF(SUM('Base de Datos Sumaria'!J225:Q225)&lt;&gt;0,'Base de Datos Maestro'!L225," ")</f>
        <v xml:space="preserve"> </v>
      </c>
      <c r="E228" s="9" t="str">
        <f>IF('Base de Datos Sumaria'!I225&lt;&gt;0,'Base de Datos Sumaria'!I225,"")</f>
        <v/>
      </c>
      <c r="F228" s="10" t="str">
        <f>IF(SUM('Base de Datos Sumaria'!J225:Q225)&lt;&gt;0,'Base de Datos Sumaria'!J225,"")</f>
        <v/>
      </c>
      <c r="G228" s="10" t="str">
        <f>IF(SUM('Base de Datos Sumaria'!J225:Q225)&lt;&gt;0,'Base de Datos Sumaria'!K225," ")</f>
        <v xml:space="preserve"> </v>
      </c>
      <c r="H228" s="10" t="str">
        <f>IF(SUM('Base de Datos Sumaria'!J225:Q225)&lt;&gt;0,'Base de Datos Sumaria'!L225," ")</f>
        <v xml:space="preserve"> </v>
      </c>
      <c r="I228" s="10" t="str">
        <f>IF(SUM('Base de Datos Sumaria'!J225:Q225)&lt;&gt;0,'Base de Datos Sumaria'!M225," ")</f>
        <v xml:space="preserve"> </v>
      </c>
      <c r="J228" s="10" t="str">
        <f>IF(SUM('Base de Datos Sumaria'!J225:Q225)&lt;&gt;0,'Base de Datos Sumaria'!N225," ")</f>
        <v xml:space="preserve"> </v>
      </c>
      <c r="K228" s="10" t="str">
        <f>IF(SUM('Base de Datos Sumaria'!J225:Q225)&lt;&gt;0,'Base de Datos Sumaria'!O225," ")</f>
        <v xml:space="preserve"> </v>
      </c>
      <c r="L228" s="10" t="str">
        <f>IF(SUM('Base de Datos Sumaria'!J225:Q225)&lt;&gt;0,'Base de Datos Sumaria'!P225," ")</f>
        <v xml:space="preserve"> </v>
      </c>
      <c r="M228" s="10" t="str">
        <f>IF(SUM('Base de Datos Sumaria'!J225:Q225)&lt;&gt;0,'Base de Datos Sumaria'!Q225," ")</f>
        <v xml:space="preserve"> </v>
      </c>
      <c r="N228" s="10" t="str">
        <f>IF(SUM('Base de Datos Sumaria'!J225:Q225)&lt;&gt;0,SUM(F228:M228)," ")</f>
        <v xml:space="preserve"> </v>
      </c>
    </row>
    <row r="229" spans="1:14" s="12" customFormat="1" ht="12.95" customHeight="1" x14ac:dyDescent="0.2">
      <c r="A229" s="6" t="str">
        <f>IF(SUM('Base de Datos Sumaria'!J226:Q226)&lt;&gt;0,'Base de Datos Sumaria'!C226," ")</f>
        <v xml:space="preserve"> </v>
      </c>
      <c r="B229" s="6" t="str">
        <f>IF(SUM('Base de Datos Sumaria'!J226:Q226)&lt;&gt;0,'Base de Datos Sumaria'!D226," ")</f>
        <v xml:space="preserve"> </v>
      </c>
      <c r="C229" s="7" t="str">
        <f>IF(SUM('Base de Datos Sumaria'!J226:Q226)&lt;&gt;0,'Base de Datos Sumaria'!H226," ")</f>
        <v xml:space="preserve"> </v>
      </c>
      <c r="D229" s="8" t="str">
        <f>IF(SUM('Base de Datos Sumaria'!J226:Q226)&lt;&gt;0,'Base de Datos Maestro'!L226," ")</f>
        <v xml:space="preserve"> </v>
      </c>
      <c r="E229" s="9" t="str">
        <f>IF('Base de Datos Sumaria'!I226&lt;&gt;0,'Base de Datos Sumaria'!I226,"")</f>
        <v/>
      </c>
      <c r="F229" s="10" t="str">
        <f>IF(SUM('Base de Datos Sumaria'!J226:Q226)&lt;&gt;0,'Base de Datos Sumaria'!J226,"")</f>
        <v/>
      </c>
      <c r="G229" s="10" t="str">
        <f>IF(SUM('Base de Datos Sumaria'!J226:Q226)&lt;&gt;0,'Base de Datos Sumaria'!K226," ")</f>
        <v xml:space="preserve"> </v>
      </c>
      <c r="H229" s="10" t="str">
        <f>IF(SUM('Base de Datos Sumaria'!J226:Q226)&lt;&gt;0,'Base de Datos Sumaria'!L226," ")</f>
        <v xml:space="preserve"> </v>
      </c>
      <c r="I229" s="10" t="str">
        <f>IF(SUM('Base de Datos Sumaria'!J226:Q226)&lt;&gt;0,'Base de Datos Sumaria'!M226," ")</f>
        <v xml:space="preserve"> </v>
      </c>
      <c r="J229" s="10" t="str">
        <f>IF(SUM('Base de Datos Sumaria'!J226:Q226)&lt;&gt;0,'Base de Datos Sumaria'!N226," ")</f>
        <v xml:space="preserve"> </v>
      </c>
      <c r="K229" s="10" t="str">
        <f>IF(SUM('Base de Datos Sumaria'!J226:Q226)&lt;&gt;0,'Base de Datos Sumaria'!O226," ")</f>
        <v xml:space="preserve"> </v>
      </c>
      <c r="L229" s="10" t="str">
        <f>IF(SUM('Base de Datos Sumaria'!J226:Q226)&lt;&gt;0,'Base de Datos Sumaria'!P226," ")</f>
        <v xml:space="preserve"> </v>
      </c>
      <c r="M229" s="10" t="str">
        <f>IF(SUM('Base de Datos Sumaria'!J226:Q226)&lt;&gt;0,'Base de Datos Sumaria'!Q226," ")</f>
        <v xml:space="preserve"> </v>
      </c>
      <c r="N229" s="10" t="str">
        <f>IF(SUM('Base de Datos Sumaria'!J226:Q226)&lt;&gt;0,SUM(F229:M229)," ")</f>
        <v xml:space="preserve"> </v>
      </c>
    </row>
    <row r="230" spans="1:14" s="12" customFormat="1" ht="12.95" customHeight="1" x14ac:dyDescent="0.2">
      <c r="A230" s="6" t="str">
        <f>IF(SUM('Base de Datos Sumaria'!J227:Q227)&lt;&gt;0,'Base de Datos Sumaria'!C227," ")</f>
        <v xml:space="preserve"> </v>
      </c>
      <c r="B230" s="6" t="str">
        <f>IF(SUM('Base de Datos Sumaria'!J227:Q227)&lt;&gt;0,'Base de Datos Sumaria'!D227," ")</f>
        <v xml:space="preserve"> </v>
      </c>
      <c r="C230" s="7" t="str">
        <f>IF(SUM('Base de Datos Sumaria'!J227:Q227)&lt;&gt;0,'Base de Datos Sumaria'!H227," ")</f>
        <v xml:space="preserve"> </v>
      </c>
      <c r="D230" s="8" t="str">
        <f>IF(SUM('Base de Datos Sumaria'!J227:Q227)&lt;&gt;0,'Base de Datos Maestro'!L227," ")</f>
        <v xml:space="preserve"> </v>
      </c>
      <c r="E230" s="9" t="str">
        <f>IF('Base de Datos Sumaria'!I227&lt;&gt;0,'Base de Datos Sumaria'!I227,"")</f>
        <v/>
      </c>
      <c r="F230" s="10" t="str">
        <f>IF(SUM('Base de Datos Sumaria'!J227:Q227)&lt;&gt;0,'Base de Datos Sumaria'!J227,"")</f>
        <v/>
      </c>
      <c r="G230" s="10" t="str">
        <f>IF(SUM('Base de Datos Sumaria'!J227:Q227)&lt;&gt;0,'Base de Datos Sumaria'!K227," ")</f>
        <v xml:space="preserve"> </v>
      </c>
      <c r="H230" s="10" t="str">
        <f>IF(SUM('Base de Datos Sumaria'!J227:Q227)&lt;&gt;0,'Base de Datos Sumaria'!L227," ")</f>
        <v xml:space="preserve"> </v>
      </c>
      <c r="I230" s="10" t="str">
        <f>IF(SUM('Base de Datos Sumaria'!J227:Q227)&lt;&gt;0,'Base de Datos Sumaria'!M227," ")</f>
        <v xml:space="preserve"> </v>
      </c>
      <c r="J230" s="10" t="str">
        <f>IF(SUM('Base de Datos Sumaria'!J227:Q227)&lt;&gt;0,'Base de Datos Sumaria'!N227," ")</f>
        <v xml:space="preserve"> </v>
      </c>
      <c r="K230" s="10" t="str">
        <f>IF(SUM('Base de Datos Sumaria'!J227:Q227)&lt;&gt;0,'Base de Datos Sumaria'!O227," ")</f>
        <v xml:space="preserve"> </v>
      </c>
      <c r="L230" s="10" t="str">
        <f>IF(SUM('Base de Datos Sumaria'!J227:Q227)&lt;&gt;0,'Base de Datos Sumaria'!P227," ")</f>
        <v xml:space="preserve"> </v>
      </c>
      <c r="M230" s="10" t="str">
        <f>IF(SUM('Base de Datos Sumaria'!J227:Q227)&lt;&gt;0,'Base de Datos Sumaria'!Q227," ")</f>
        <v xml:space="preserve"> </v>
      </c>
      <c r="N230" s="10" t="str">
        <f>IF(SUM('Base de Datos Sumaria'!J227:Q227)&lt;&gt;0,SUM(F230:M230)," ")</f>
        <v xml:space="preserve"> </v>
      </c>
    </row>
    <row r="231" spans="1:14" s="12" customFormat="1" ht="12.95" customHeight="1" x14ac:dyDescent="0.2">
      <c r="A231" s="6" t="str">
        <f>IF(SUM('Base de Datos Sumaria'!J228:Q228)&lt;&gt;0,'Base de Datos Sumaria'!C228," ")</f>
        <v xml:space="preserve"> </v>
      </c>
      <c r="B231" s="6" t="str">
        <f>IF(SUM('Base de Datos Sumaria'!J228:Q228)&lt;&gt;0,'Base de Datos Sumaria'!D228," ")</f>
        <v xml:space="preserve"> </v>
      </c>
      <c r="C231" s="7" t="str">
        <f>IF(SUM('Base de Datos Sumaria'!J228:Q228)&lt;&gt;0,'Base de Datos Sumaria'!H228," ")</f>
        <v xml:space="preserve"> </v>
      </c>
      <c r="D231" s="8" t="str">
        <f>IF(SUM('Base de Datos Sumaria'!J228:Q228)&lt;&gt;0,'Base de Datos Maestro'!L228," ")</f>
        <v xml:space="preserve"> </v>
      </c>
      <c r="E231" s="9" t="str">
        <f>IF('Base de Datos Sumaria'!I228&lt;&gt;0,'Base de Datos Sumaria'!I228,"")</f>
        <v/>
      </c>
      <c r="F231" s="10" t="str">
        <f>IF(SUM('Base de Datos Sumaria'!J228:Q228)&lt;&gt;0,'Base de Datos Sumaria'!J228,"")</f>
        <v/>
      </c>
      <c r="G231" s="10" t="str">
        <f>IF(SUM('Base de Datos Sumaria'!J228:Q228)&lt;&gt;0,'Base de Datos Sumaria'!K228," ")</f>
        <v xml:space="preserve"> </v>
      </c>
      <c r="H231" s="10" t="str">
        <f>IF(SUM('Base de Datos Sumaria'!J228:Q228)&lt;&gt;0,'Base de Datos Sumaria'!L228," ")</f>
        <v xml:space="preserve"> </v>
      </c>
      <c r="I231" s="10" t="str">
        <f>IF(SUM('Base de Datos Sumaria'!J228:Q228)&lt;&gt;0,'Base de Datos Sumaria'!M228," ")</f>
        <v xml:space="preserve"> </v>
      </c>
      <c r="J231" s="10" t="str">
        <f>IF(SUM('Base de Datos Sumaria'!J228:Q228)&lt;&gt;0,'Base de Datos Sumaria'!N228," ")</f>
        <v xml:space="preserve"> </v>
      </c>
      <c r="K231" s="10" t="str">
        <f>IF(SUM('Base de Datos Sumaria'!J228:Q228)&lt;&gt;0,'Base de Datos Sumaria'!O228," ")</f>
        <v xml:space="preserve"> </v>
      </c>
      <c r="L231" s="10" t="str">
        <f>IF(SUM('Base de Datos Sumaria'!J228:Q228)&lt;&gt;0,'Base de Datos Sumaria'!P228," ")</f>
        <v xml:space="preserve"> </v>
      </c>
      <c r="M231" s="10" t="str">
        <f>IF(SUM('Base de Datos Sumaria'!J228:Q228)&lt;&gt;0,'Base de Datos Sumaria'!Q228," ")</f>
        <v xml:space="preserve"> </v>
      </c>
      <c r="N231" s="10" t="str">
        <f>IF(SUM('Base de Datos Sumaria'!J228:Q228)&lt;&gt;0,SUM(F231:M231)," ")</f>
        <v xml:space="preserve"> </v>
      </c>
    </row>
    <row r="232" spans="1:14" s="12" customFormat="1" ht="12.95" customHeight="1" x14ac:dyDescent="0.2">
      <c r="A232" s="6" t="str">
        <f>IF(SUM('Base de Datos Sumaria'!J229:Q229)&lt;&gt;0,'Base de Datos Sumaria'!C229," ")</f>
        <v xml:space="preserve"> </v>
      </c>
      <c r="B232" s="6" t="str">
        <f>IF(SUM('Base de Datos Sumaria'!J229:Q229)&lt;&gt;0,'Base de Datos Sumaria'!D229," ")</f>
        <v xml:space="preserve"> </v>
      </c>
      <c r="C232" s="7" t="str">
        <f>IF(SUM('Base de Datos Sumaria'!J229:Q229)&lt;&gt;0,'Base de Datos Sumaria'!H229," ")</f>
        <v xml:space="preserve"> </v>
      </c>
      <c r="D232" s="8" t="str">
        <f>IF(SUM('Base de Datos Sumaria'!J229:Q229)&lt;&gt;0,'Base de Datos Maestro'!L229," ")</f>
        <v xml:space="preserve"> </v>
      </c>
      <c r="E232" s="9" t="str">
        <f>IF('Base de Datos Sumaria'!I229&lt;&gt;0,'Base de Datos Sumaria'!I229,"")</f>
        <v/>
      </c>
      <c r="F232" s="10" t="str">
        <f>IF(SUM('Base de Datos Sumaria'!J229:Q229)&lt;&gt;0,'Base de Datos Sumaria'!J229,"")</f>
        <v/>
      </c>
      <c r="G232" s="10" t="str">
        <f>IF(SUM('Base de Datos Sumaria'!J229:Q229)&lt;&gt;0,'Base de Datos Sumaria'!K229," ")</f>
        <v xml:space="preserve"> </v>
      </c>
      <c r="H232" s="10" t="str">
        <f>IF(SUM('Base de Datos Sumaria'!J229:Q229)&lt;&gt;0,'Base de Datos Sumaria'!L229," ")</f>
        <v xml:space="preserve"> </v>
      </c>
      <c r="I232" s="10" t="str">
        <f>IF(SUM('Base de Datos Sumaria'!J229:Q229)&lt;&gt;0,'Base de Datos Sumaria'!M229," ")</f>
        <v xml:space="preserve"> </v>
      </c>
      <c r="J232" s="10" t="str">
        <f>IF(SUM('Base de Datos Sumaria'!J229:Q229)&lt;&gt;0,'Base de Datos Sumaria'!N229," ")</f>
        <v xml:space="preserve"> </v>
      </c>
      <c r="K232" s="10" t="str">
        <f>IF(SUM('Base de Datos Sumaria'!J229:Q229)&lt;&gt;0,'Base de Datos Sumaria'!O229," ")</f>
        <v xml:space="preserve"> </v>
      </c>
      <c r="L232" s="10" t="str">
        <f>IF(SUM('Base de Datos Sumaria'!J229:Q229)&lt;&gt;0,'Base de Datos Sumaria'!P229," ")</f>
        <v xml:space="preserve"> </v>
      </c>
      <c r="M232" s="10" t="str">
        <f>IF(SUM('Base de Datos Sumaria'!J229:Q229)&lt;&gt;0,'Base de Datos Sumaria'!Q229," ")</f>
        <v xml:space="preserve"> </v>
      </c>
      <c r="N232" s="10" t="str">
        <f>IF(SUM('Base de Datos Sumaria'!J229:Q229)&lt;&gt;0,SUM(F232:M232)," ")</f>
        <v xml:space="preserve"> </v>
      </c>
    </row>
    <row r="233" spans="1:14" s="12" customFormat="1" ht="12.95" customHeight="1" x14ac:dyDescent="0.2">
      <c r="A233" s="6" t="str">
        <f>IF(SUM('Base de Datos Sumaria'!J230:Q230)&lt;&gt;0,'Base de Datos Sumaria'!C230," ")</f>
        <v xml:space="preserve"> </v>
      </c>
      <c r="B233" s="6" t="str">
        <f>IF(SUM('Base de Datos Sumaria'!J230:Q230)&lt;&gt;0,'Base de Datos Sumaria'!D230," ")</f>
        <v xml:space="preserve"> </v>
      </c>
      <c r="C233" s="7" t="str">
        <f>IF(SUM('Base de Datos Sumaria'!J230:Q230)&lt;&gt;0,'Base de Datos Sumaria'!H230," ")</f>
        <v xml:space="preserve"> </v>
      </c>
      <c r="D233" s="8" t="str">
        <f>IF(SUM('Base de Datos Sumaria'!J230:Q230)&lt;&gt;0,'Base de Datos Maestro'!L230," ")</f>
        <v xml:space="preserve"> </v>
      </c>
      <c r="E233" s="9" t="str">
        <f>IF('Base de Datos Sumaria'!I230&lt;&gt;0,'Base de Datos Sumaria'!I230,"")</f>
        <v/>
      </c>
      <c r="F233" s="10" t="str">
        <f>IF(SUM('Base de Datos Sumaria'!J230:Q230)&lt;&gt;0,'Base de Datos Sumaria'!J230,"")</f>
        <v/>
      </c>
      <c r="G233" s="10" t="str">
        <f>IF(SUM('Base de Datos Sumaria'!J230:Q230)&lt;&gt;0,'Base de Datos Sumaria'!K230," ")</f>
        <v xml:space="preserve"> </v>
      </c>
      <c r="H233" s="10" t="str">
        <f>IF(SUM('Base de Datos Sumaria'!J230:Q230)&lt;&gt;0,'Base de Datos Sumaria'!L230," ")</f>
        <v xml:space="preserve"> </v>
      </c>
      <c r="I233" s="10" t="str">
        <f>IF(SUM('Base de Datos Sumaria'!J230:Q230)&lt;&gt;0,'Base de Datos Sumaria'!M230," ")</f>
        <v xml:space="preserve"> </v>
      </c>
      <c r="J233" s="10" t="str">
        <f>IF(SUM('Base de Datos Sumaria'!J230:Q230)&lt;&gt;0,'Base de Datos Sumaria'!N230," ")</f>
        <v xml:space="preserve"> </v>
      </c>
      <c r="K233" s="10" t="str">
        <f>IF(SUM('Base de Datos Sumaria'!J230:Q230)&lt;&gt;0,'Base de Datos Sumaria'!O230," ")</f>
        <v xml:space="preserve"> </v>
      </c>
      <c r="L233" s="10" t="str">
        <f>IF(SUM('Base de Datos Sumaria'!J230:Q230)&lt;&gt;0,'Base de Datos Sumaria'!P230," ")</f>
        <v xml:space="preserve"> </v>
      </c>
      <c r="M233" s="10" t="str">
        <f>IF(SUM('Base de Datos Sumaria'!J230:Q230)&lt;&gt;0,'Base de Datos Sumaria'!Q230," ")</f>
        <v xml:space="preserve"> </v>
      </c>
      <c r="N233" s="10" t="str">
        <f>IF(SUM('Base de Datos Sumaria'!J230:Q230)&lt;&gt;0,SUM(F233:M233)," ")</f>
        <v xml:space="preserve"> </v>
      </c>
    </row>
    <row r="234" spans="1:14" s="12" customFormat="1" ht="12.95" customHeight="1" x14ac:dyDescent="0.2">
      <c r="A234" s="6" t="str">
        <f>IF(SUM('Base de Datos Sumaria'!J231:Q231)&lt;&gt;0,'Base de Datos Sumaria'!C231," ")</f>
        <v xml:space="preserve"> </v>
      </c>
      <c r="B234" s="6" t="str">
        <f>IF(SUM('Base de Datos Sumaria'!J231:Q231)&lt;&gt;0,'Base de Datos Sumaria'!D231," ")</f>
        <v xml:space="preserve"> </v>
      </c>
      <c r="C234" s="7" t="str">
        <f>IF(SUM('Base de Datos Sumaria'!J231:Q231)&lt;&gt;0,'Base de Datos Sumaria'!H231," ")</f>
        <v xml:space="preserve"> </v>
      </c>
      <c r="D234" s="8" t="str">
        <f>IF(SUM('Base de Datos Sumaria'!J231:Q231)&lt;&gt;0,'Base de Datos Maestro'!L231," ")</f>
        <v xml:space="preserve"> </v>
      </c>
      <c r="E234" s="9" t="str">
        <f>IF('Base de Datos Sumaria'!I231&lt;&gt;0,'Base de Datos Sumaria'!I231,"")</f>
        <v/>
      </c>
      <c r="F234" s="10" t="str">
        <f>IF(SUM('Base de Datos Sumaria'!J231:Q231)&lt;&gt;0,'Base de Datos Sumaria'!J231,"")</f>
        <v/>
      </c>
      <c r="G234" s="10" t="str">
        <f>IF(SUM('Base de Datos Sumaria'!J231:Q231)&lt;&gt;0,'Base de Datos Sumaria'!K231," ")</f>
        <v xml:space="preserve"> </v>
      </c>
      <c r="H234" s="10" t="str">
        <f>IF(SUM('Base de Datos Sumaria'!J231:Q231)&lt;&gt;0,'Base de Datos Sumaria'!L231," ")</f>
        <v xml:space="preserve"> </v>
      </c>
      <c r="I234" s="10" t="str">
        <f>IF(SUM('Base de Datos Sumaria'!J231:Q231)&lt;&gt;0,'Base de Datos Sumaria'!M231," ")</f>
        <v xml:space="preserve"> </v>
      </c>
      <c r="J234" s="10" t="str">
        <f>IF(SUM('Base de Datos Sumaria'!J231:Q231)&lt;&gt;0,'Base de Datos Sumaria'!N231," ")</f>
        <v xml:space="preserve"> </v>
      </c>
      <c r="K234" s="10" t="str">
        <f>IF(SUM('Base de Datos Sumaria'!J231:Q231)&lt;&gt;0,'Base de Datos Sumaria'!O231," ")</f>
        <v xml:space="preserve"> </v>
      </c>
      <c r="L234" s="10" t="str">
        <f>IF(SUM('Base de Datos Sumaria'!J231:Q231)&lt;&gt;0,'Base de Datos Sumaria'!P231," ")</f>
        <v xml:space="preserve"> </v>
      </c>
      <c r="M234" s="10" t="str">
        <f>IF(SUM('Base de Datos Sumaria'!J231:Q231)&lt;&gt;0,'Base de Datos Sumaria'!Q231," ")</f>
        <v xml:space="preserve"> </v>
      </c>
      <c r="N234" s="10" t="str">
        <f>IF(SUM('Base de Datos Sumaria'!J231:Q231)&lt;&gt;0,SUM(F234:M234)," ")</f>
        <v xml:space="preserve"> </v>
      </c>
    </row>
    <row r="235" spans="1:14" s="12" customFormat="1" ht="12.95" customHeight="1" x14ac:dyDescent="0.2">
      <c r="A235" s="6" t="str">
        <f>IF(SUM('Base de Datos Sumaria'!J232:Q232)&lt;&gt;0,'Base de Datos Sumaria'!C232," ")</f>
        <v xml:space="preserve"> </v>
      </c>
      <c r="B235" s="6" t="str">
        <f>IF(SUM('Base de Datos Sumaria'!J232:Q232)&lt;&gt;0,'Base de Datos Sumaria'!D232," ")</f>
        <v xml:space="preserve"> </v>
      </c>
      <c r="C235" s="7" t="str">
        <f>IF(SUM('Base de Datos Sumaria'!J232:Q232)&lt;&gt;0,'Base de Datos Sumaria'!H232," ")</f>
        <v xml:space="preserve"> </v>
      </c>
      <c r="D235" s="8" t="str">
        <f>IF(SUM('Base de Datos Sumaria'!J232:Q232)&lt;&gt;0,'Base de Datos Maestro'!L232," ")</f>
        <v xml:space="preserve"> </v>
      </c>
      <c r="E235" s="9" t="str">
        <f>IF('Base de Datos Sumaria'!I232&lt;&gt;0,'Base de Datos Sumaria'!I232,"")</f>
        <v/>
      </c>
      <c r="F235" s="10" t="str">
        <f>IF(SUM('Base de Datos Sumaria'!J232:Q232)&lt;&gt;0,'Base de Datos Sumaria'!J232,"")</f>
        <v/>
      </c>
      <c r="G235" s="10" t="str">
        <f>IF(SUM('Base de Datos Sumaria'!J232:Q232)&lt;&gt;0,'Base de Datos Sumaria'!K232," ")</f>
        <v xml:space="preserve"> </v>
      </c>
      <c r="H235" s="10" t="str">
        <f>IF(SUM('Base de Datos Sumaria'!J232:Q232)&lt;&gt;0,'Base de Datos Sumaria'!L232," ")</f>
        <v xml:space="preserve"> </v>
      </c>
      <c r="I235" s="10" t="str">
        <f>IF(SUM('Base de Datos Sumaria'!J232:Q232)&lt;&gt;0,'Base de Datos Sumaria'!M232," ")</f>
        <v xml:space="preserve"> </v>
      </c>
      <c r="J235" s="10" t="str">
        <f>IF(SUM('Base de Datos Sumaria'!J232:Q232)&lt;&gt;0,'Base de Datos Sumaria'!N232," ")</f>
        <v xml:space="preserve"> </v>
      </c>
      <c r="K235" s="10" t="str">
        <f>IF(SUM('Base de Datos Sumaria'!J232:Q232)&lt;&gt;0,'Base de Datos Sumaria'!O232," ")</f>
        <v xml:space="preserve"> </v>
      </c>
      <c r="L235" s="10" t="str">
        <f>IF(SUM('Base de Datos Sumaria'!J232:Q232)&lt;&gt;0,'Base de Datos Sumaria'!P232," ")</f>
        <v xml:space="preserve"> </v>
      </c>
      <c r="M235" s="10" t="str">
        <f>IF(SUM('Base de Datos Sumaria'!J232:Q232)&lt;&gt;0,'Base de Datos Sumaria'!Q232," ")</f>
        <v xml:space="preserve"> </v>
      </c>
      <c r="N235" s="10" t="str">
        <f>IF(SUM('Base de Datos Sumaria'!J232:Q232)&lt;&gt;0,SUM(F235:M235)," ")</f>
        <v xml:space="preserve"> </v>
      </c>
    </row>
    <row r="236" spans="1:14" s="12" customFormat="1" ht="12.95" customHeight="1" x14ac:dyDescent="0.2">
      <c r="A236" s="6" t="str">
        <f>IF(SUM('Base de Datos Sumaria'!J233:Q233)&lt;&gt;0,'Base de Datos Sumaria'!C233," ")</f>
        <v xml:space="preserve"> </v>
      </c>
      <c r="B236" s="6" t="str">
        <f>IF(SUM('Base de Datos Sumaria'!J233:Q233)&lt;&gt;0,'Base de Datos Sumaria'!D233," ")</f>
        <v xml:space="preserve"> </v>
      </c>
      <c r="C236" s="7" t="str">
        <f>IF(SUM('Base de Datos Sumaria'!J233:Q233)&lt;&gt;0,'Base de Datos Sumaria'!H233," ")</f>
        <v xml:space="preserve"> </v>
      </c>
      <c r="D236" s="8" t="str">
        <f>IF(SUM('Base de Datos Sumaria'!J233:Q233)&lt;&gt;0,'Base de Datos Maestro'!L233," ")</f>
        <v xml:space="preserve"> </v>
      </c>
      <c r="E236" s="9" t="str">
        <f>IF('Base de Datos Sumaria'!I233&lt;&gt;0,'Base de Datos Sumaria'!I233,"")</f>
        <v/>
      </c>
      <c r="F236" s="10" t="str">
        <f>IF(SUM('Base de Datos Sumaria'!J233:Q233)&lt;&gt;0,'Base de Datos Sumaria'!J233,"")</f>
        <v/>
      </c>
      <c r="G236" s="10" t="str">
        <f>IF(SUM('Base de Datos Sumaria'!J233:Q233)&lt;&gt;0,'Base de Datos Sumaria'!K233," ")</f>
        <v xml:space="preserve"> </v>
      </c>
      <c r="H236" s="10" t="str">
        <f>IF(SUM('Base de Datos Sumaria'!J233:Q233)&lt;&gt;0,'Base de Datos Sumaria'!L233," ")</f>
        <v xml:space="preserve"> </v>
      </c>
      <c r="I236" s="10" t="str">
        <f>IF(SUM('Base de Datos Sumaria'!J233:Q233)&lt;&gt;0,'Base de Datos Sumaria'!M233," ")</f>
        <v xml:space="preserve"> </v>
      </c>
      <c r="J236" s="10" t="str">
        <f>IF(SUM('Base de Datos Sumaria'!J233:Q233)&lt;&gt;0,'Base de Datos Sumaria'!N233," ")</f>
        <v xml:space="preserve"> </v>
      </c>
      <c r="K236" s="10" t="str">
        <f>IF(SUM('Base de Datos Sumaria'!J233:Q233)&lt;&gt;0,'Base de Datos Sumaria'!O233," ")</f>
        <v xml:space="preserve"> </v>
      </c>
      <c r="L236" s="10" t="str">
        <f>IF(SUM('Base de Datos Sumaria'!J233:Q233)&lt;&gt;0,'Base de Datos Sumaria'!P233," ")</f>
        <v xml:space="preserve"> </v>
      </c>
      <c r="M236" s="10" t="str">
        <f>IF(SUM('Base de Datos Sumaria'!J233:Q233)&lt;&gt;0,'Base de Datos Sumaria'!Q233," ")</f>
        <v xml:space="preserve"> </v>
      </c>
      <c r="N236" s="10" t="str">
        <f>IF(SUM('Base de Datos Sumaria'!J233:Q233)&lt;&gt;0,SUM(F236:M236)," ")</f>
        <v xml:space="preserve"> </v>
      </c>
    </row>
    <row r="237" spans="1:14" s="12" customFormat="1" ht="12.95" customHeight="1" x14ac:dyDescent="0.2">
      <c r="A237" s="6" t="str">
        <f>IF(SUM('Base de Datos Sumaria'!J234:Q234)&lt;&gt;0,'Base de Datos Sumaria'!C234," ")</f>
        <v xml:space="preserve"> </v>
      </c>
      <c r="B237" s="6" t="str">
        <f>IF(SUM('Base de Datos Sumaria'!J234:Q234)&lt;&gt;0,'Base de Datos Sumaria'!D234," ")</f>
        <v xml:space="preserve"> </v>
      </c>
      <c r="C237" s="7" t="str">
        <f>IF(SUM('Base de Datos Sumaria'!J234:Q234)&lt;&gt;0,'Base de Datos Sumaria'!H234," ")</f>
        <v xml:space="preserve"> </v>
      </c>
      <c r="D237" s="8" t="str">
        <f>IF(SUM('Base de Datos Sumaria'!J234:Q234)&lt;&gt;0,'Base de Datos Maestro'!L234," ")</f>
        <v xml:space="preserve"> </v>
      </c>
      <c r="E237" s="9" t="str">
        <f>IF('Base de Datos Sumaria'!I234&lt;&gt;0,'Base de Datos Sumaria'!I234,"")</f>
        <v/>
      </c>
      <c r="F237" s="10" t="str">
        <f>IF(SUM('Base de Datos Sumaria'!J234:Q234)&lt;&gt;0,'Base de Datos Sumaria'!J234,"")</f>
        <v/>
      </c>
      <c r="G237" s="10" t="str">
        <f>IF(SUM('Base de Datos Sumaria'!J234:Q234)&lt;&gt;0,'Base de Datos Sumaria'!K234," ")</f>
        <v xml:space="preserve"> </v>
      </c>
      <c r="H237" s="10" t="str">
        <f>IF(SUM('Base de Datos Sumaria'!J234:Q234)&lt;&gt;0,'Base de Datos Sumaria'!L234," ")</f>
        <v xml:space="preserve"> </v>
      </c>
      <c r="I237" s="10" t="str">
        <f>IF(SUM('Base de Datos Sumaria'!J234:Q234)&lt;&gt;0,'Base de Datos Sumaria'!M234," ")</f>
        <v xml:space="preserve"> </v>
      </c>
      <c r="J237" s="10" t="str">
        <f>IF(SUM('Base de Datos Sumaria'!J234:Q234)&lt;&gt;0,'Base de Datos Sumaria'!N234," ")</f>
        <v xml:space="preserve"> </v>
      </c>
      <c r="K237" s="10" t="str">
        <f>IF(SUM('Base de Datos Sumaria'!J234:Q234)&lt;&gt;0,'Base de Datos Sumaria'!O234," ")</f>
        <v xml:space="preserve"> </v>
      </c>
      <c r="L237" s="10" t="str">
        <f>IF(SUM('Base de Datos Sumaria'!J234:Q234)&lt;&gt;0,'Base de Datos Sumaria'!P234," ")</f>
        <v xml:space="preserve"> </v>
      </c>
      <c r="M237" s="10" t="str">
        <f>IF(SUM('Base de Datos Sumaria'!J234:Q234)&lt;&gt;0,'Base de Datos Sumaria'!Q234," ")</f>
        <v xml:space="preserve"> </v>
      </c>
      <c r="N237" s="10" t="str">
        <f>IF(SUM('Base de Datos Sumaria'!J234:Q234)&lt;&gt;0,SUM(F237:M237)," ")</f>
        <v xml:space="preserve"> </v>
      </c>
    </row>
    <row r="238" spans="1:14" s="12" customFormat="1" ht="12.95" customHeight="1" x14ac:dyDescent="0.2">
      <c r="A238" s="6" t="str">
        <f>IF(SUM('Base de Datos Sumaria'!J235:Q235)&lt;&gt;0,'Base de Datos Sumaria'!C235," ")</f>
        <v xml:space="preserve"> </v>
      </c>
      <c r="B238" s="6" t="str">
        <f>IF(SUM('Base de Datos Sumaria'!J235:Q235)&lt;&gt;0,'Base de Datos Sumaria'!D235," ")</f>
        <v xml:space="preserve"> </v>
      </c>
      <c r="C238" s="7" t="str">
        <f>IF(SUM('Base de Datos Sumaria'!J235:Q235)&lt;&gt;0,'Base de Datos Sumaria'!H235," ")</f>
        <v xml:space="preserve"> </v>
      </c>
      <c r="D238" s="8" t="str">
        <f>IF(SUM('Base de Datos Sumaria'!J235:Q235)&lt;&gt;0,'Base de Datos Maestro'!L235," ")</f>
        <v xml:space="preserve"> </v>
      </c>
      <c r="E238" s="9" t="str">
        <f>IF('Base de Datos Sumaria'!I235&lt;&gt;0,'Base de Datos Sumaria'!I235,"")</f>
        <v/>
      </c>
      <c r="F238" s="10" t="str">
        <f>IF(SUM('Base de Datos Sumaria'!J235:Q235)&lt;&gt;0,'Base de Datos Sumaria'!J235,"")</f>
        <v/>
      </c>
      <c r="G238" s="10" t="str">
        <f>IF(SUM('Base de Datos Sumaria'!J235:Q235)&lt;&gt;0,'Base de Datos Sumaria'!K235," ")</f>
        <v xml:space="preserve"> </v>
      </c>
      <c r="H238" s="10" t="str">
        <f>IF(SUM('Base de Datos Sumaria'!J235:Q235)&lt;&gt;0,'Base de Datos Sumaria'!L235," ")</f>
        <v xml:space="preserve"> </v>
      </c>
      <c r="I238" s="10" t="str">
        <f>IF(SUM('Base de Datos Sumaria'!J235:Q235)&lt;&gt;0,'Base de Datos Sumaria'!M235," ")</f>
        <v xml:space="preserve"> </v>
      </c>
      <c r="J238" s="10" t="str">
        <f>IF(SUM('Base de Datos Sumaria'!J235:Q235)&lt;&gt;0,'Base de Datos Sumaria'!N235," ")</f>
        <v xml:space="preserve"> </v>
      </c>
      <c r="K238" s="10" t="str">
        <f>IF(SUM('Base de Datos Sumaria'!J235:Q235)&lt;&gt;0,'Base de Datos Sumaria'!O235," ")</f>
        <v xml:space="preserve"> </v>
      </c>
      <c r="L238" s="10" t="str">
        <f>IF(SUM('Base de Datos Sumaria'!J235:Q235)&lt;&gt;0,'Base de Datos Sumaria'!P235," ")</f>
        <v xml:space="preserve"> </v>
      </c>
      <c r="M238" s="10" t="str">
        <f>IF(SUM('Base de Datos Sumaria'!J235:Q235)&lt;&gt;0,'Base de Datos Sumaria'!Q235," ")</f>
        <v xml:space="preserve"> </v>
      </c>
      <c r="N238" s="10" t="str">
        <f>IF(SUM('Base de Datos Sumaria'!J235:Q235)&lt;&gt;0,SUM(F238:M238)," ")</f>
        <v xml:space="preserve"> </v>
      </c>
    </row>
    <row r="239" spans="1:14" s="12" customFormat="1" ht="12.95" customHeight="1" x14ac:dyDescent="0.2">
      <c r="A239" s="6" t="str">
        <f>IF(SUM('Base de Datos Sumaria'!J236:Q236)&lt;&gt;0,'Base de Datos Sumaria'!C236," ")</f>
        <v xml:space="preserve"> </v>
      </c>
      <c r="B239" s="6" t="str">
        <f>IF(SUM('Base de Datos Sumaria'!J236:Q236)&lt;&gt;0,'Base de Datos Sumaria'!D236," ")</f>
        <v xml:space="preserve"> </v>
      </c>
      <c r="C239" s="7" t="str">
        <f>IF(SUM('Base de Datos Sumaria'!J236:Q236)&lt;&gt;0,'Base de Datos Sumaria'!H236," ")</f>
        <v xml:space="preserve"> </v>
      </c>
      <c r="D239" s="8" t="str">
        <f>IF(SUM('Base de Datos Sumaria'!J236:Q236)&lt;&gt;0,'Base de Datos Maestro'!L236," ")</f>
        <v xml:space="preserve"> </v>
      </c>
      <c r="E239" s="9" t="str">
        <f>IF('Base de Datos Sumaria'!I236&lt;&gt;0,'Base de Datos Sumaria'!I236,"")</f>
        <v/>
      </c>
      <c r="F239" s="10" t="str">
        <f>IF(SUM('Base de Datos Sumaria'!J236:Q236)&lt;&gt;0,'Base de Datos Sumaria'!J236,"")</f>
        <v/>
      </c>
      <c r="G239" s="10" t="str">
        <f>IF(SUM('Base de Datos Sumaria'!J236:Q236)&lt;&gt;0,'Base de Datos Sumaria'!K236," ")</f>
        <v xml:space="preserve"> </v>
      </c>
      <c r="H239" s="10" t="str">
        <f>IF(SUM('Base de Datos Sumaria'!J236:Q236)&lt;&gt;0,'Base de Datos Sumaria'!L236," ")</f>
        <v xml:space="preserve"> </v>
      </c>
      <c r="I239" s="10" t="str">
        <f>IF(SUM('Base de Datos Sumaria'!J236:Q236)&lt;&gt;0,'Base de Datos Sumaria'!M236," ")</f>
        <v xml:space="preserve"> </v>
      </c>
      <c r="J239" s="10" t="str">
        <f>IF(SUM('Base de Datos Sumaria'!J236:Q236)&lt;&gt;0,'Base de Datos Sumaria'!N236," ")</f>
        <v xml:space="preserve"> </v>
      </c>
      <c r="K239" s="10" t="str">
        <f>IF(SUM('Base de Datos Sumaria'!J236:Q236)&lt;&gt;0,'Base de Datos Sumaria'!O236," ")</f>
        <v xml:space="preserve"> </v>
      </c>
      <c r="L239" s="10" t="str">
        <f>IF(SUM('Base de Datos Sumaria'!J236:Q236)&lt;&gt;0,'Base de Datos Sumaria'!P236," ")</f>
        <v xml:space="preserve"> </v>
      </c>
      <c r="M239" s="10" t="str">
        <f>IF(SUM('Base de Datos Sumaria'!J236:Q236)&lt;&gt;0,'Base de Datos Sumaria'!Q236," ")</f>
        <v xml:space="preserve"> </v>
      </c>
      <c r="N239" s="10" t="str">
        <f>IF(SUM('Base de Datos Sumaria'!J236:Q236)&lt;&gt;0,SUM(F239:M239)," ")</f>
        <v xml:space="preserve"> </v>
      </c>
    </row>
    <row r="240" spans="1:14" s="12" customFormat="1" ht="12.95" customHeight="1" x14ac:dyDescent="0.2">
      <c r="A240" s="6" t="str">
        <f>IF(SUM('Base de Datos Sumaria'!J237:Q237)&lt;&gt;0,'Base de Datos Sumaria'!C237," ")</f>
        <v xml:space="preserve"> </v>
      </c>
      <c r="B240" s="6" t="str">
        <f>IF(SUM('Base de Datos Sumaria'!J237:Q237)&lt;&gt;0,'Base de Datos Sumaria'!D237," ")</f>
        <v xml:space="preserve"> </v>
      </c>
      <c r="C240" s="7" t="str">
        <f>IF(SUM('Base de Datos Sumaria'!J237:Q237)&lt;&gt;0,'Base de Datos Sumaria'!H237," ")</f>
        <v xml:space="preserve"> </v>
      </c>
      <c r="D240" s="8" t="str">
        <f>IF(SUM('Base de Datos Sumaria'!J237:Q237)&lt;&gt;0,'Base de Datos Maestro'!L237," ")</f>
        <v xml:space="preserve"> </v>
      </c>
      <c r="E240" s="9" t="str">
        <f>IF('Base de Datos Sumaria'!I237&lt;&gt;0,'Base de Datos Sumaria'!I237,"")</f>
        <v/>
      </c>
      <c r="F240" s="10" t="str">
        <f>IF(SUM('Base de Datos Sumaria'!J237:Q237)&lt;&gt;0,'Base de Datos Sumaria'!J237,"")</f>
        <v/>
      </c>
      <c r="G240" s="10" t="str">
        <f>IF(SUM('Base de Datos Sumaria'!J237:Q237)&lt;&gt;0,'Base de Datos Sumaria'!K237," ")</f>
        <v xml:space="preserve"> </v>
      </c>
      <c r="H240" s="10" t="str">
        <f>IF(SUM('Base de Datos Sumaria'!J237:Q237)&lt;&gt;0,'Base de Datos Sumaria'!L237," ")</f>
        <v xml:space="preserve"> </v>
      </c>
      <c r="I240" s="10" t="str">
        <f>IF(SUM('Base de Datos Sumaria'!J237:Q237)&lt;&gt;0,'Base de Datos Sumaria'!M237," ")</f>
        <v xml:space="preserve"> </v>
      </c>
      <c r="J240" s="10" t="str">
        <f>IF(SUM('Base de Datos Sumaria'!J237:Q237)&lt;&gt;0,'Base de Datos Sumaria'!N237," ")</f>
        <v xml:space="preserve"> </v>
      </c>
      <c r="K240" s="10" t="str">
        <f>IF(SUM('Base de Datos Sumaria'!J237:Q237)&lt;&gt;0,'Base de Datos Sumaria'!O237," ")</f>
        <v xml:space="preserve"> </v>
      </c>
      <c r="L240" s="10" t="str">
        <f>IF(SUM('Base de Datos Sumaria'!J237:Q237)&lt;&gt;0,'Base de Datos Sumaria'!P237," ")</f>
        <v xml:space="preserve"> </v>
      </c>
      <c r="M240" s="10" t="str">
        <f>IF(SUM('Base de Datos Sumaria'!J237:Q237)&lt;&gt;0,'Base de Datos Sumaria'!Q237," ")</f>
        <v xml:space="preserve"> </v>
      </c>
      <c r="N240" s="10" t="str">
        <f>IF(SUM('Base de Datos Sumaria'!J237:Q237)&lt;&gt;0,SUM(F240:M240)," ")</f>
        <v xml:space="preserve"> </v>
      </c>
    </row>
    <row r="241" spans="1:14" s="12" customFormat="1" ht="12.95" customHeight="1" x14ac:dyDescent="0.2">
      <c r="A241" s="6" t="str">
        <f>IF(SUM('Base de Datos Sumaria'!J238:Q238)&lt;&gt;0,'Base de Datos Sumaria'!C238," ")</f>
        <v xml:space="preserve"> </v>
      </c>
      <c r="B241" s="6" t="str">
        <f>IF(SUM('Base de Datos Sumaria'!J238:Q238)&lt;&gt;0,'Base de Datos Sumaria'!D238," ")</f>
        <v xml:space="preserve"> </v>
      </c>
      <c r="C241" s="7" t="str">
        <f>IF(SUM('Base de Datos Sumaria'!J238:Q238)&lt;&gt;0,'Base de Datos Sumaria'!H238," ")</f>
        <v xml:space="preserve"> </v>
      </c>
      <c r="D241" s="8" t="str">
        <f>IF(SUM('Base de Datos Sumaria'!J238:Q238)&lt;&gt;0,'Base de Datos Maestro'!L238," ")</f>
        <v xml:space="preserve"> </v>
      </c>
      <c r="E241" s="9" t="str">
        <f>IF('Base de Datos Sumaria'!I238&lt;&gt;0,'Base de Datos Sumaria'!I238,"")</f>
        <v/>
      </c>
      <c r="F241" s="10" t="str">
        <f>IF(SUM('Base de Datos Sumaria'!J238:Q238)&lt;&gt;0,'Base de Datos Sumaria'!J238,"")</f>
        <v/>
      </c>
      <c r="G241" s="10" t="str">
        <f>IF(SUM('Base de Datos Sumaria'!J238:Q238)&lt;&gt;0,'Base de Datos Sumaria'!K238," ")</f>
        <v xml:space="preserve"> </v>
      </c>
      <c r="H241" s="10" t="str">
        <f>IF(SUM('Base de Datos Sumaria'!J238:Q238)&lt;&gt;0,'Base de Datos Sumaria'!L238," ")</f>
        <v xml:space="preserve"> </v>
      </c>
      <c r="I241" s="10" t="str">
        <f>IF(SUM('Base de Datos Sumaria'!J238:Q238)&lt;&gt;0,'Base de Datos Sumaria'!M238," ")</f>
        <v xml:space="preserve"> </v>
      </c>
      <c r="J241" s="10" t="str">
        <f>IF(SUM('Base de Datos Sumaria'!J238:Q238)&lt;&gt;0,'Base de Datos Sumaria'!N238," ")</f>
        <v xml:space="preserve"> </v>
      </c>
      <c r="K241" s="10" t="str">
        <f>IF(SUM('Base de Datos Sumaria'!J238:Q238)&lt;&gt;0,'Base de Datos Sumaria'!O238," ")</f>
        <v xml:space="preserve"> </v>
      </c>
      <c r="L241" s="10" t="str">
        <f>IF(SUM('Base de Datos Sumaria'!J238:Q238)&lt;&gt;0,'Base de Datos Sumaria'!P238," ")</f>
        <v xml:space="preserve"> </v>
      </c>
      <c r="M241" s="10" t="str">
        <f>IF(SUM('Base de Datos Sumaria'!J238:Q238)&lt;&gt;0,'Base de Datos Sumaria'!Q238," ")</f>
        <v xml:space="preserve"> </v>
      </c>
      <c r="N241" s="10" t="str">
        <f>IF(SUM('Base de Datos Sumaria'!J238:Q238)&lt;&gt;0,SUM(F241:M241)," ")</f>
        <v xml:space="preserve"> </v>
      </c>
    </row>
    <row r="242" spans="1:14" s="12" customFormat="1" ht="12.95" customHeight="1" x14ac:dyDescent="0.2">
      <c r="A242" s="6" t="str">
        <f>IF(SUM('Base de Datos Sumaria'!J239:Q239)&lt;&gt;0,'Base de Datos Sumaria'!C239," ")</f>
        <v xml:space="preserve"> </v>
      </c>
      <c r="B242" s="6" t="str">
        <f>IF(SUM('Base de Datos Sumaria'!J239:Q239)&lt;&gt;0,'Base de Datos Sumaria'!D239," ")</f>
        <v xml:space="preserve"> </v>
      </c>
      <c r="C242" s="7" t="str">
        <f>IF(SUM('Base de Datos Sumaria'!J239:Q239)&lt;&gt;0,'Base de Datos Sumaria'!H239," ")</f>
        <v xml:space="preserve"> </v>
      </c>
      <c r="D242" s="8" t="str">
        <f>IF(SUM('Base de Datos Sumaria'!J239:Q239)&lt;&gt;0,'Base de Datos Maestro'!L239," ")</f>
        <v xml:space="preserve"> </v>
      </c>
      <c r="E242" s="9" t="str">
        <f>IF('Base de Datos Sumaria'!I239&lt;&gt;0,'Base de Datos Sumaria'!I239,"")</f>
        <v/>
      </c>
      <c r="F242" s="10" t="str">
        <f>IF(SUM('Base de Datos Sumaria'!J239:Q239)&lt;&gt;0,'Base de Datos Sumaria'!J239,"")</f>
        <v/>
      </c>
      <c r="G242" s="10" t="str">
        <f>IF(SUM('Base de Datos Sumaria'!J239:Q239)&lt;&gt;0,'Base de Datos Sumaria'!K239," ")</f>
        <v xml:space="preserve"> </v>
      </c>
      <c r="H242" s="10" t="str">
        <f>IF(SUM('Base de Datos Sumaria'!J239:Q239)&lt;&gt;0,'Base de Datos Sumaria'!L239," ")</f>
        <v xml:space="preserve"> </v>
      </c>
      <c r="I242" s="10" t="str">
        <f>IF(SUM('Base de Datos Sumaria'!J239:Q239)&lt;&gt;0,'Base de Datos Sumaria'!M239," ")</f>
        <v xml:space="preserve"> </v>
      </c>
      <c r="J242" s="10" t="str">
        <f>IF(SUM('Base de Datos Sumaria'!J239:Q239)&lt;&gt;0,'Base de Datos Sumaria'!N239," ")</f>
        <v xml:space="preserve"> </v>
      </c>
      <c r="K242" s="10" t="str">
        <f>IF(SUM('Base de Datos Sumaria'!J239:Q239)&lt;&gt;0,'Base de Datos Sumaria'!O239," ")</f>
        <v xml:space="preserve"> </v>
      </c>
      <c r="L242" s="10" t="str">
        <f>IF(SUM('Base de Datos Sumaria'!J239:Q239)&lt;&gt;0,'Base de Datos Sumaria'!P239," ")</f>
        <v xml:space="preserve"> </v>
      </c>
      <c r="M242" s="10" t="str">
        <f>IF(SUM('Base de Datos Sumaria'!J239:Q239)&lt;&gt;0,'Base de Datos Sumaria'!Q239," ")</f>
        <v xml:space="preserve"> </v>
      </c>
      <c r="N242" s="10" t="str">
        <f>IF(SUM('Base de Datos Sumaria'!J239:Q239)&lt;&gt;0,SUM(F242:M242)," ")</f>
        <v xml:space="preserve"> </v>
      </c>
    </row>
    <row r="243" spans="1:14" s="12" customFormat="1" ht="12.95" customHeight="1" x14ac:dyDescent="0.2">
      <c r="A243" s="6" t="str">
        <f>IF(SUM('Base de Datos Sumaria'!J240:Q240)&lt;&gt;0,'Base de Datos Sumaria'!C240," ")</f>
        <v xml:space="preserve"> </v>
      </c>
      <c r="B243" s="6" t="str">
        <f>IF(SUM('Base de Datos Sumaria'!J240:Q240)&lt;&gt;0,'Base de Datos Sumaria'!D240," ")</f>
        <v xml:space="preserve"> </v>
      </c>
      <c r="C243" s="7" t="str">
        <f>IF(SUM('Base de Datos Sumaria'!J240:Q240)&lt;&gt;0,'Base de Datos Sumaria'!H240," ")</f>
        <v xml:space="preserve"> </v>
      </c>
      <c r="D243" s="8" t="str">
        <f>IF(SUM('Base de Datos Sumaria'!J240:Q240)&lt;&gt;0,'Base de Datos Maestro'!L240," ")</f>
        <v xml:space="preserve"> </v>
      </c>
      <c r="E243" s="9" t="str">
        <f>IF('Base de Datos Sumaria'!I240&lt;&gt;0,'Base de Datos Sumaria'!I240,"")</f>
        <v/>
      </c>
      <c r="F243" s="10" t="str">
        <f>IF(SUM('Base de Datos Sumaria'!J240:Q240)&lt;&gt;0,'Base de Datos Sumaria'!J240,"")</f>
        <v/>
      </c>
      <c r="G243" s="10" t="str">
        <f>IF(SUM('Base de Datos Sumaria'!J240:Q240)&lt;&gt;0,'Base de Datos Sumaria'!K240," ")</f>
        <v xml:space="preserve"> </v>
      </c>
      <c r="H243" s="10" t="str">
        <f>IF(SUM('Base de Datos Sumaria'!J240:Q240)&lt;&gt;0,'Base de Datos Sumaria'!L240," ")</f>
        <v xml:space="preserve"> </v>
      </c>
      <c r="I243" s="10" t="str">
        <f>IF(SUM('Base de Datos Sumaria'!J240:Q240)&lt;&gt;0,'Base de Datos Sumaria'!M240," ")</f>
        <v xml:space="preserve"> </v>
      </c>
      <c r="J243" s="10" t="str">
        <f>IF(SUM('Base de Datos Sumaria'!J240:Q240)&lt;&gt;0,'Base de Datos Sumaria'!N240," ")</f>
        <v xml:space="preserve"> </v>
      </c>
      <c r="K243" s="10" t="str">
        <f>IF(SUM('Base de Datos Sumaria'!J240:Q240)&lt;&gt;0,'Base de Datos Sumaria'!O240," ")</f>
        <v xml:space="preserve"> </v>
      </c>
      <c r="L243" s="10" t="str">
        <f>IF(SUM('Base de Datos Sumaria'!J240:Q240)&lt;&gt;0,'Base de Datos Sumaria'!P240," ")</f>
        <v xml:space="preserve"> </v>
      </c>
      <c r="M243" s="10" t="str">
        <f>IF(SUM('Base de Datos Sumaria'!J240:Q240)&lt;&gt;0,'Base de Datos Sumaria'!Q240," ")</f>
        <v xml:space="preserve"> </v>
      </c>
      <c r="N243" s="10" t="str">
        <f>IF(SUM('Base de Datos Sumaria'!J240:Q240)&lt;&gt;0,SUM(F243:M243)," ")</f>
        <v xml:space="preserve"> </v>
      </c>
    </row>
    <row r="244" spans="1:14" s="12" customFormat="1" ht="12.95" customHeight="1" x14ac:dyDescent="0.2">
      <c r="A244" s="6" t="str">
        <f>IF(SUM('Base de Datos Sumaria'!J241:Q241)&lt;&gt;0,'Base de Datos Sumaria'!C241," ")</f>
        <v xml:space="preserve"> </v>
      </c>
      <c r="B244" s="6" t="str">
        <f>IF(SUM('Base de Datos Sumaria'!J241:Q241)&lt;&gt;0,'Base de Datos Sumaria'!D241," ")</f>
        <v xml:space="preserve"> </v>
      </c>
      <c r="C244" s="7" t="str">
        <f>IF(SUM('Base de Datos Sumaria'!J241:Q241)&lt;&gt;0,'Base de Datos Sumaria'!H241," ")</f>
        <v xml:space="preserve"> </v>
      </c>
      <c r="D244" s="8" t="str">
        <f>IF(SUM('Base de Datos Sumaria'!J241:Q241)&lt;&gt;0,'Base de Datos Maestro'!L241," ")</f>
        <v xml:space="preserve"> </v>
      </c>
      <c r="E244" s="9" t="str">
        <f>IF('Base de Datos Sumaria'!I241&lt;&gt;0,'Base de Datos Sumaria'!I241,"")</f>
        <v/>
      </c>
      <c r="F244" s="10" t="str">
        <f>IF(SUM('Base de Datos Sumaria'!J241:Q241)&lt;&gt;0,'Base de Datos Sumaria'!J241,"")</f>
        <v/>
      </c>
      <c r="G244" s="10" t="str">
        <f>IF(SUM('Base de Datos Sumaria'!J241:Q241)&lt;&gt;0,'Base de Datos Sumaria'!K241," ")</f>
        <v xml:space="preserve"> </v>
      </c>
      <c r="H244" s="10" t="str">
        <f>IF(SUM('Base de Datos Sumaria'!J241:Q241)&lt;&gt;0,'Base de Datos Sumaria'!L241," ")</f>
        <v xml:space="preserve"> </v>
      </c>
      <c r="I244" s="10" t="str">
        <f>IF(SUM('Base de Datos Sumaria'!J241:Q241)&lt;&gt;0,'Base de Datos Sumaria'!M241," ")</f>
        <v xml:space="preserve"> </v>
      </c>
      <c r="J244" s="10" t="str">
        <f>IF(SUM('Base de Datos Sumaria'!J241:Q241)&lt;&gt;0,'Base de Datos Sumaria'!N241," ")</f>
        <v xml:space="preserve"> </v>
      </c>
      <c r="K244" s="10" t="str">
        <f>IF(SUM('Base de Datos Sumaria'!J241:Q241)&lt;&gt;0,'Base de Datos Sumaria'!O241," ")</f>
        <v xml:space="preserve"> </v>
      </c>
      <c r="L244" s="10" t="str">
        <f>IF(SUM('Base de Datos Sumaria'!J241:Q241)&lt;&gt;0,'Base de Datos Sumaria'!P241," ")</f>
        <v xml:space="preserve"> </v>
      </c>
      <c r="M244" s="10" t="str">
        <f>IF(SUM('Base de Datos Sumaria'!J241:Q241)&lt;&gt;0,'Base de Datos Sumaria'!Q241," ")</f>
        <v xml:space="preserve"> </v>
      </c>
      <c r="N244" s="10" t="str">
        <f>IF(SUM('Base de Datos Sumaria'!J241:Q241)&lt;&gt;0,SUM(F244:M244)," ")</f>
        <v xml:space="preserve"> </v>
      </c>
    </row>
    <row r="245" spans="1:14" s="12" customFormat="1" ht="12.95" customHeight="1" x14ac:dyDescent="0.2">
      <c r="A245" s="6" t="str">
        <f>IF(SUM('Base de Datos Sumaria'!J242:Q242)&lt;&gt;0,'Base de Datos Sumaria'!C242," ")</f>
        <v xml:space="preserve"> </v>
      </c>
      <c r="B245" s="6" t="str">
        <f>IF(SUM('Base de Datos Sumaria'!J242:Q242)&lt;&gt;0,'Base de Datos Sumaria'!D242," ")</f>
        <v xml:space="preserve"> </v>
      </c>
      <c r="C245" s="7" t="str">
        <f>IF(SUM('Base de Datos Sumaria'!J242:Q242)&lt;&gt;0,'Base de Datos Sumaria'!H242," ")</f>
        <v xml:space="preserve"> </v>
      </c>
      <c r="D245" s="8" t="str">
        <f>IF(SUM('Base de Datos Sumaria'!J242:Q242)&lt;&gt;0,'Base de Datos Maestro'!L242," ")</f>
        <v xml:space="preserve"> </v>
      </c>
      <c r="E245" s="9" t="str">
        <f>IF('Base de Datos Sumaria'!I242&lt;&gt;0,'Base de Datos Sumaria'!I242,"")</f>
        <v/>
      </c>
      <c r="F245" s="10" t="str">
        <f>IF(SUM('Base de Datos Sumaria'!J242:Q242)&lt;&gt;0,'Base de Datos Sumaria'!J242,"")</f>
        <v/>
      </c>
      <c r="G245" s="10" t="str">
        <f>IF(SUM('Base de Datos Sumaria'!J242:Q242)&lt;&gt;0,'Base de Datos Sumaria'!K242," ")</f>
        <v xml:space="preserve"> </v>
      </c>
      <c r="H245" s="10" t="str">
        <f>IF(SUM('Base de Datos Sumaria'!J242:Q242)&lt;&gt;0,'Base de Datos Sumaria'!L242," ")</f>
        <v xml:space="preserve"> </v>
      </c>
      <c r="I245" s="10" t="str">
        <f>IF(SUM('Base de Datos Sumaria'!J242:Q242)&lt;&gt;0,'Base de Datos Sumaria'!M242," ")</f>
        <v xml:space="preserve"> </v>
      </c>
      <c r="J245" s="10" t="str">
        <f>IF(SUM('Base de Datos Sumaria'!J242:Q242)&lt;&gt;0,'Base de Datos Sumaria'!N242," ")</f>
        <v xml:space="preserve"> </v>
      </c>
      <c r="K245" s="10" t="str">
        <f>IF(SUM('Base de Datos Sumaria'!J242:Q242)&lt;&gt;0,'Base de Datos Sumaria'!O242," ")</f>
        <v xml:space="preserve"> </v>
      </c>
      <c r="L245" s="10" t="str">
        <f>IF(SUM('Base de Datos Sumaria'!J242:Q242)&lt;&gt;0,'Base de Datos Sumaria'!P242," ")</f>
        <v xml:space="preserve"> </v>
      </c>
      <c r="M245" s="10" t="str">
        <f>IF(SUM('Base de Datos Sumaria'!J242:Q242)&lt;&gt;0,'Base de Datos Sumaria'!Q242," ")</f>
        <v xml:space="preserve"> </v>
      </c>
      <c r="N245" s="10" t="str">
        <f>IF(SUM('Base de Datos Sumaria'!J242:Q242)&lt;&gt;0,SUM(F245:M245)," ")</f>
        <v xml:space="preserve"> </v>
      </c>
    </row>
    <row r="246" spans="1:14" s="12" customFormat="1" ht="12.95" customHeight="1" x14ac:dyDescent="0.2">
      <c r="A246" s="6" t="str">
        <f>IF(SUM('Base de Datos Sumaria'!J243:Q243)&lt;&gt;0,'Base de Datos Sumaria'!C243," ")</f>
        <v xml:space="preserve"> </v>
      </c>
      <c r="B246" s="6" t="str">
        <f>IF(SUM('Base de Datos Sumaria'!J243:Q243)&lt;&gt;0,'Base de Datos Sumaria'!D243," ")</f>
        <v xml:space="preserve"> </v>
      </c>
      <c r="C246" s="7" t="str">
        <f>IF(SUM('Base de Datos Sumaria'!J243:Q243)&lt;&gt;0,'Base de Datos Sumaria'!H243," ")</f>
        <v xml:space="preserve"> </v>
      </c>
      <c r="D246" s="8" t="str">
        <f>IF(SUM('Base de Datos Sumaria'!J243:Q243)&lt;&gt;0,'Base de Datos Maestro'!L243," ")</f>
        <v xml:space="preserve"> </v>
      </c>
      <c r="E246" s="9" t="str">
        <f>IF('Base de Datos Sumaria'!I243&lt;&gt;0,'Base de Datos Sumaria'!I243,"")</f>
        <v/>
      </c>
      <c r="F246" s="10" t="str">
        <f>IF(SUM('Base de Datos Sumaria'!J243:Q243)&lt;&gt;0,'Base de Datos Sumaria'!J243,"")</f>
        <v/>
      </c>
      <c r="G246" s="10" t="str">
        <f>IF(SUM('Base de Datos Sumaria'!J243:Q243)&lt;&gt;0,'Base de Datos Sumaria'!K243," ")</f>
        <v xml:space="preserve"> </v>
      </c>
      <c r="H246" s="10" t="str">
        <f>IF(SUM('Base de Datos Sumaria'!J243:Q243)&lt;&gt;0,'Base de Datos Sumaria'!L243," ")</f>
        <v xml:space="preserve"> </v>
      </c>
      <c r="I246" s="10" t="str">
        <f>IF(SUM('Base de Datos Sumaria'!J243:Q243)&lt;&gt;0,'Base de Datos Sumaria'!M243," ")</f>
        <v xml:space="preserve"> </v>
      </c>
      <c r="J246" s="10" t="str">
        <f>IF(SUM('Base de Datos Sumaria'!J243:Q243)&lt;&gt;0,'Base de Datos Sumaria'!N243," ")</f>
        <v xml:space="preserve"> </v>
      </c>
      <c r="K246" s="10" t="str">
        <f>IF(SUM('Base de Datos Sumaria'!J243:Q243)&lt;&gt;0,'Base de Datos Sumaria'!O243," ")</f>
        <v xml:space="preserve"> </v>
      </c>
      <c r="L246" s="10" t="str">
        <f>IF(SUM('Base de Datos Sumaria'!J243:Q243)&lt;&gt;0,'Base de Datos Sumaria'!P243," ")</f>
        <v xml:space="preserve"> </v>
      </c>
      <c r="M246" s="10" t="str">
        <f>IF(SUM('Base de Datos Sumaria'!J243:Q243)&lt;&gt;0,'Base de Datos Sumaria'!Q243," ")</f>
        <v xml:space="preserve"> </v>
      </c>
      <c r="N246" s="10" t="str">
        <f>IF(SUM('Base de Datos Sumaria'!J243:Q243)&lt;&gt;0,SUM(F246:M246)," ")</f>
        <v xml:space="preserve"> </v>
      </c>
    </row>
    <row r="247" spans="1:14" s="12" customFormat="1" ht="12.95" customHeight="1" x14ac:dyDescent="0.2">
      <c r="A247" s="6" t="str">
        <f>IF(SUM('Base de Datos Sumaria'!J244:Q244)&lt;&gt;0,'Base de Datos Sumaria'!C244," ")</f>
        <v xml:space="preserve"> </v>
      </c>
      <c r="B247" s="6" t="str">
        <f>IF(SUM('Base de Datos Sumaria'!J244:Q244)&lt;&gt;0,'Base de Datos Sumaria'!D244," ")</f>
        <v xml:space="preserve"> </v>
      </c>
      <c r="C247" s="7" t="str">
        <f>IF(SUM('Base de Datos Sumaria'!J244:Q244)&lt;&gt;0,'Base de Datos Sumaria'!H244," ")</f>
        <v xml:space="preserve"> </v>
      </c>
      <c r="D247" s="8" t="str">
        <f>IF(SUM('Base de Datos Sumaria'!J244:Q244)&lt;&gt;0,'Base de Datos Maestro'!L244," ")</f>
        <v xml:space="preserve"> </v>
      </c>
      <c r="E247" s="9" t="str">
        <f>IF('Base de Datos Sumaria'!I244&lt;&gt;0,'Base de Datos Sumaria'!I244,"")</f>
        <v/>
      </c>
      <c r="F247" s="10" t="str">
        <f>IF(SUM('Base de Datos Sumaria'!J244:Q244)&lt;&gt;0,'Base de Datos Sumaria'!J244,"")</f>
        <v/>
      </c>
      <c r="G247" s="10" t="str">
        <f>IF(SUM('Base de Datos Sumaria'!J244:Q244)&lt;&gt;0,'Base de Datos Sumaria'!K244," ")</f>
        <v xml:space="preserve"> </v>
      </c>
      <c r="H247" s="10" t="str">
        <f>IF(SUM('Base de Datos Sumaria'!J244:Q244)&lt;&gt;0,'Base de Datos Sumaria'!L244," ")</f>
        <v xml:space="preserve"> </v>
      </c>
      <c r="I247" s="10" t="str">
        <f>IF(SUM('Base de Datos Sumaria'!J244:Q244)&lt;&gt;0,'Base de Datos Sumaria'!M244," ")</f>
        <v xml:space="preserve"> </v>
      </c>
      <c r="J247" s="10" t="str">
        <f>IF(SUM('Base de Datos Sumaria'!J244:Q244)&lt;&gt;0,'Base de Datos Sumaria'!N244," ")</f>
        <v xml:space="preserve"> </v>
      </c>
      <c r="K247" s="10" t="str">
        <f>IF(SUM('Base de Datos Sumaria'!J244:Q244)&lt;&gt;0,'Base de Datos Sumaria'!O244," ")</f>
        <v xml:space="preserve"> </v>
      </c>
      <c r="L247" s="10" t="str">
        <f>IF(SUM('Base de Datos Sumaria'!J244:Q244)&lt;&gt;0,'Base de Datos Sumaria'!P244," ")</f>
        <v xml:space="preserve"> </v>
      </c>
      <c r="M247" s="10" t="str">
        <f>IF(SUM('Base de Datos Sumaria'!J244:Q244)&lt;&gt;0,'Base de Datos Sumaria'!Q244," ")</f>
        <v xml:space="preserve"> </v>
      </c>
      <c r="N247" s="10" t="str">
        <f>IF(SUM('Base de Datos Sumaria'!J244:Q244)&lt;&gt;0,SUM(F247:M247)," ")</f>
        <v xml:space="preserve"> </v>
      </c>
    </row>
    <row r="248" spans="1:14" s="12" customFormat="1" ht="12.95" customHeight="1" x14ac:dyDescent="0.2">
      <c r="A248" s="6" t="str">
        <f>IF(SUM('Base de Datos Sumaria'!J245:Q245)&lt;&gt;0,'Base de Datos Sumaria'!C245," ")</f>
        <v xml:space="preserve"> </v>
      </c>
      <c r="B248" s="6" t="str">
        <f>IF(SUM('Base de Datos Sumaria'!J245:Q245)&lt;&gt;0,'Base de Datos Sumaria'!D245," ")</f>
        <v xml:space="preserve"> </v>
      </c>
      <c r="C248" s="7" t="str">
        <f>IF(SUM('Base de Datos Sumaria'!J245:Q245)&lt;&gt;0,'Base de Datos Sumaria'!H245," ")</f>
        <v xml:space="preserve"> </v>
      </c>
      <c r="D248" s="8" t="str">
        <f>IF(SUM('Base de Datos Sumaria'!J245:Q245)&lt;&gt;0,'Base de Datos Maestro'!L245," ")</f>
        <v xml:space="preserve"> </v>
      </c>
      <c r="E248" s="9" t="str">
        <f>IF('Base de Datos Sumaria'!I245&lt;&gt;0,'Base de Datos Sumaria'!I245,"")</f>
        <v/>
      </c>
      <c r="F248" s="10" t="str">
        <f>IF(SUM('Base de Datos Sumaria'!J245:Q245)&lt;&gt;0,'Base de Datos Sumaria'!J245,"")</f>
        <v/>
      </c>
      <c r="G248" s="10" t="str">
        <f>IF(SUM('Base de Datos Sumaria'!J245:Q245)&lt;&gt;0,'Base de Datos Sumaria'!K245," ")</f>
        <v xml:space="preserve"> </v>
      </c>
      <c r="H248" s="10" t="str">
        <f>IF(SUM('Base de Datos Sumaria'!J245:Q245)&lt;&gt;0,'Base de Datos Sumaria'!L245," ")</f>
        <v xml:space="preserve"> </v>
      </c>
      <c r="I248" s="10" t="str">
        <f>IF(SUM('Base de Datos Sumaria'!J245:Q245)&lt;&gt;0,'Base de Datos Sumaria'!M245," ")</f>
        <v xml:space="preserve"> </v>
      </c>
      <c r="J248" s="10" t="str">
        <f>IF(SUM('Base de Datos Sumaria'!J245:Q245)&lt;&gt;0,'Base de Datos Sumaria'!N245," ")</f>
        <v xml:space="preserve"> </v>
      </c>
      <c r="K248" s="10" t="str">
        <f>IF(SUM('Base de Datos Sumaria'!J245:Q245)&lt;&gt;0,'Base de Datos Sumaria'!O245," ")</f>
        <v xml:space="preserve"> </v>
      </c>
      <c r="L248" s="10" t="str">
        <f>IF(SUM('Base de Datos Sumaria'!J245:Q245)&lt;&gt;0,'Base de Datos Sumaria'!P245," ")</f>
        <v xml:space="preserve"> </v>
      </c>
      <c r="M248" s="10" t="str">
        <f>IF(SUM('Base de Datos Sumaria'!J245:Q245)&lt;&gt;0,'Base de Datos Sumaria'!Q245," ")</f>
        <v xml:space="preserve"> </v>
      </c>
      <c r="N248" s="10" t="str">
        <f>IF(SUM('Base de Datos Sumaria'!J245:Q245)&lt;&gt;0,SUM(F248:M248)," ")</f>
        <v xml:space="preserve"> </v>
      </c>
    </row>
    <row r="249" spans="1:14" s="12" customFormat="1" ht="12.95" customHeight="1" x14ac:dyDescent="0.2">
      <c r="A249" s="6" t="str">
        <f>IF(SUM('Base de Datos Sumaria'!J246:Q246)&lt;&gt;0,'Base de Datos Sumaria'!C246," ")</f>
        <v xml:space="preserve"> </v>
      </c>
      <c r="B249" s="6" t="str">
        <f>IF(SUM('Base de Datos Sumaria'!J246:Q246)&lt;&gt;0,'Base de Datos Sumaria'!D246," ")</f>
        <v xml:space="preserve"> </v>
      </c>
      <c r="C249" s="7" t="str">
        <f>IF(SUM('Base de Datos Sumaria'!J246:Q246)&lt;&gt;0,'Base de Datos Sumaria'!H246," ")</f>
        <v xml:space="preserve"> </v>
      </c>
      <c r="D249" s="8" t="str">
        <f>IF(SUM('Base de Datos Sumaria'!J246:Q246)&lt;&gt;0,'Base de Datos Maestro'!L246," ")</f>
        <v xml:space="preserve"> </v>
      </c>
      <c r="E249" s="9" t="str">
        <f>IF('Base de Datos Sumaria'!I246&lt;&gt;0,'Base de Datos Sumaria'!I246,"")</f>
        <v/>
      </c>
      <c r="F249" s="10" t="str">
        <f>IF(SUM('Base de Datos Sumaria'!J246:Q246)&lt;&gt;0,'Base de Datos Sumaria'!J246,"")</f>
        <v/>
      </c>
      <c r="G249" s="10" t="str">
        <f>IF(SUM('Base de Datos Sumaria'!J246:Q246)&lt;&gt;0,'Base de Datos Sumaria'!K246," ")</f>
        <v xml:space="preserve"> </v>
      </c>
      <c r="H249" s="10" t="str">
        <f>IF(SUM('Base de Datos Sumaria'!J246:Q246)&lt;&gt;0,'Base de Datos Sumaria'!L246," ")</f>
        <v xml:space="preserve"> </v>
      </c>
      <c r="I249" s="10" t="str">
        <f>IF(SUM('Base de Datos Sumaria'!J246:Q246)&lt;&gt;0,'Base de Datos Sumaria'!M246," ")</f>
        <v xml:space="preserve"> </v>
      </c>
      <c r="J249" s="10" t="str">
        <f>IF(SUM('Base de Datos Sumaria'!J246:Q246)&lt;&gt;0,'Base de Datos Sumaria'!N246," ")</f>
        <v xml:space="preserve"> </v>
      </c>
      <c r="K249" s="10" t="str">
        <f>IF(SUM('Base de Datos Sumaria'!J246:Q246)&lt;&gt;0,'Base de Datos Sumaria'!O246," ")</f>
        <v xml:space="preserve"> </v>
      </c>
      <c r="L249" s="10" t="str">
        <f>IF(SUM('Base de Datos Sumaria'!J246:Q246)&lt;&gt;0,'Base de Datos Sumaria'!P246," ")</f>
        <v xml:space="preserve"> </v>
      </c>
      <c r="M249" s="10" t="str">
        <f>IF(SUM('Base de Datos Sumaria'!J246:Q246)&lt;&gt;0,'Base de Datos Sumaria'!Q246," ")</f>
        <v xml:space="preserve"> </v>
      </c>
      <c r="N249" s="10" t="str">
        <f>IF(SUM('Base de Datos Sumaria'!J246:Q246)&lt;&gt;0,SUM(F249:M249)," ")</f>
        <v xml:space="preserve"> </v>
      </c>
    </row>
    <row r="250" spans="1:14" s="12" customFormat="1" ht="12.95" customHeight="1" x14ac:dyDescent="0.2">
      <c r="A250" s="6" t="str">
        <f>IF(SUM('Base de Datos Sumaria'!J247:Q247)&lt;&gt;0,'Base de Datos Sumaria'!C247," ")</f>
        <v xml:space="preserve"> </v>
      </c>
      <c r="B250" s="6" t="str">
        <f>IF(SUM('Base de Datos Sumaria'!J247:Q247)&lt;&gt;0,'Base de Datos Sumaria'!D247," ")</f>
        <v xml:space="preserve"> </v>
      </c>
      <c r="C250" s="7" t="str">
        <f>IF(SUM('Base de Datos Sumaria'!J247:Q247)&lt;&gt;0,'Base de Datos Sumaria'!H247," ")</f>
        <v xml:space="preserve"> </v>
      </c>
      <c r="D250" s="8" t="str">
        <f>IF(SUM('Base de Datos Sumaria'!J247:Q247)&lt;&gt;0,'Base de Datos Maestro'!L247," ")</f>
        <v xml:space="preserve"> </v>
      </c>
      <c r="E250" s="9" t="str">
        <f>IF('Base de Datos Sumaria'!I247&lt;&gt;0,'Base de Datos Sumaria'!I247,"")</f>
        <v/>
      </c>
      <c r="F250" s="10" t="str">
        <f>IF(SUM('Base de Datos Sumaria'!J247:Q247)&lt;&gt;0,'Base de Datos Sumaria'!J247,"")</f>
        <v/>
      </c>
      <c r="G250" s="10" t="str">
        <f>IF(SUM('Base de Datos Sumaria'!J247:Q247)&lt;&gt;0,'Base de Datos Sumaria'!K247," ")</f>
        <v xml:space="preserve"> </v>
      </c>
      <c r="H250" s="10" t="str">
        <f>IF(SUM('Base de Datos Sumaria'!J247:Q247)&lt;&gt;0,'Base de Datos Sumaria'!L247," ")</f>
        <v xml:space="preserve"> </v>
      </c>
      <c r="I250" s="10" t="str">
        <f>IF(SUM('Base de Datos Sumaria'!J247:Q247)&lt;&gt;0,'Base de Datos Sumaria'!M247," ")</f>
        <v xml:space="preserve"> </v>
      </c>
      <c r="J250" s="10" t="str">
        <f>IF(SUM('Base de Datos Sumaria'!J247:Q247)&lt;&gt;0,'Base de Datos Sumaria'!N247," ")</f>
        <v xml:space="preserve"> </v>
      </c>
      <c r="K250" s="10" t="str">
        <f>IF(SUM('Base de Datos Sumaria'!J247:Q247)&lt;&gt;0,'Base de Datos Sumaria'!O247," ")</f>
        <v xml:space="preserve"> </v>
      </c>
      <c r="L250" s="10" t="str">
        <f>IF(SUM('Base de Datos Sumaria'!J247:Q247)&lt;&gt;0,'Base de Datos Sumaria'!P247," ")</f>
        <v xml:space="preserve"> </v>
      </c>
      <c r="M250" s="10" t="str">
        <f>IF(SUM('Base de Datos Sumaria'!J247:Q247)&lt;&gt;0,'Base de Datos Sumaria'!Q247," ")</f>
        <v xml:space="preserve"> </v>
      </c>
      <c r="N250" s="10" t="str">
        <f>IF(SUM('Base de Datos Sumaria'!J247:Q247)&lt;&gt;0,SUM(F250:M250)," ")</f>
        <v xml:space="preserve"> </v>
      </c>
    </row>
    <row r="251" spans="1:14" s="12" customFormat="1" ht="12.95" customHeight="1" x14ac:dyDescent="0.2">
      <c r="A251" s="6" t="str">
        <f>IF(SUM('Base de Datos Sumaria'!J248:Q248)&lt;&gt;0,'Base de Datos Sumaria'!C248," ")</f>
        <v xml:space="preserve"> </v>
      </c>
      <c r="B251" s="6" t="str">
        <f>IF(SUM('Base de Datos Sumaria'!J248:Q248)&lt;&gt;0,'Base de Datos Sumaria'!D248," ")</f>
        <v xml:space="preserve"> </v>
      </c>
      <c r="C251" s="7" t="str">
        <f>IF(SUM('Base de Datos Sumaria'!J248:Q248)&lt;&gt;0,'Base de Datos Sumaria'!H248," ")</f>
        <v xml:space="preserve"> </v>
      </c>
      <c r="D251" s="8" t="str">
        <f>IF(SUM('Base de Datos Sumaria'!J248:Q248)&lt;&gt;0,'Base de Datos Maestro'!L248," ")</f>
        <v xml:space="preserve"> </v>
      </c>
      <c r="E251" s="9" t="str">
        <f>IF('Base de Datos Sumaria'!I248&lt;&gt;0,'Base de Datos Sumaria'!I248,"")</f>
        <v/>
      </c>
      <c r="F251" s="10" t="str">
        <f>IF(SUM('Base de Datos Sumaria'!J248:Q248)&lt;&gt;0,'Base de Datos Sumaria'!J248,"")</f>
        <v/>
      </c>
      <c r="G251" s="10" t="str">
        <f>IF(SUM('Base de Datos Sumaria'!J248:Q248)&lt;&gt;0,'Base de Datos Sumaria'!K248," ")</f>
        <v xml:space="preserve"> </v>
      </c>
      <c r="H251" s="10" t="str">
        <f>IF(SUM('Base de Datos Sumaria'!J248:Q248)&lt;&gt;0,'Base de Datos Sumaria'!L248," ")</f>
        <v xml:space="preserve"> </v>
      </c>
      <c r="I251" s="10" t="str">
        <f>IF(SUM('Base de Datos Sumaria'!J248:Q248)&lt;&gt;0,'Base de Datos Sumaria'!M248," ")</f>
        <v xml:space="preserve"> </v>
      </c>
      <c r="J251" s="10" t="str">
        <f>IF(SUM('Base de Datos Sumaria'!J248:Q248)&lt;&gt;0,'Base de Datos Sumaria'!N248," ")</f>
        <v xml:space="preserve"> </v>
      </c>
      <c r="K251" s="10" t="str">
        <f>IF(SUM('Base de Datos Sumaria'!J248:Q248)&lt;&gt;0,'Base de Datos Sumaria'!O248," ")</f>
        <v xml:space="preserve"> </v>
      </c>
      <c r="L251" s="10" t="str">
        <f>IF(SUM('Base de Datos Sumaria'!J248:Q248)&lt;&gt;0,'Base de Datos Sumaria'!P248," ")</f>
        <v xml:space="preserve"> </v>
      </c>
      <c r="M251" s="10" t="str">
        <f>IF(SUM('Base de Datos Sumaria'!J248:Q248)&lt;&gt;0,'Base de Datos Sumaria'!Q248," ")</f>
        <v xml:space="preserve"> </v>
      </c>
      <c r="N251" s="10" t="str">
        <f>IF(SUM('Base de Datos Sumaria'!J248:Q248)&lt;&gt;0,SUM(F251:M251)," ")</f>
        <v xml:space="preserve"> </v>
      </c>
    </row>
    <row r="252" spans="1:14" s="12" customFormat="1" ht="12.95" customHeight="1" x14ac:dyDescent="0.2">
      <c r="A252" s="6" t="str">
        <f>IF(SUM('Base de Datos Sumaria'!J249:Q249)&lt;&gt;0,'Base de Datos Sumaria'!C249," ")</f>
        <v xml:space="preserve"> </v>
      </c>
      <c r="B252" s="6" t="str">
        <f>IF(SUM('Base de Datos Sumaria'!J249:Q249)&lt;&gt;0,'Base de Datos Sumaria'!D249," ")</f>
        <v xml:space="preserve"> </v>
      </c>
      <c r="C252" s="7" t="str">
        <f>IF(SUM('Base de Datos Sumaria'!J249:Q249)&lt;&gt;0,'Base de Datos Sumaria'!H249," ")</f>
        <v xml:space="preserve"> </v>
      </c>
      <c r="D252" s="8" t="str">
        <f>IF(SUM('Base de Datos Sumaria'!J249:Q249)&lt;&gt;0,'Base de Datos Maestro'!L249," ")</f>
        <v xml:space="preserve"> </v>
      </c>
      <c r="E252" s="9" t="str">
        <f>IF('Base de Datos Sumaria'!I249&lt;&gt;0,'Base de Datos Sumaria'!I249,"")</f>
        <v/>
      </c>
      <c r="F252" s="10" t="str">
        <f>IF(SUM('Base de Datos Sumaria'!J249:Q249)&lt;&gt;0,'Base de Datos Sumaria'!J249,"")</f>
        <v/>
      </c>
      <c r="G252" s="10" t="str">
        <f>IF(SUM('Base de Datos Sumaria'!J249:Q249)&lt;&gt;0,'Base de Datos Sumaria'!K249," ")</f>
        <v xml:space="preserve"> </v>
      </c>
      <c r="H252" s="10" t="str">
        <f>IF(SUM('Base de Datos Sumaria'!J249:Q249)&lt;&gt;0,'Base de Datos Sumaria'!L249," ")</f>
        <v xml:space="preserve"> </v>
      </c>
      <c r="I252" s="10" t="str">
        <f>IF(SUM('Base de Datos Sumaria'!J249:Q249)&lt;&gt;0,'Base de Datos Sumaria'!M249," ")</f>
        <v xml:space="preserve"> </v>
      </c>
      <c r="J252" s="10" t="str">
        <f>IF(SUM('Base de Datos Sumaria'!J249:Q249)&lt;&gt;0,'Base de Datos Sumaria'!N249," ")</f>
        <v xml:space="preserve"> </v>
      </c>
      <c r="K252" s="10" t="str">
        <f>IF(SUM('Base de Datos Sumaria'!J249:Q249)&lt;&gt;0,'Base de Datos Sumaria'!O249," ")</f>
        <v xml:space="preserve"> </v>
      </c>
      <c r="L252" s="10" t="str">
        <f>IF(SUM('Base de Datos Sumaria'!J249:Q249)&lt;&gt;0,'Base de Datos Sumaria'!P249," ")</f>
        <v xml:space="preserve"> </v>
      </c>
      <c r="M252" s="10" t="str">
        <f>IF(SUM('Base de Datos Sumaria'!J249:Q249)&lt;&gt;0,'Base de Datos Sumaria'!Q249," ")</f>
        <v xml:space="preserve"> </v>
      </c>
      <c r="N252" s="10" t="str">
        <f>IF(SUM('Base de Datos Sumaria'!J249:Q249)&lt;&gt;0,SUM(F252:M252)," ")</f>
        <v xml:space="preserve"> </v>
      </c>
    </row>
    <row r="253" spans="1:14" s="12" customFormat="1" ht="12.95" customHeight="1" x14ac:dyDescent="0.2">
      <c r="A253" s="6" t="str">
        <f>IF(SUM('Base de Datos Sumaria'!J250:Q250)&lt;&gt;0,'Base de Datos Sumaria'!C250," ")</f>
        <v xml:space="preserve"> </v>
      </c>
      <c r="B253" s="6" t="str">
        <f>IF(SUM('Base de Datos Sumaria'!J250:Q250)&lt;&gt;0,'Base de Datos Sumaria'!D250," ")</f>
        <v xml:space="preserve"> </v>
      </c>
      <c r="C253" s="7" t="str">
        <f>IF(SUM('Base de Datos Sumaria'!J250:Q250)&lt;&gt;0,'Base de Datos Sumaria'!H250," ")</f>
        <v xml:space="preserve"> </v>
      </c>
      <c r="D253" s="8" t="str">
        <f>IF(SUM('Base de Datos Sumaria'!J250:Q250)&lt;&gt;0,'Base de Datos Maestro'!L250," ")</f>
        <v xml:space="preserve"> </v>
      </c>
      <c r="E253" s="9" t="str">
        <f>IF('Base de Datos Sumaria'!I250&lt;&gt;0,'Base de Datos Sumaria'!I250,"")</f>
        <v/>
      </c>
      <c r="F253" s="10" t="str">
        <f>IF(SUM('Base de Datos Sumaria'!J250:Q250)&lt;&gt;0,'Base de Datos Sumaria'!J250,"")</f>
        <v/>
      </c>
      <c r="G253" s="10" t="str">
        <f>IF(SUM('Base de Datos Sumaria'!J250:Q250)&lt;&gt;0,'Base de Datos Sumaria'!K250," ")</f>
        <v xml:space="preserve"> </v>
      </c>
      <c r="H253" s="10" t="str">
        <f>IF(SUM('Base de Datos Sumaria'!J250:Q250)&lt;&gt;0,'Base de Datos Sumaria'!L250," ")</f>
        <v xml:space="preserve"> </v>
      </c>
      <c r="I253" s="10" t="str">
        <f>IF(SUM('Base de Datos Sumaria'!J250:Q250)&lt;&gt;0,'Base de Datos Sumaria'!M250," ")</f>
        <v xml:space="preserve"> </v>
      </c>
      <c r="J253" s="10" t="str">
        <f>IF(SUM('Base de Datos Sumaria'!J250:Q250)&lt;&gt;0,'Base de Datos Sumaria'!N250," ")</f>
        <v xml:space="preserve"> </v>
      </c>
      <c r="K253" s="10" t="str">
        <f>IF(SUM('Base de Datos Sumaria'!J250:Q250)&lt;&gt;0,'Base de Datos Sumaria'!O250," ")</f>
        <v xml:space="preserve"> </v>
      </c>
      <c r="L253" s="10" t="str">
        <f>IF(SUM('Base de Datos Sumaria'!J250:Q250)&lt;&gt;0,'Base de Datos Sumaria'!P250," ")</f>
        <v xml:space="preserve"> </v>
      </c>
      <c r="M253" s="10" t="str">
        <f>IF(SUM('Base de Datos Sumaria'!J250:Q250)&lt;&gt;0,'Base de Datos Sumaria'!Q250," ")</f>
        <v xml:space="preserve"> </v>
      </c>
      <c r="N253" s="10" t="str">
        <f>IF(SUM('Base de Datos Sumaria'!J250:Q250)&lt;&gt;0,SUM(F253:M253)," ")</f>
        <v xml:space="preserve"> </v>
      </c>
    </row>
    <row r="254" spans="1:14" s="12" customFormat="1" ht="12.95" customHeight="1" x14ac:dyDescent="0.2">
      <c r="A254" s="6" t="str">
        <f>IF(SUM('Base de Datos Sumaria'!J251:Q251)&lt;&gt;0,'Base de Datos Sumaria'!C251," ")</f>
        <v xml:space="preserve"> </v>
      </c>
      <c r="B254" s="6" t="str">
        <f>IF(SUM('Base de Datos Sumaria'!J251:Q251)&lt;&gt;0,'Base de Datos Sumaria'!D251," ")</f>
        <v xml:space="preserve"> </v>
      </c>
      <c r="C254" s="7" t="str">
        <f>IF(SUM('Base de Datos Sumaria'!J251:Q251)&lt;&gt;0,'Base de Datos Sumaria'!H251," ")</f>
        <v xml:space="preserve"> </v>
      </c>
      <c r="D254" s="8" t="str">
        <f>IF(SUM('Base de Datos Sumaria'!J251:Q251)&lt;&gt;0,'Base de Datos Maestro'!L251," ")</f>
        <v xml:space="preserve"> </v>
      </c>
      <c r="E254" s="9" t="str">
        <f>IF('Base de Datos Sumaria'!I251&lt;&gt;0,'Base de Datos Sumaria'!I251,"")</f>
        <v/>
      </c>
      <c r="F254" s="10" t="str">
        <f>IF(SUM('Base de Datos Sumaria'!J251:Q251)&lt;&gt;0,'Base de Datos Sumaria'!J251,"")</f>
        <v/>
      </c>
      <c r="G254" s="10" t="str">
        <f>IF(SUM('Base de Datos Sumaria'!J251:Q251)&lt;&gt;0,'Base de Datos Sumaria'!K251," ")</f>
        <v xml:space="preserve"> </v>
      </c>
      <c r="H254" s="10" t="str">
        <f>IF(SUM('Base de Datos Sumaria'!J251:Q251)&lt;&gt;0,'Base de Datos Sumaria'!L251," ")</f>
        <v xml:space="preserve"> </v>
      </c>
      <c r="I254" s="10" t="str">
        <f>IF(SUM('Base de Datos Sumaria'!J251:Q251)&lt;&gt;0,'Base de Datos Sumaria'!M251," ")</f>
        <v xml:space="preserve"> </v>
      </c>
      <c r="J254" s="10" t="str">
        <f>IF(SUM('Base de Datos Sumaria'!J251:Q251)&lt;&gt;0,'Base de Datos Sumaria'!N251," ")</f>
        <v xml:space="preserve"> </v>
      </c>
      <c r="K254" s="10" t="str">
        <f>IF(SUM('Base de Datos Sumaria'!J251:Q251)&lt;&gt;0,'Base de Datos Sumaria'!O251," ")</f>
        <v xml:space="preserve"> </v>
      </c>
      <c r="L254" s="10" t="str">
        <f>IF(SUM('Base de Datos Sumaria'!J251:Q251)&lt;&gt;0,'Base de Datos Sumaria'!P251," ")</f>
        <v xml:space="preserve"> </v>
      </c>
      <c r="M254" s="10" t="str">
        <f>IF(SUM('Base de Datos Sumaria'!J251:Q251)&lt;&gt;0,'Base de Datos Sumaria'!Q251," ")</f>
        <v xml:space="preserve"> </v>
      </c>
      <c r="N254" s="10" t="str">
        <f>IF(SUM('Base de Datos Sumaria'!J251:Q251)&lt;&gt;0,SUM(F254:M254)," ")</f>
        <v xml:space="preserve"> </v>
      </c>
    </row>
    <row r="255" spans="1:14" s="12" customFormat="1" ht="12.95" customHeight="1" x14ac:dyDescent="0.2">
      <c r="A255" s="6" t="str">
        <f>IF(SUM('Base de Datos Sumaria'!J252:Q252)&lt;&gt;0,'Base de Datos Sumaria'!C252," ")</f>
        <v xml:space="preserve"> </v>
      </c>
      <c r="B255" s="6" t="str">
        <f>IF(SUM('Base de Datos Sumaria'!J252:Q252)&lt;&gt;0,'Base de Datos Sumaria'!D252," ")</f>
        <v xml:space="preserve"> </v>
      </c>
      <c r="C255" s="7" t="str">
        <f>IF(SUM('Base de Datos Sumaria'!J252:Q252)&lt;&gt;0,'Base de Datos Sumaria'!H252," ")</f>
        <v xml:space="preserve"> </v>
      </c>
      <c r="D255" s="8" t="str">
        <f>IF(SUM('Base de Datos Sumaria'!J252:Q252)&lt;&gt;0,'Base de Datos Maestro'!L252," ")</f>
        <v xml:space="preserve"> </v>
      </c>
      <c r="E255" s="9" t="str">
        <f>IF('Base de Datos Sumaria'!I252&lt;&gt;0,'Base de Datos Sumaria'!I252,"")</f>
        <v/>
      </c>
      <c r="F255" s="10" t="str">
        <f>IF(SUM('Base de Datos Sumaria'!J252:Q252)&lt;&gt;0,'Base de Datos Sumaria'!J252,"")</f>
        <v/>
      </c>
      <c r="G255" s="10" t="str">
        <f>IF(SUM('Base de Datos Sumaria'!J252:Q252)&lt;&gt;0,'Base de Datos Sumaria'!K252," ")</f>
        <v xml:space="preserve"> </v>
      </c>
      <c r="H255" s="10" t="str">
        <f>IF(SUM('Base de Datos Sumaria'!J252:Q252)&lt;&gt;0,'Base de Datos Sumaria'!L252," ")</f>
        <v xml:space="preserve"> </v>
      </c>
      <c r="I255" s="10" t="str">
        <f>IF(SUM('Base de Datos Sumaria'!J252:Q252)&lt;&gt;0,'Base de Datos Sumaria'!M252," ")</f>
        <v xml:space="preserve"> </v>
      </c>
      <c r="J255" s="10" t="str">
        <f>IF(SUM('Base de Datos Sumaria'!J252:Q252)&lt;&gt;0,'Base de Datos Sumaria'!N252," ")</f>
        <v xml:space="preserve"> </v>
      </c>
      <c r="K255" s="10" t="str">
        <f>IF(SUM('Base de Datos Sumaria'!J252:Q252)&lt;&gt;0,'Base de Datos Sumaria'!O252," ")</f>
        <v xml:space="preserve"> </v>
      </c>
      <c r="L255" s="10" t="str">
        <f>IF(SUM('Base de Datos Sumaria'!J252:Q252)&lt;&gt;0,'Base de Datos Sumaria'!P252," ")</f>
        <v xml:space="preserve"> </v>
      </c>
      <c r="M255" s="10" t="str">
        <f>IF(SUM('Base de Datos Sumaria'!J252:Q252)&lt;&gt;0,'Base de Datos Sumaria'!Q252," ")</f>
        <v xml:space="preserve"> </v>
      </c>
      <c r="N255" s="10" t="str">
        <f>IF(SUM('Base de Datos Sumaria'!J252:Q252)&lt;&gt;0,SUM(F255:M255)," ")</f>
        <v xml:space="preserve"> </v>
      </c>
    </row>
    <row r="256" spans="1:14" s="12" customFormat="1" ht="12.95" customHeight="1" x14ac:dyDescent="0.2">
      <c r="A256" s="6" t="str">
        <f>IF(SUM('Base de Datos Sumaria'!J253:Q253)&lt;&gt;0,'Base de Datos Sumaria'!C253," ")</f>
        <v xml:space="preserve"> </v>
      </c>
      <c r="B256" s="6" t="str">
        <f>IF(SUM('Base de Datos Sumaria'!J253:Q253)&lt;&gt;0,'Base de Datos Sumaria'!D253," ")</f>
        <v xml:space="preserve"> </v>
      </c>
      <c r="C256" s="7" t="str">
        <f>IF(SUM('Base de Datos Sumaria'!J253:Q253)&lt;&gt;0,'Base de Datos Sumaria'!H253," ")</f>
        <v xml:space="preserve"> </v>
      </c>
      <c r="D256" s="8" t="str">
        <f>IF(SUM('Base de Datos Sumaria'!J253:Q253)&lt;&gt;0,'Base de Datos Maestro'!L253," ")</f>
        <v xml:space="preserve"> </v>
      </c>
      <c r="E256" s="9" t="str">
        <f>IF('Base de Datos Sumaria'!I253&lt;&gt;0,'Base de Datos Sumaria'!I253,"")</f>
        <v/>
      </c>
      <c r="F256" s="10" t="str">
        <f>IF(SUM('Base de Datos Sumaria'!J253:Q253)&lt;&gt;0,'Base de Datos Sumaria'!J253,"")</f>
        <v/>
      </c>
      <c r="G256" s="10" t="str">
        <f>IF(SUM('Base de Datos Sumaria'!J253:Q253)&lt;&gt;0,'Base de Datos Sumaria'!K253," ")</f>
        <v xml:space="preserve"> </v>
      </c>
      <c r="H256" s="10" t="str">
        <f>IF(SUM('Base de Datos Sumaria'!J253:Q253)&lt;&gt;0,'Base de Datos Sumaria'!L253," ")</f>
        <v xml:space="preserve"> </v>
      </c>
      <c r="I256" s="10" t="str">
        <f>IF(SUM('Base de Datos Sumaria'!J253:Q253)&lt;&gt;0,'Base de Datos Sumaria'!M253," ")</f>
        <v xml:space="preserve"> </v>
      </c>
      <c r="J256" s="10" t="str">
        <f>IF(SUM('Base de Datos Sumaria'!J253:Q253)&lt;&gt;0,'Base de Datos Sumaria'!N253," ")</f>
        <v xml:space="preserve"> </v>
      </c>
      <c r="K256" s="10" t="str">
        <f>IF(SUM('Base de Datos Sumaria'!J253:Q253)&lt;&gt;0,'Base de Datos Sumaria'!O253," ")</f>
        <v xml:space="preserve"> </v>
      </c>
      <c r="L256" s="10" t="str">
        <f>IF(SUM('Base de Datos Sumaria'!J253:Q253)&lt;&gt;0,'Base de Datos Sumaria'!P253," ")</f>
        <v xml:space="preserve"> </v>
      </c>
      <c r="M256" s="10" t="str">
        <f>IF(SUM('Base de Datos Sumaria'!J253:Q253)&lt;&gt;0,'Base de Datos Sumaria'!Q253," ")</f>
        <v xml:space="preserve"> </v>
      </c>
      <c r="N256" s="10" t="str">
        <f>IF(SUM('Base de Datos Sumaria'!J253:Q253)&lt;&gt;0,SUM(F256:M256)," ")</f>
        <v xml:space="preserve"> </v>
      </c>
    </row>
    <row r="257" spans="1:14" s="12" customFormat="1" ht="12.95" customHeight="1" x14ac:dyDescent="0.2">
      <c r="A257" s="6" t="str">
        <f>IF(SUM('Base de Datos Sumaria'!J254:Q254)&lt;&gt;0,'Base de Datos Sumaria'!C254," ")</f>
        <v xml:space="preserve"> </v>
      </c>
      <c r="B257" s="6" t="str">
        <f>IF(SUM('Base de Datos Sumaria'!J254:Q254)&lt;&gt;0,'Base de Datos Sumaria'!D254," ")</f>
        <v xml:space="preserve"> </v>
      </c>
      <c r="C257" s="7" t="str">
        <f>IF(SUM('Base de Datos Sumaria'!J254:Q254)&lt;&gt;0,'Base de Datos Sumaria'!H254," ")</f>
        <v xml:space="preserve"> </v>
      </c>
      <c r="D257" s="8" t="str">
        <f>IF(SUM('Base de Datos Sumaria'!J254:Q254)&lt;&gt;0,'Base de Datos Maestro'!L254," ")</f>
        <v xml:space="preserve"> </v>
      </c>
      <c r="E257" s="9" t="str">
        <f>IF('Base de Datos Sumaria'!I254&lt;&gt;0,'Base de Datos Sumaria'!I254,"")</f>
        <v/>
      </c>
      <c r="F257" s="10" t="str">
        <f>IF(SUM('Base de Datos Sumaria'!J254:Q254)&lt;&gt;0,'Base de Datos Sumaria'!J254,"")</f>
        <v/>
      </c>
      <c r="G257" s="10" t="str">
        <f>IF(SUM('Base de Datos Sumaria'!J254:Q254)&lt;&gt;0,'Base de Datos Sumaria'!K254," ")</f>
        <v xml:space="preserve"> </v>
      </c>
      <c r="H257" s="10" t="str">
        <f>IF(SUM('Base de Datos Sumaria'!J254:Q254)&lt;&gt;0,'Base de Datos Sumaria'!L254," ")</f>
        <v xml:space="preserve"> </v>
      </c>
      <c r="I257" s="10" t="str">
        <f>IF(SUM('Base de Datos Sumaria'!J254:Q254)&lt;&gt;0,'Base de Datos Sumaria'!M254," ")</f>
        <v xml:space="preserve"> </v>
      </c>
      <c r="J257" s="10" t="str">
        <f>IF(SUM('Base de Datos Sumaria'!J254:Q254)&lt;&gt;0,'Base de Datos Sumaria'!N254," ")</f>
        <v xml:space="preserve"> </v>
      </c>
      <c r="K257" s="10" t="str">
        <f>IF(SUM('Base de Datos Sumaria'!J254:Q254)&lt;&gt;0,'Base de Datos Sumaria'!O254," ")</f>
        <v xml:space="preserve"> </v>
      </c>
      <c r="L257" s="10" t="str">
        <f>IF(SUM('Base de Datos Sumaria'!J254:Q254)&lt;&gt;0,'Base de Datos Sumaria'!P254," ")</f>
        <v xml:space="preserve"> </v>
      </c>
      <c r="M257" s="10" t="str">
        <f>IF(SUM('Base de Datos Sumaria'!J254:Q254)&lt;&gt;0,'Base de Datos Sumaria'!Q254," ")</f>
        <v xml:space="preserve"> </v>
      </c>
      <c r="N257" s="10" t="str">
        <f>IF(SUM('Base de Datos Sumaria'!J254:Q254)&lt;&gt;0,SUM(F257:M257)," ")</f>
        <v xml:space="preserve"> </v>
      </c>
    </row>
    <row r="258" spans="1:14" s="12" customFormat="1" ht="12.95" customHeight="1" x14ac:dyDescent="0.2">
      <c r="A258" s="6" t="str">
        <f>IF(SUM('Base de Datos Sumaria'!J255:Q255)&lt;&gt;0,'Base de Datos Sumaria'!C255," ")</f>
        <v xml:space="preserve"> </v>
      </c>
      <c r="B258" s="6" t="str">
        <f>IF(SUM('Base de Datos Sumaria'!J255:Q255)&lt;&gt;0,'Base de Datos Sumaria'!D255," ")</f>
        <v xml:space="preserve"> </v>
      </c>
      <c r="C258" s="7" t="str">
        <f>IF(SUM('Base de Datos Sumaria'!J255:Q255)&lt;&gt;0,'Base de Datos Sumaria'!H255," ")</f>
        <v xml:space="preserve"> </v>
      </c>
      <c r="D258" s="8" t="str">
        <f>IF(SUM('Base de Datos Sumaria'!J255:Q255)&lt;&gt;0,'Base de Datos Maestro'!L255," ")</f>
        <v xml:space="preserve"> </v>
      </c>
      <c r="E258" s="9" t="str">
        <f>IF('Base de Datos Sumaria'!I255&lt;&gt;0,'Base de Datos Sumaria'!I255,"")</f>
        <v/>
      </c>
      <c r="F258" s="10" t="str">
        <f>IF(SUM('Base de Datos Sumaria'!J255:Q255)&lt;&gt;0,'Base de Datos Sumaria'!J255,"")</f>
        <v/>
      </c>
      <c r="G258" s="10" t="str">
        <f>IF(SUM('Base de Datos Sumaria'!J255:Q255)&lt;&gt;0,'Base de Datos Sumaria'!K255," ")</f>
        <v xml:space="preserve"> </v>
      </c>
      <c r="H258" s="10" t="str">
        <f>IF(SUM('Base de Datos Sumaria'!J255:Q255)&lt;&gt;0,'Base de Datos Sumaria'!L255," ")</f>
        <v xml:space="preserve"> </v>
      </c>
      <c r="I258" s="10" t="str">
        <f>IF(SUM('Base de Datos Sumaria'!J255:Q255)&lt;&gt;0,'Base de Datos Sumaria'!M255," ")</f>
        <v xml:space="preserve"> </v>
      </c>
      <c r="J258" s="10" t="str">
        <f>IF(SUM('Base de Datos Sumaria'!J255:Q255)&lt;&gt;0,'Base de Datos Sumaria'!N255," ")</f>
        <v xml:space="preserve"> </v>
      </c>
      <c r="K258" s="10" t="str">
        <f>IF(SUM('Base de Datos Sumaria'!J255:Q255)&lt;&gt;0,'Base de Datos Sumaria'!O255," ")</f>
        <v xml:space="preserve"> </v>
      </c>
      <c r="L258" s="10" t="str">
        <f>IF(SUM('Base de Datos Sumaria'!J255:Q255)&lt;&gt;0,'Base de Datos Sumaria'!P255," ")</f>
        <v xml:space="preserve"> </v>
      </c>
      <c r="M258" s="10" t="str">
        <f>IF(SUM('Base de Datos Sumaria'!J255:Q255)&lt;&gt;0,'Base de Datos Sumaria'!Q255," ")</f>
        <v xml:space="preserve"> </v>
      </c>
      <c r="N258" s="10" t="str">
        <f>IF(SUM('Base de Datos Sumaria'!J255:Q255)&lt;&gt;0,SUM(F258:M258)," ")</f>
        <v xml:space="preserve"> </v>
      </c>
    </row>
    <row r="259" spans="1:14" s="12" customFormat="1" ht="12.95" customHeight="1" x14ac:dyDescent="0.2">
      <c r="A259" s="6" t="str">
        <f>IF(SUM('Base de Datos Sumaria'!J256:Q256)&lt;&gt;0,'Base de Datos Sumaria'!C256," ")</f>
        <v xml:space="preserve"> </v>
      </c>
      <c r="B259" s="6" t="str">
        <f>IF(SUM('Base de Datos Sumaria'!J256:Q256)&lt;&gt;0,'Base de Datos Sumaria'!D256," ")</f>
        <v xml:space="preserve"> </v>
      </c>
      <c r="C259" s="7" t="str">
        <f>IF(SUM('Base de Datos Sumaria'!J256:Q256)&lt;&gt;0,'Base de Datos Sumaria'!H256," ")</f>
        <v xml:space="preserve"> </v>
      </c>
      <c r="D259" s="8" t="str">
        <f>IF(SUM('Base de Datos Sumaria'!J256:Q256)&lt;&gt;0,'Base de Datos Maestro'!L256," ")</f>
        <v xml:space="preserve"> </v>
      </c>
      <c r="E259" s="9" t="str">
        <f>IF('Base de Datos Sumaria'!I256&lt;&gt;0,'Base de Datos Sumaria'!I256,"")</f>
        <v/>
      </c>
      <c r="F259" s="10" t="str">
        <f>IF(SUM('Base de Datos Sumaria'!J256:Q256)&lt;&gt;0,'Base de Datos Sumaria'!J256,"")</f>
        <v/>
      </c>
      <c r="G259" s="10" t="str">
        <f>IF(SUM('Base de Datos Sumaria'!J256:Q256)&lt;&gt;0,'Base de Datos Sumaria'!K256," ")</f>
        <v xml:space="preserve"> </v>
      </c>
      <c r="H259" s="10" t="str">
        <f>IF(SUM('Base de Datos Sumaria'!J256:Q256)&lt;&gt;0,'Base de Datos Sumaria'!L256," ")</f>
        <v xml:space="preserve"> </v>
      </c>
      <c r="I259" s="10" t="str">
        <f>IF(SUM('Base de Datos Sumaria'!J256:Q256)&lt;&gt;0,'Base de Datos Sumaria'!M256," ")</f>
        <v xml:space="preserve"> </v>
      </c>
      <c r="J259" s="10" t="str">
        <f>IF(SUM('Base de Datos Sumaria'!J256:Q256)&lt;&gt;0,'Base de Datos Sumaria'!N256," ")</f>
        <v xml:space="preserve"> </v>
      </c>
      <c r="K259" s="10" t="str">
        <f>IF(SUM('Base de Datos Sumaria'!J256:Q256)&lt;&gt;0,'Base de Datos Sumaria'!O256," ")</f>
        <v xml:space="preserve"> </v>
      </c>
      <c r="L259" s="10" t="str">
        <f>IF(SUM('Base de Datos Sumaria'!J256:Q256)&lt;&gt;0,'Base de Datos Sumaria'!P256," ")</f>
        <v xml:space="preserve"> </v>
      </c>
      <c r="M259" s="10" t="str">
        <f>IF(SUM('Base de Datos Sumaria'!J256:Q256)&lt;&gt;0,'Base de Datos Sumaria'!Q256," ")</f>
        <v xml:space="preserve"> </v>
      </c>
      <c r="N259" s="10" t="str">
        <f>IF(SUM('Base de Datos Sumaria'!J256:Q256)&lt;&gt;0,SUM(F259:M259)," ")</f>
        <v xml:space="preserve"> </v>
      </c>
    </row>
    <row r="260" spans="1:14" s="12" customFormat="1" ht="12.95" customHeight="1" x14ac:dyDescent="0.2">
      <c r="A260" s="6" t="str">
        <f>IF(SUM('Base de Datos Sumaria'!J257:Q257)&lt;&gt;0,'Base de Datos Sumaria'!C257," ")</f>
        <v xml:space="preserve"> </v>
      </c>
      <c r="B260" s="6" t="str">
        <f>IF(SUM('Base de Datos Sumaria'!J257:Q257)&lt;&gt;0,'Base de Datos Sumaria'!D257," ")</f>
        <v xml:space="preserve"> </v>
      </c>
      <c r="C260" s="7" t="str">
        <f>IF(SUM('Base de Datos Sumaria'!J257:Q257)&lt;&gt;0,'Base de Datos Sumaria'!H257," ")</f>
        <v xml:space="preserve"> </v>
      </c>
      <c r="D260" s="8" t="str">
        <f>IF(SUM('Base de Datos Sumaria'!J257:Q257)&lt;&gt;0,'Base de Datos Maestro'!L257," ")</f>
        <v xml:space="preserve"> </v>
      </c>
      <c r="E260" s="9" t="str">
        <f>IF('Base de Datos Sumaria'!I257&lt;&gt;0,'Base de Datos Sumaria'!I257,"")</f>
        <v/>
      </c>
      <c r="F260" s="10" t="str">
        <f>IF(SUM('Base de Datos Sumaria'!J257:Q257)&lt;&gt;0,'Base de Datos Sumaria'!J257,"")</f>
        <v/>
      </c>
      <c r="G260" s="10" t="str">
        <f>IF(SUM('Base de Datos Sumaria'!J257:Q257)&lt;&gt;0,'Base de Datos Sumaria'!K257," ")</f>
        <v xml:space="preserve"> </v>
      </c>
      <c r="H260" s="10" t="str">
        <f>IF(SUM('Base de Datos Sumaria'!J257:Q257)&lt;&gt;0,'Base de Datos Sumaria'!L257," ")</f>
        <v xml:space="preserve"> </v>
      </c>
      <c r="I260" s="10" t="str">
        <f>IF(SUM('Base de Datos Sumaria'!J257:Q257)&lt;&gt;0,'Base de Datos Sumaria'!M257," ")</f>
        <v xml:space="preserve"> </v>
      </c>
      <c r="J260" s="10" t="str">
        <f>IF(SUM('Base de Datos Sumaria'!J257:Q257)&lt;&gt;0,'Base de Datos Sumaria'!N257," ")</f>
        <v xml:space="preserve"> </v>
      </c>
      <c r="K260" s="10" t="str">
        <f>IF(SUM('Base de Datos Sumaria'!J257:Q257)&lt;&gt;0,'Base de Datos Sumaria'!O257," ")</f>
        <v xml:space="preserve"> </v>
      </c>
      <c r="L260" s="10" t="str">
        <f>IF(SUM('Base de Datos Sumaria'!J257:Q257)&lt;&gt;0,'Base de Datos Sumaria'!P257," ")</f>
        <v xml:space="preserve"> </v>
      </c>
      <c r="M260" s="10" t="str">
        <f>IF(SUM('Base de Datos Sumaria'!J257:Q257)&lt;&gt;0,'Base de Datos Sumaria'!Q257," ")</f>
        <v xml:space="preserve"> </v>
      </c>
      <c r="N260" s="10" t="str">
        <f>IF(SUM('Base de Datos Sumaria'!J257:Q257)&lt;&gt;0,SUM(F260:M260)," ")</f>
        <v xml:space="preserve"> </v>
      </c>
    </row>
    <row r="261" spans="1:14" s="12" customFormat="1" ht="12.95" customHeight="1" x14ac:dyDescent="0.2">
      <c r="A261" s="6" t="str">
        <f>IF(SUM('Base de Datos Sumaria'!J258:Q258)&lt;&gt;0,'Base de Datos Sumaria'!C258," ")</f>
        <v xml:space="preserve"> </v>
      </c>
      <c r="B261" s="6" t="str">
        <f>IF(SUM('Base de Datos Sumaria'!J258:Q258)&lt;&gt;0,'Base de Datos Sumaria'!D258," ")</f>
        <v xml:space="preserve"> </v>
      </c>
      <c r="C261" s="7" t="str">
        <f>IF(SUM('Base de Datos Sumaria'!J258:Q258)&lt;&gt;0,'Base de Datos Sumaria'!H258," ")</f>
        <v xml:space="preserve"> </v>
      </c>
      <c r="D261" s="8" t="str">
        <f>IF(SUM('Base de Datos Sumaria'!J258:Q258)&lt;&gt;0,'Base de Datos Maestro'!L258," ")</f>
        <v xml:space="preserve"> </v>
      </c>
      <c r="E261" s="9" t="str">
        <f>IF('Base de Datos Sumaria'!I258&lt;&gt;0,'Base de Datos Sumaria'!I258,"")</f>
        <v/>
      </c>
      <c r="F261" s="10" t="str">
        <f>IF(SUM('Base de Datos Sumaria'!J258:Q258)&lt;&gt;0,'Base de Datos Sumaria'!J258,"")</f>
        <v/>
      </c>
      <c r="G261" s="10" t="str">
        <f>IF(SUM('Base de Datos Sumaria'!J258:Q258)&lt;&gt;0,'Base de Datos Sumaria'!K258," ")</f>
        <v xml:space="preserve"> </v>
      </c>
      <c r="H261" s="10" t="str">
        <f>IF(SUM('Base de Datos Sumaria'!J258:Q258)&lt;&gt;0,'Base de Datos Sumaria'!L258," ")</f>
        <v xml:space="preserve"> </v>
      </c>
      <c r="I261" s="10" t="str">
        <f>IF(SUM('Base de Datos Sumaria'!J258:Q258)&lt;&gt;0,'Base de Datos Sumaria'!M258," ")</f>
        <v xml:space="preserve"> </v>
      </c>
      <c r="J261" s="10" t="str">
        <f>IF(SUM('Base de Datos Sumaria'!J258:Q258)&lt;&gt;0,'Base de Datos Sumaria'!N258," ")</f>
        <v xml:space="preserve"> </v>
      </c>
      <c r="K261" s="10" t="str">
        <f>IF(SUM('Base de Datos Sumaria'!J258:Q258)&lt;&gt;0,'Base de Datos Sumaria'!O258," ")</f>
        <v xml:space="preserve"> </v>
      </c>
      <c r="L261" s="10" t="str">
        <f>IF(SUM('Base de Datos Sumaria'!J258:Q258)&lt;&gt;0,'Base de Datos Sumaria'!P258," ")</f>
        <v xml:space="preserve"> </v>
      </c>
      <c r="M261" s="10" t="str">
        <f>IF(SUM('Base de Datos Sumaria'!J258:Q258)&lt;&gt;0,'Base de Datos Sumaria'!Q258," ")</f>
        <v xml:space="preserve"> </v>
      </c>
      <c r="N261" s="10" t="str">
        <f>IF(SUM('Base de Datos Sumaria'!J258:Q258)&lt;&gt;0,SUM(F261:M261)," ")</f>
        <v xml:space="preserve"> </v>
      </c>
    </row>
    <row r="262" spans="1:14" s="12" customFormat="1" ht="12.95" customHeight="1" x14ac:dyDescent="0.2">
      <c r="A262" s="6" t="str">
        <f>IF(SUM('Base de Datos Sumaria'!J259:Q259)&lt;&gt;0,'Base de Datos Sumaria'!C259," ")</f>
        <v xml:space="preserve"> </v>
      </c>
      <c r="B262" s="6" t="str">
        <f>IF(SUM('Base de Datos Sumaria'!J259:Q259)&lt;&gt;0,'Base de Datos Sumaria'!D259," ")</f>
        <v xml:space="preserve"> </v>
      </c>
      <c r="C262" s="7" t="str">
        <f>IF(SUM('Base de Datos Sumaria'!J259:Q259)&lt;&gt;0,'Base de Datos Sumaria'!H259," ")</f>
        <v xml:space="preserve"> </v>
      </c>
      <c r="D262" s="8" t="str">
        <f>IF(SUM('Base de Datos Sumaria'!J259:Q259)&lt;&gt;0,'Base de Datos Maestro'!L259," ")</f>
        <v xml:space="preserve"> </v>
      </c>
      <c r="E262" s="9" t="str">
        <f>IF('Base de Datos Sumaria'!I259&lt;&gt;0,'Base de Datos Sumaria'!I259,"")</f>
        <v/>
      </c>
      <c r="F262" s="10" t="str">
        <f>IF(SUM('Base de Datos Sumaria'!J259:Q259)&lt;&gt;0,'Base de Datos Sumaria'!J259,"")</f>
        <v/>
      </c>
      <c r="G262" s="10" t="str">
        <f>IF(SUM('Base de Datos Sumaria'!J259:Q259)&lt;&gt;0,'Base de Datos Sumaria'!K259," ")</f>
        <v xml:space="preserve"> </v>
      </c>
      <c r="H262" s="10" t="str">
        <f>IF(SUM('Base de Datos Sumaria'!J259:Q259)&lt;&gt;0,'Base de Datos Sumaria'!L259," ")</f>
        <v xml:space="preserve"> </v>
      </c>
      <c r="I262" s="10" t="str">
        <f>IF(SUM('Base de Datos Sumaria'!J259:Q259)&lt;&gt;0,'Base de Datos Sumaria'!M259," ")</f>
        <v xml:space="preserve"> </v>
      </c>
      <c r="J262" s="10" t="str">
        <f>IF(SUM('Base de Datos Sumaria'!J259:Q259)&lt;&gt;0,'Base de Datos Sumaria'!N259," ")</f>
        <v xml:space="preserve"> </v>
      </c>
      <c r="K262" s="10" t="str">
        <f>IF(SUM('Base de Datos Sumaria'!J259:Q259)&lt;&gt;0,'Base de Datos Sumaria'!O259," ")</f>
        <v xml:space="preserve"> </v>
      </c>
      <c r="L262" s="10" t="str">
        <f>IF(SUM('Base de Datos Sumaria'!J259:Q259)&lt;&gt;0,'Base de Datos Sumaria'!P259," ")</f>
        <v xml:space="preserve"> </v>
      </c>
      <c r="M262" s="10" t="str">
        <f>IF(SUM('Base de Datos Sumaria'!J259:Q259)&lt;&gt;0,'Base de Datos Sumaria'!Q259," ")</f>
        <v xml:space="preserve"> </v>
      </c>
      <c r="N262" s="10" t="str">
        <f>IF(SUM('Base de Datos Sumaria'!J259:Q259)&lt;&gt;0,SUM(F262:M262)," ")</f>
        <v xml:space="preserve"> </v>
      </c>
    </row>
    <row r="263" spans="1:14" s="12" customFormat="1" ht="12.95" customHeight="1" x14ac:dyDescent="0.2">
      <c r="A263" s="6" t="str">
        <f>IF(SUM('Base de Datos Sumaria'!J260:Q260)&lt;&gt;0,'Base de Datos Sumaria'!C260," ")</f>
        <v xml:space="preserve"> </v>
      </c>
      <c r="B263" s="6" t="str">
        <f>IF(SUM('Base de Datos Sumaria'!J260:Q260)&lt;&gt;0,'Base de Datos Sumaria'!D260," ")</f>
        <v xml:space="preserve"> </v>
      </c>
      <c r="C263" s="7" t="str">
        <f>IF(SUM('Base de Datos Sumaria'!J260:Q260)&lt;&gt;0,'Base de Datos Sumaria'!H260," ")</f>
        <v xml:space="preserve"> </v>
      </c>
      <c r="D263" s="8" t="str">
        <f>IF(SUM('Base de Datos Sumaria'!J260:Q260)&lt;&gt;0,'Base de Datos Maestro'!L260," ")</f>
        <v xml:space="preserve"> </v>
      </c>
      <c r="E263" s="9" t="str">
        <f>IF('Base de Datos Sumaria'!I260&lt;&gt;0,'Base de Datos Sumaria'!I260,"")</f>
        <v/>
      </c>
      <c r="F263" s="10" t="str">
        <f>IF(SUM('Base de Datos Sumaria'!J260:Q260)&lt;&gt;0,'Base de Datos Sumaria'!J260,"")</f>
        <v/>
      </c>
      <c r="G263" s="10" t="str">
        <f>IF(SUM('Base de Datos Sumaria'!J260:Q260)&lt;&gt;0,'Base de Datos Sumaria'!K260," ")</f>
        <v xml:space="preserve"> </v>
      </c>
      <c r="H263" s="10" t="str">
        <f>IF(SUM('Base de Datos Sumaria'!J260:Q260)&lt;&gt;0,'Base de Datos Sumaria'!L260," ")</f>
        <v xml:space="preserve"> </v>
      </c>
      <c r="I263" s="10" t="str">
        <f>IF(SUM('Base de Datos Sumaria'!J260:Q260)&lt;&gt;0,'Base de Datos Sumaria'!M260," ")</f>
        <v xml:space="preserve"> </v>
      </c>
      <c r="J263" s="10" t="str">
        <f>IF(SUM('Base de Datos Sumaria'!J260:Q260)&lt;&gt;0,'Base de Datos Sumaria'!N260," ")</f>
        <v xml:space="preserve"> </v>
      </c>
      <c r="K263" s="10" t="str">
        <f>IF(SUM('Base de Datos Sumaria'!J260:Q260)&lt;&gt;0,'Base de Datos Sumaria'!O260," ")</f>
        <v xml:space="preserve"> </v>
      </c>
      <c r="L263" s="10" t="str">
        <f>IF(SUM('Base de Datos Sumaria'!J260:Q260)&lt;&gt;0,'Base de Datos Sumaria'!P260," ")</f>
        <v xml:space="preserve"> </v>
      </c>
      <c r="M263" s="10" t="str">
        <f>IF(SUM('Base de Datos Sumaria'!J260:Q260)&lt;&gt;0,'Base de Datos Sumaria'!Q260," ")</f>
        <v xml:space="preserve"> </v>
      </c>
      <c r="N263" s="10" t="str">
        <f>IF(SUM('Base de Datos Sumaria'!J260:Q260)&lt;&gt;0,SUM(F263:M263)," ")</f>
        <v xml:space="preserve"> </v>
      </c>
    </row>
    <row r="264" spans="1:14" s="12" customFormat="1" ht="12.95" customHeight="1" x14ac:dyDescent="0.2">
      <c r="A264" s="6" t="str">
        <f>IF(SUM('Base de Datos Sumaria'!J261:Q261)&lt;&gt;0,'Base de Datos Sumaria'!C261," ")</f>
        <v xml:space="preserve"> </v>
      </c>
      <c r="B264" s="6" t="str">
        <f>IF(SUM('Base de Datos Sumaria'!J261:Q261)&lt;&gt;0,'Base de Datos Sumaria'!D261," ")</f>
        <v xml:space="preserve"> </v>
      </c>
      <c r="C264" s="7" t="str">
        <f>IF(SUM('Base de Datos Sumaria'!J261:Q261)&lt;&gt;0,'Base de Datos Sumaria'!H261," ")</f>
        <v xml:space="preserve"> </v>
      </c>
      <c r="D264" s="8" t="str">
        <f>IF(SUM('Base de Datos Sumaria'!J261:Q261)&lt;&gt;0,'Base de Datos Maestro'!L261," ")</f>
        <v xml:space="preserve"> </v>
      </c>
      <c r="E264" s="9" t="str">
        <f>IF('Base de Datos Sumaria'!I261&lt;&gt;0,'Base de Datos Sumaria'!I261,"")</f>
        <v/>
      </c>
      <c r="F264" s="10" t="str">
        <f>IF(SUM('Base de Datos Sumaria'!J261:Q261)&lt;&gt;0,'Base de Datos Sumaria'!J261,"")</f>
        <v/>
      </c>
      <c r="G264" s="10" t="str">
        <f>IF(SUM('Base de Datos Sumaria'!J261:Q261)&lt;&gt;0,'Base de Datos Sumaria'!K261," ")</f>
        <v xml:space="preserve"> </v>
      </c>
      <c r="H264" s="10" t="str">
        <f>IF(SUM('Base de Datos Sumaria'!J261:Q261)&lt;&gt;0,'Base de Datos Sumaria'!L261," ")</f>
        <v xml:space="preserve"> </v>
      </c>
      <c r="I264" s="10" t="str">
        <f>IF(SUM('Base de Datos Sumaria'!J261:Q261)&lt;&gt;0,'Base de Datos Sumaria'!M261," ")</f>
        <v xml:space="preserve"> </v>
      </c>
      <c r="J264" s="10" t="str">
        <f>IF(SUM('Base de Datos Sumaria'!J261:Q261)&lt;&gt;0,'Base de Datos Sumaria'!N261," ")</f>
        <v xml:space="preserve"> </v>
      </c>
      <c r="K264" s="10" t="str">
        <f>IF(SUM('Base de Datos Sumaria'!J261:Q261)&lt;&gt;0,'Base de Datos Sumaria'!O261," ")</f>
        <v xml:space="preserve"> </v>
      </c>
      <c r="L264" s="10" t="str">
        <f>IF(SUM('Base de Datos Sumaria'!J261:Q261)&lt;&gt;0,'Base de Datos Sumaria'!P261," ")</f>
        <v xml:space="preserve"> </v>
      </c>
      <c r="M264" s="10" t="str">
        <f>IF(SUM('Base de Datos Sumaria'!J261:Q261)&lt;&gt;0,'Base de Datos Sumaria'!Q261," ")</f>
        <v xml:space="preserve"> </v>
      </c>
      <c r="N264" s="10" t="str">
        <f>IF(SUM('Base de Datos Sumaria'!J261:Q261)&lt;&gt;0,SUM(F264:M264)," ")</f>
        <v xml:space="preserve"> </v>
      </c>
    </row>
    <row r="265" spans="1:14" s="12" customFormat="1" ht="12.95" customHeight="1" x14ac:dyDescent="0.2">
      <c r="A265" s="6" t="str">
        <f>IF(SUM('Base de Datos Sumaria'!J262:Q262)&lt;&gt;0,'Base de Datos Sumaria'!C262," ")</f>
        <v xml:space="preserve"> </v>
      </c>
      <c r="B265" s="6" t="str">
        <f>IF(SUM('Base de Datos Sumaria'!J262:Q262)&lt;&gt;0,'Base de Datos Sumaria'!D262," ")</f>
        <v xml:space="preserve"> </v>
      </c>
      <c r="C265" s="7" t="str">
        <f>IF(SUM('Base de Datos Sumaria'!J262:Q262)&lt;&gt;0,'Base de Datos Sumaria'!H262," ")</f>
        <v xml:space="preserve"> </v>
      </c>
      <c r="D265" s="8" t="str">
        <f>IF(SUM('Base de Datos Sumaria'!J262:Q262)&lt;&gt;0,'Base de Datos Maestro'!L262," ")</f>
        <v xml:space="preserve"> </v>
      </c>
      <c r="E265" s="9" t="str">
        <f>IF('Base de Datos Sumaria'!I262&lt;&gt;0,'Base de Datos Sumaria'!I262,"")</f>
        <v/>
      </c>
      <c r="F265" s="10" t="str">
        <f>IF(SUM('Base de Datos Sumaria'!J262:Q262)&lt;&gt;0,'Base de Datos Sumaria'!J262,"")</f>
        <v/>
      </c>
      <c r="G265" s="10" t="str">
        <f>IF(SUM('Base de Datos Sumaria'!J262:Q262)&lt;&gt;0,'Base de Datos Sumaria'!K262," ")</f>
        <v xml:space="preserve"> </v>
      </c>
      <c r="H265" s="10" t="str">
        <f>IF(SUM('Base de Datos Sumaria'!J262:Q262)&lt;&gt;0,'Base de Datos Sumaria'!L262," ")</f>
        <v xml:space="preserve"> </v>
      </c>
      <c r="I265" s="10" t="str">
        <f>IF(SUM('Base de Datos Sumaria'!J262:Q262)&lt;&gt;0,'Base de Datos Sumaria'!M262," ")</f>
        <v xml:space="preserve"> </v>
      </c>
      <c r="J265" s="10" t="str">
        <f>IF(SUM('Base de Datos Sumaria'!J262:Q262)&lt;&gt;0,'Base de Datos Sumaria'!N262," ")</f>
        <v xml:space="preserve"> </v>
      </c>
      <c r="K265" s="10" t="str">
        <f>IF(SUM('Base de Datos Sumaria'!J262:Q262)&lt;&gt;0,'Base de Datos Sumaria'!O262," ")</f>
        <v xml:space="preserve"> </v>
      </c>
      <c r="L265" s="10" t="str">
        <f>IF(SUM('Base de Datos Sumaria'!J262:Q262)&lt;&gt;0,'Base de Datos Sumaria'!P262," ")</f>
        <v xml:space="preserve"> </v>
      </c>
      <c r="M265" s="10" t="str">
        <f>IF(SUM('Base de Datos Sumaria'!J262:Q262)&lt;&gt;0,'Base de Datos Sumaria'!Q262," ")</f>
        <v xml:space="preserve"> </v>
      </c>
      <c r="N265" s="10" t="str">
        <f>IF(SUM('Base de Datos Sumaria'!J262:Q262)&lt;&gt;0,SUM(F265:M265)," ")</f>
        <v xml:space="preserve"> </v>
      </c>
    </row>
    <row r="266" spans="1:14" s="12" customFormat="1" ht="12.95" customHeight="1" x14ac:dyDescent="0.2">
      <c r="A266" s="6" t="str">
        <f>IF(SUM('Base de Datos Sumaria'!J263:Q263)&lt;&gt;0,'Base de Datos Sumaria'!C263," ")</f>
        <v xml:space="preserve"> </v>
      </c>
      <c r="B266" s="6" t="str">
        <f>IF(SUM('Base de Datos Sumaria'!J263:Q263)&lt;&gt;0,'Base de Datos Sumaria'!D263," ")</f>
        <v xml:space="preserve"> </v>
      </c>
      <c r="C266" s="7" t="str">
        <f>IF(SUM('Base de Datos Sumaria'!J263:Q263)&lt;&gt;0,'Base de Datos Sumaria'!H263," ")</f>
        <v xml:space="preserve"> </v>
      </c>
      <c r="D266" s="8" t="str">
        <f>IF(SUM('Base de Datos Sumaria'!J263:Q263)&lt;&gt;0,'Base de Datos Maestro'!L263," ")</f>
        <v xml:space="preserve"> </v>
      </c>
      <c r="E266" s="9" t="str">
        <f>IF('Base de Datos Sumaria'!I263&lt;&gt;0,'Base de Datos Sumaria'!I263,"")</f>
        <v/>
      </c>
      <c r="F266" s="10" t="str">
        <f>IF(SUM('Base de Datos Sumaria'!J263:Q263)&lt;&gt;0,'Base de Datos Sumaria'!J263,"")</f>
        <v/>
      </c>
      <c r="G266" s="10" t="str">
        <f>IF(SUM('Base de Datos Sumaria'!J263:Q263)&lt;&gt;0,'Base de Datos Sumaria'!K263," ")</f>
        <v xml:space="preserve"> </v>
      </c>
      <c r="H266" s="10" t="str">
        <f>IF(SUM('Base de Datos Sumaria'!J263:Q263)&lt;&gt;0,'Base de Datos Sumaria'!L263," ")</f>
        <v xml:space="preserve"> </v>
      </c>
      <c r="I266" s="10" t="str">
        <f>IF(SUM('Base de Datos Sumaria'!J263:Q263)&lt;&gt;0,'Base de Datos Sumaria'!M263," ")</f>
        <v xml:space="preserve"> </v>
      </c>
      <c r="J266" s="10" t="str">
        <f>IF(SUM('Base de Datos Sumaria'!J263:Q263)&lt;&gt;0,'Base de Datos Sumaria'!N263," ")</f>
        <v xml:space="preserve"> </v>
      </c>
      <c r="K266" s="10" t="str">
        <f>IF(SUM('Base de Datos Sumaria'!J263:Q263)&lt;&gt;0,'Base de Datos Sumaria'!O263," ")</f>
        <v xml:space="preserve"> </v>
      </c>
      <c r="L266" s="10" t="str">
        <f>IF(SUM('Base de Datos Sumaria'!J263:Q263)&lt;&gt;0,'Base de Datos Sumaria'!P263," ")</f>
        <v xml:space="preserve"> </v>
      </c>
      <c r="M266" s="10" t="str">
        <f>IF(SUM('Base de Datos Sumaria'!J263:Q263)&lt;&gt;0,'Base de Datos Sumaria'!Q263," ")</f>
        <v xml:space="preserve"> </v>
      </c>
      <c r="N266" s="10" t="str">
        <f>IF(SUM('Base de Datos Sumaria'!J263:Q263)&lt;&gt;0,SUM(F266:M266)," ")</f>
        <v xml:space="preserve"> </v>
      </c>
    </row>
    <row r="267" spans="1:14" s="12" customFormat="1" ht="12.95" customHeight="1" x14ac:dyDescent="0.2">
      <c r="A267" s="6" t="str">
        <f>IF(SUM('Base de Datos Sumaria'!J264:Q264)&lt;&gt;0,'Base de Datos Sumaria'!C264," ")</f>
        <v xml:space="preserve"> </v>
      </c>
      <c r="B267" s="6" t="str">
        <f>IF(SUM('Base de Datos Sumaria'!J264:Q264)&lt;&gt;0,'Base de Datos Sumaria'!D264," ")</f>
        <v xml:space="preserve"> </v>
      </c>
      <c r="C267" s="7" t="str">
        <f>IF(SUM('Base de Datos Sumaria'!J264:Q264)&lt;&gt;0,'Base de Datos Sumaria'!H264," ")</f>
        <v xml:space="preserve"> </v>
      </c>
      <c r="D267" s="8" t="str">
        <f>IF(SUM('Base de Datos Sumaria'!J264:Q264)&lt;&gt;0,'Base de Datos Maestro'!L264," ")</f>
        <v xml:space="preserve"> </v>
      </c>
      <c r="E267" s="9" t="str">
        <f>IF('Base de Datos Sumaria'!I264&lt;&gt;0,'Base de Datos Sumaria'!I264,"")</f>
        <v/>
      </c>
      <c r="F267" s="10" t="str">
        <f>IF(SUM('Base de Datos Sumaria'!J264:Q264)&lt;&gt;0,'Base de Datos Sumaria'!J264,"")</f>
        <v/>
      </c>
      <c r="G267" s="10" t="str">
        <f>IF(SUM('Base de Datos Sumaria'!J264:Q264)&lt;&gt;0,'Base de Datos Sumaria'!K264," ")</f>
        <v xml:space="preserve"> </v>
      </c>
      <c r="H267" s="10" t="str">
        <f>IF(SUM('Base de Datos Sumaria'!J264:Q264)&lt;&gt;0,'Base de Datos Sumaria'!L264," ")</f>
        <v xml:space="preserve"> </v>
      </c>
      <c r="I267" s="10" t="str">
        <f>IF(SUM('Base de Datos Sumaria'!J264:Q264)&lt;&gt;0,'Base de Datos Sumaria'!M264," ")</f>
        <v xml:space="preserve"> </v>
      </c>
      <c r="J267" s="10" t="str">
        <f>IF(SUM('Base de Datos Sumaria'!J264:Q264)&lt;&gt;0,'Base de Datos Sumaria'!N264," ")</f>
        <v xml:space="preserve"> </v>
      </c>
      <c r="K267" s="10" t="str">
        <f>IF(SUM('Base de Datos Sumaria'!J264:Q264)&lt;&gt;0,'Base de Datos Sumaria'!O264," ")</f>
        <v xml:space="preserve"> </v>
      </c>
      <c r="L267" s="10" t="str">
        <f>IF(SUM('Base de Datos Sumaria'!J264:Q264)&lt;&gt;0,'Base de Datos Sumaria'!P264," ")</f>
        <v xml:space="preserve"> </v>
      </c>
      <c r="M267" s="10" t="str">
        <f>IF(SUM('Base de Datos Sumaria'!J264:Q264)&lt;&gt;0,'Base de Datos Sumaria'!Q264," ")</f>
        <v xml:space="preserve"> </v>
      </c>
      <c r="N267" s="10" t="str">
        <f>IF(SUM('Base de Datos Sumaria'!J264:Q264)&lt;&gt;0,SUM(F267:M267)," ")</f>
        <v xml:space="preserve"> </v>
      </c>
    </row>
    <row r="268" spans="1:14" s="12" customFormat="1" ht="12.95" customHeight="1" x14ac:dyDescent="0.2">
      <c r="A268" s="6" t="str">
        <f>IF(SUM('Base de Datos Sumaria'!J265:Q265)&lt;&gt;0,'Base de Datos Sumaria'!C265," ")</f>
        <v xml:space="preserve"> </v>
      </c>
      <c r="B268" s="6" t="str">
        <f>IF(SUM('Base de Datos Sumaria'!J265:Q265)&lt;&gt;0,'Base de Datos Sumaria'!D265," ")</f>
        <v xml:space="preserve"> </v>
      </c>
      <c r="C268" s="7" t="str">
        <f>IF(SUM('Base de Datos Sumaria'!J265:Q265)&lt;&gt;0,'Base de Datos Sumaria'!H265," ")</f>
        <v xml:space="preserve"> </v>
      </c>
      <c r="D268" s="8" t="str">
        <f>IF(SUM('Base de Datos Sumaria'!J265:Q265)&lt;&gt;0,'Base de Datos Maestro'!L265," ")</f>
        <v xml:space="preserve"> </v>
      </c>
      <c r="E268" s="9" t="str">
        <f>IF('Base de Datos Sumaria'!I265&lt;&gt;0,'Base de Datos Sumaria'!I265,"")</f>
        <v/>
      </c>
      <c r="F268" s="10" t="str">
        <f>IF(SUM('Base de Datos Sumaria'!J265:Q265)&lt;&gt;0,'Base de Datos Sumaria'!J265,"")</f>
        <v/>
      </c>
      <c r="G268" s="10" t="str">
        <f>IF(SUM('Base de Datos Sumaria'!J265:Q265)&lt;&gt;0,'Base de Datos Sumaria'!K265," ")</f>
        <v xml:space="preserve"> </v>
      </c>
      <c r="H268" s="10" t="str">
        <f>IF(SUM('Base de Datos Sumaria'!J265:Q265)&lt;&gt;0,'Base de Datos Sumaria'!L265," ")</f>
        <v xml:space="preserve"> </v>
      </c>
      <c r="I268" s="10" t="str">
        <f>IF(SUM('Base de Datos Sumaria'!J265:Q265)&lt;&gt;0,'Base de Datos Sumaria'!M265," ")</f>
        <v xml:space="preserve"> </v>
      </c>
      <c r="J268" s="10" t="str">
        <f>IF(SUM('Base de Datos Sumaria'!J265:Q265)&lt;&gt;0,'Base de Datos Sumaria'!N265," ")</f>
        <v xml:space="preserve"> </v>
      </c>
      <c r="K268" s="10" t="str">
        <f>IF(SUM('Base de Datos Sumaria'!J265:Q265)&lt;&gt;0,'Base de Datos Sumaria'!O265," ")</f>
        <v xml:space="preserve"> </v>
      </c>
      <c r="L268" s="10" t="str">
        <f>IF(SUM('Base de Datos Sumaria'!J265:Q265)&lt;&gt;0,'Base de Datos Sumaria'!P265," ")</f>
        <v xml:space="preserve"> </v>
      </c>
      <c r="M268" s="10" t="str">
        <f>IF(SUM('Base de Datos Sumaria'!J265:Q265)&lt;&gt;0,'Base de Datos Sumaria'!Q265," ")</f>
        <v xml:space="preserve"> </v>
      </c>
      <c r="N268" s="10" t="str">
        <f>IF(SUM('Base de Datos Sumaria'!J265:Q265)&lt;&gt;0,SUM(F268:M268)," ")</f>
        <v xml:space="preserve"> </v>
      </c>
    </row>
    <row r="269" spans="1:14" s="12" customFormat="1" ht="12.95" customHeight="1" x14ac:dyDescent="0.2">
      <c r="A269" s="6" t="str">
        <f>IF(SUM('Base de Datos Sumaria'!J266:Q266)&lt;&gt;0,'Base de Datos Sumaria'!C266," ")</f>
        <v xml:space="preserve"> </v>
      </c>
      <c r="B269" s="6" t="str">
        <f>IF(SUM('Base de Datos Sumaria'!J266:Q266)&lt;&gt;0,'Base de Datos Sumaria'!D266," ")</f>
        <v xml:space="preserve"> </v>
      </c>
      <c r="C269" s="7" t="str">
        <f>IF(SUM('Base de Datos Sumaria'!J266:Q266)&lt;&gt;0,'Base de Datos Sumaria'!H266," ")</f>
        <v xml:space="preserve"> </v>
      </c>
      <c r="D269" s="8" t="str">
        <f>IF(SUM('Base de Datos Sumaria'!J266:Q266)&lt;&gt;0,'Base de Datos Maestro'!L266," ")</f>
        <v xml:space="preserve"> </v>
      </c>
      <c r="E269" s="9" t="str">
        <f>IF('Base de Datos Sumaria'!I266&lt;&gt;0,'Base de Datos Sumaria'!I266,"")</f>
        <v/>
      </c>
      <c r="F269" s="10" t="str">
        <f>IF(SUM('Base de Datos Sumaria'!J266:Q266)&lt;&gt;0,'Base de Datos Sumaria'!J266,"")</f>
        <v/>
      </c>
      <c r="G269" s="10" t="str">
        <f>IF(SUM('Base de Datos Sumaria'!J266:Q266)&lt;&gt;0,'Base de Datos Sumaria'!K266," ")</f>
        <v xml:space="preserve"> </v>
      </c>
      <c r="H269" s="10" t="str">
        <f>IF(SUM('Base de Datos Sumaria'!J266:Q266)&lt;&gt;0,'Base de Datos Sumaria'!L266," ")</f>
        <v xml:space="preserve"> </v>
      </c>
      <c r="I269" s="10" t="str">
        <f>IF(SUM('Base de Datos Sumaria'!J266:Q266)&lt;&gt;0,'Base de Datos Sumaria'!M266," ")</f>
        <v xml:space="preserve"> </v>
      </c>
      <c r="J269" s="10" t="str">
        <f>IF(SUM('Base de Datos Sumaria'!J266:Q266)&lt;&gt;0,'Base de Datos Sumaria'!N266," ")</f>
        <v xml:space="preserve"> </v>
      </c>
      <c r="K269" s="10" t="str">
        <f>IF(SUM('Base de Datos Sumaria'!J266:Q266)&lt;&gt;0,'Base de Datos Sumaria'!O266," ")</f>
        <v xml:space="preserve"> </v>
      </c>
      <c r="L269" s="10" t="str">
        <f>IF(SUM('Base de Datos Sumaria'!J266:Q266)&lt;&gt;0,'Base de Datos Sumaria'!P266," ")</f>
        <v xml:space="preserve"> </v>
      </c>
      <c r="M269" s="10" t="str">
        <f>IF(SUM('Base de Datos Sumaria'!J266:Q266)&lt;&gt;0,'Base de Datos Sumaria'!Q266," ")</f>
        <v xml:space="preserve"> </v>
      </c>
      <c r="N269" s="10" t="str">
        <f>IF(SUM('Base de Datos Sumaria'!J266:Q266)&lt;&gt;0,SUM(F269:M269)," ")</f>
        <v xml:space="preserve"> </v>
      </c>
    </row>
    <row r="270" spans="1:14" s="12" customFormat="1" ht="12.95" customHeight="1" x14ac:dyDescent="0.2">
      <c r="A270" s="6" t="str">
        <f>IF(SUM('Base de Datos Sumaria'!J267:Q267)&lt;&gt;0,'Base de Datos Sumaria'!C267," ")</f>
        <v xml:space="preserve"> </v>
      </c>
      <c r="B270" s="6" t="str">
        <f>IF(SUM('Base de Datos Sumaria'!J267:Q267)&lt;&gt;0,'Base de Datos Sumaria'!D267," ")</f>
        <v xml:space="preserve"> </v>
      </c>
      <c r="C270" s="7" t="str">
        <f>IF(SUM('Base de Datos Sumaria'!J267:Q267)&lt;&gt;0,'Base de Datos Sumaria'!H267," ")</f>
        <v xml:space="preserve"> </v>
      </c>
      <c r="D270" s="8" t="str">
        <f>IF(SUM('Base de Datos Sumaria'!J267:Q267)&lt;&gt;0,'Base de Datos Maestro'!L267," ")</f>
        <v xml:space="preserve"> </v>
      </c>
      <c r="E270" s="9" t="str">
        <f>IF('Base de Datos Sumaria'!I267&lt;&gt;0,'Base de Datos Sumaria'!I267,"")</f>
        <v/>
      </c>
      <c r="F270" s="10" t="str">
        <f>IF(SUM('Base de Datos Sumaria'!J267:Q267)&lt;&gt;0,'Base de Datos Sumaria'!J267,"")</f>
        <v/>
      </c>
      <c r="G270" s="10" t="str">
        <f>IF(SUM('Base de Datos Sumaria'!J267:Q267)&lt;&gt;0,'Base de Datos Sumaria'!K267," ")</f>
        <v xml:space="preserve"> </v>
      </c>
      <c r="H270" s="10" t="str">
        <f>IF(SUM('Base de Datos Sumaria'!J267:Q267)&lt;&gt;0,'Base de Datos Sumaria'!L267," ")</f>
        <v xml:space="preserve"> </v>
      </c>
      <c r="I270" s="10" t="str">
        <f>IF(SUM('Base de Datos Sumaria'!J267:Q267)&lt;&gt;0,'Base de Datos Sumaria'!M267," ")</f>
        <v xml:space="preserve"> </v>
      </c>
      <c r="J270" s="10" t="str">
        <f>IF(SUM('Base de Datos Sumaria'!J267:Q267)&lt;&gt;0,'Base de Datos Sumaria'!N267," ")</f>
        <v xml:space="preserve"> </v>
      </c>
      <c r="K270" s="10" t="str">
        <f>IF(SUM('Base de Datos Sumaria'!J267:Q267)&lt;&gt;0,'Base de Datos Sumaria'!O267," ")</f>
        <v xml:space="preserve"> </v>
      </c>
      <c r="L270" s="10" t="str">
        <f>IF(SUM('Base de Datos Sumaria'!J267:Q267)&lt;&gt;0,'Base de Datos Sumaria'!P267," ")</f>
        <v xml:space="preserve"> </v>
      </c>
      <c r="M270" s="10" t="str">
        <f>IF(SUM('Base de Datos Sumaria'!J267:Q267)&lt;&gt;0,'Base de Datos Sumaria'!Q267," ")</f>
        <v xml:space="preserve"> </v>
      </c>
      <c r="N270" s="10" t="str">
        <f>IF(SUM('Base de Datos Sumaria'!J267:Q267)&lt;&gt;0,SUM(F270:M270)," ")</f>
        <v xml:space="preserve"> </v>
      </c>
    </row>
    <row r="271" spans="1:14" s="12" customFormat="1" ht="12.95" customHeight="1" x14ac:dyDescent="0.2">
      <c r="A271" s="6" t="str">
        <f>IF(SUM('Base de Datos Sumaria'!J268:Q268)&lt;&gt;0,'Base de Datos Sumaria'!C268," ")</f>
        <v xml:space="preserve"> </v>
      </c>
      <c r="B271" s="6" t="str">
        <f>IF(SUM('Base de Datos Sumaria'!J268:Q268)&lt;&gt;0,'Base de Datos Sumaria'!D268," ")</f>
        <v xml:space="preserve"> </v>
      </c>
      <c r="C271" s="7" t="str">
        <f>IF(SUM('Base de Datos Sumaria'!J268:Q268)&lt;&gt;0,'Base de Datos Sumaria'!H268," ")</f>
        <v xml:space="preserve"> </v>
      </c>
      <c r="D271" s="8" t="str">
        <f>IF(SUM('Base de Datos Sumaria'!J268:Q268)&lt;&gt;0,'Base de Datos Maestro'!L268," ")</f>
        <v xml:space="preserve"> </v>
      </c>
      <c r="E271" s="9" t="str">
        <f>IF('Base de Datos Sumaria'!I268&lt;&gt;0,'Base de Datos Sumaria'!I268,"")</f>
        <v/>
      </c>
      <c r="F271" s="10" t="str">
        <f>IF(SUM('Base de Datos Sumaria'!J268:Q268)&lt;&gt;0,'Base de Datos Sumaria'!J268,"")</f>
        <v/>
      </c>
      <c r="G271" s="10" t="str">
        <f>IF(SUM('Base de Datos Sumaria'!J268:Q268)&lt;&gt;0,'Base de Datos Sumaria'!K268," ")</f>
        <v xml:space="preserve"> </v>
      </c>
      <c r="H271" s="10" t="str">
        <f>IF(SUM('Base de Datos Sumaria'!J268:Q268)&lt;&gt;0,'Base de Datos Sumaria'!L268," ")</f>
        <v xml:space="preserve"> </v>
      </c>
      <c r="I271" s="10" t="str">
        <f>IF(SUM('Base de Datos Sumaria'!J268:Q268)&lt;&gt;0,'Base de Datos Sumaria'!M268," ")</f>
        <v xml:space="preserve"> </v>
      </c>
      <c r="J271" s="10" t="str">
        <f>IF(SUM('Base de Datos Sumaria'!J268:Q268)&lt;&gt;0,'Base de Datos Sumaria'!N268," ")</f>
        <v xml:space="preserve"> </v>
      </c>
      <c r="K271" s="10" t="str">
        <f>IF(SUM('Base de Datos Sumaria'!J268:Q268)&lt;&gt;0,'Base de Datos Sumaria'!O268," ")</f>
        <v xml:space="preserve"> </v>
      </c>
      <c r="L271" s="10" t="str">
        <f>IF(SUM('Base de Datos Sumaria'!J268:Q268)&lt;&gt;0,'Base de Datos Sumaria'!P268," ")</f>
        <v xml:space="preserve"> </v>
      </c>
      <c r="M271" s="10" t="str">
        <f>IF(SUM('Base de Datos Sumaria'!J268:Q268)&lt;&gt;0,'Base de Datos Sumaria'!Q268," ")</f>
        <v xml:space="preserve"> </v>
      </c>
      <c r="N271" s="10" t="str">
        <f>IF(SUM('Base de Datos Sumaria'!J268:Q268)&lt;&gt;0,SUM(F271:M271)," ")</f>
        <v xml:space="preserve"> </v>
      </c>
    </row>
    <row r="272" spans="1:14" s="12" customFormat="1" ht="12.95" customHeight="1" x14ac:dyDescent="0.2">
      <c r="A272" s="6" t="str">
        <f>IF(SUM('Base de Datos Sumaria'!J269:Q269)&lt;&gt;0,'Base de Datos Sumaria'!C269," ")</f>
        <v xml:space="preserve"> </v>
      </c>
      <c r="B272" s="6" t="str">
        <f>IF(SUM('Base de Datos Sumaria'!J269:Q269)&lt;&gt;0,'Base de Datos Sumaria'!D269," ")</f>
        <v xml:space="preserve"> </v>
      </c>
      <c r="C272" s="7" t="str">
        <f>IF(SUM('Base de Datos Sumaria'!J269:Q269)&lt;&gt;0,'Base de Datos Sumaria'!H269," ")</f>
        <v xml:space="preserve"> </v>
      </c>
      <c r="D272" s="8" t="str">
        <f>IF(SUM('Base de Datos Sumaria'!J269:Q269)&lt;&gt;0,'Base de Datos Maestro'!L269," ")</f>
        <v xml:space="preserve"> </v>
      </c>
      <c r="E272" s="9" t="str">
        <f>IF('Base de Datos Sumaria'!I269&lt;&gt;0,'Base de Datos Sumaria'!I269,"")</f>
        <v/>
      </c>
      <c r="F272" s="10" t="str">
        <f>IF(SUM('Base de Datos Sumaria'!J269:Q269)&lt;&gt;0,'Base de Datos Sumaria'!J269,"")</f>
        <v/>
      </c>
      <c r="G272" s="10" t="str">
        <f>IF(SUM('Base de Datos Sumaria'!J269:Q269)&lt;&gt;0,'Base de Datos Sumaria'!K269," ")</f>
        <v xml:space="preserve"> </v>
      </c>
      <c r="H272" s="10" t="str">
        <f>IF(SUM('Base de Datos Sumaria'!J269:Q269)&lt;&gt;0,'Base de Datos Sumaria'!L269," ")</f>
        <v xml:space="preserve"> </v>
      </c>
      <c r="I272" s="10" t="str">
        <f>IF(SUM('Base de Datos Sumaria'!J269:Q269)&lt;&gt;0,'Base de Datos Sumaria'!M269," ")</f>
        <v xml:space="preserve"> </v>
      </c>
      <c r="J272" s="10" t="str">
        <f>IF(SUM('Base de Datos Sumaria'!J269:Q269)&lt;&gt;0,'Base de Datos Sumaria'!N269," ")</f>
        <v xml:space="preserve"> </v>
      </c>
      <c r="K272" s="10" t="str">
        <f>IF(SUM('Base de Datos Sumaria'!J269:Q269)&lt;&gt;0,'Base de Datos Sumaria'!O269," ")</f>
        <v xml:space="preserve"> </v>
      </c>
      <c r="L272" s="10" t="str">
        <f>IF(SUM('Base de Datos Sumaria'!J269:Q269)&lt;&gt;0,'Base de Datos Sumaria'!P269," ")</f>
        <v xml:space="preserve"> </v>
      </c>
      <c r="M272" s="10" t="str">
        <f>IF(SUM('Base de Datos Sumaria'!J269:Q269)&lt;&gt;0,'Base de Datos Sumaria'!Q269," ")</f>
        <v xml:space="preserve"> </v>
      </c>
      <c r="N272" s="10" t="str">
        <f>IF(SUM('Base de Datos Sumaria'!J269:Q269)&lt;&gt;0,SUM(F272:M272)," ")</f>
        <v xml:space="preserve"> </v>
      </c>
    </row>
    <row r="273" spans="1:14" s="12" customFormat="1" ht="12.95" customHeight="1" x14ac:dyDescent="0.2">
      <c r="A273" s="6" t="str">
        <f>IF(SUM('Base de Datos Sumaria'!J270:Q270)&lt;&gt;0,'Base de Datos Sumaria'!C270," ")</f>
        <v xml:space="preserve"> </v>
      </c>
      <c r="B273" s="6" t="str">
        <f>IF(SUM('Base de Datos Sumaria'!J270:Q270)&lt;&gt;0,'Base de Datos Sumaria'!D270," ")</f>
        <v xml:space="preserve"> </v>
      </c>
      <c r="C273" s="7" t="str">
        <f>IF(SUM('Base de Datos Sumaria'!J270:Q270)&lt;&gt;0,'Base de Datos Sumaria'!H270," ")</f>
        <v xml:space="preserve"> </v>
      </c>
      <c r="D273" s="8" t="str">
        <f>IF(SUM('Base de Datos Sumaria'!J270:Q270)&lt;&gt;0,'Base de Datos Maestro'!L270," ")</f>
        <v xml:space="preserve"> </v>
      </c>
      <c r="E273" s="9" t="str">
        <f>IF('Base de Datos Sumaria'!I270&lt;&gt;0,'Base de Datos Sumaria'!I270,"")</f>
        <v/>
      </c>
      <c r="F273" s="10" t="str">
        <f>IF(SUM('Base de Datos Sumaria'!J270:Q270)&lt;&gt;0,'Base de Datos Sumaria'!J270,"")</f>
        <v/>
      </c>
      <c r="G273" s="10" t="str">
        <f>IF(SUM('Base de Datos Sumaria'!J270:Q270)&lt;&gt;0,'Base de Datos Sumaria'!K270," ")</f>
        <v xml:space="preserve"> </v>
      </c>
      <c r="H273" s="10" t="str">
        <f>IF(SUM('Base de Datos Sumaria'!J270:Q270)&lt;&gt;0,'Base de Datos Sumaria'!L270," ")</f>
        <v xml:space="preserve"> </v>
      </c>
      <c r="I273" s="10" t="str">
        <f>IF(SUM('Base de Datos Sumaria'!J270:Q270)&lt;&gt;0,'Base de Datos Sumaria'!M270," ")</f>
        <v xml:space="preserve"> </v>
      </c>
      <c r="J273" s="10" t="str">
        <f>IF(SUM('Base de Datos Sumaria'!J270:Q270)&lt;&gt;0,'Base de Datos Sumaria'!N270," ")</f>
        <v xml:space="preserve"> </v>
      </c>
      <c r="K273" s="10" t="str">
        <f>IF(SUM('Base de Datos Sumaria'!J270:Q270)&lt;&gt;0,'Base de Datos Sumaria'!O270," ")</f>
        <v xml:space="preserve"> </v>
      </c>
      <c r="L273" s="10" t="str">
        <f>IF(SUM('Base de Datos Sumaria'!J270:Q270)&lt;&gt;0,'Base de Datos Sumaria'!P270," ")</f>
        <v xml:space="preserve"> </v>
      </c>
      <c r="M273" s="10" t="str">
        <f>IF(SUM('Base de Datos Sumaria'!J270:Q270)&lt;&gt;0,'Base de Datos Sumaria'!Q270," ")</f>
        <v xml:space="preserve"> </v>
      </c>
      <c r="N273" s="10" t="str">
        <f>IF(SUM('Base de Datos Sumaria'!J270:Q270)&lt;&gt;0,SUM(F273:M273)," ")</f>
        <v xml:space="preserve"> </v>
      </c>
    </row>
    <row r="274" spans="1:14" s="12" customFormat="1" ht="12.95" customHeight="1" x14ac:dyDescent="0.2">
      <c r="A274" s="6" t="str">
        <f>IF(SUM('Base de Datos Sumaria'!J271:Q271)&lt;&gt;0,'Base de Datos Sumaria'!C271," ")</f>
        <v xml:space="preserve"> </v>
      </c>
      <c r="B274" s="6" t="str">
        <f>IF(SUM('Base de Datos Sumaria'!J271:Q271)&lt;&gt;0,'Base de Datos Sumaria'!D271," ")</f>
        <v xml:space="preserve"> </v>
      </c>
      <c r="C274" s="7" t="str">
        <f>IF(SUM('Base de Datos Sumaria'!J271:Q271)&lt;&gt;0,'Base de Datos Sumaria'!H271," ")</f>
        <v xml:space="preserve"> </v>
      </c>
      <c r="D274" s="8" t="str">
        <f>IF(SUM('Base de Datos Sumaria'!J271:Q271)&lt;&gt;0,'Base de Datos Maestro'!L271," ")</f>
        <v xml:space="preserve"> </v>
      </c>
      <c r="E274" s="9" t="str">
        <f>IF('Base de Datos Sumaria'!I271&lt;&gt;0,'Base de Datos Sumaria'!I271,"")</f>
        <v/>
      </c>
      <c r="F274" s="10" t="str">
        <f>IF(SUM('Base de Datos Sumaria'!J271:Q271)&lt;&gt;0,'Base de Datos Sumaria'!J271,"")</f>
        <v/>
      </c>
      <c r="G274" s="10" t="str">
        <f>IF(SUM('Base de Datos Sumaria'!J271:Q271)&lt;&gt;0,'Base de Datos Sumaria'!K271," ")</f>
        <v xml:space="preserve"> </v>
      </c>
      <c r="H274" s="10" t="str">
        <f>IF(SUM('Base de Datos Sumaria'!J271:Q271)&lt;&gt;0,'Base de Datos Sumaria'!L271," ")</f>
        <v xml:space="preserve"> </v>
      </c>
      <c r="I274" s="10" t="str">
        <f>IF(SUM('Base de Datos Sumaria'!J271:Q271)&lt;&gt;0,'Base de Datos Sumaria'!M271," ")</f>
        <v xml:space="preserve"> </v>
      </c>
      <c r="J274" s="10" t="str">
        <f>IF(SUM('Base de Datos Sumaria'!J271:Q271)&lt;&gt;0,'Base de Datos Sumaria'!N271," ")</f>
        <v xml:space="preserve"> </v>
      </c>
      <c r="K274" s="10" t="str">
        <f>IF(SUM('Base de Datos Sumaria'!J271:Q271)&lt;&gt;0,'Base de Datos Sumaria'!O271," ")</f>
        <v xml:space="preserve"> </v>
      </c>
      <c r="L274" s="10" t="str">
        <f>IF(SUM('Base de Datos Sumaria'!J271:Q271)&lt;&gt;0,'Base de Datos Sumaria'!P271," ")</f>
        <v xml:space="preserve"> </v>
      </c>
      <c r="M274" s="10" t="str">
        <f>IF(SUM('Base de Datos Sumaria'!J271:Q271)&lt;&gt;0,'Base de Datos Sumaria'!Q271," ")</f>
        <v xml:space="preserve"> </v>
      </c>
      <c r="N274" s="10" t="str">
        <f>IF(SUM('Base de Datos Sumaria'!J271:Q271)&lt;&gt;0,SUM(F274:M274)," ")</f>
        <v xml:space="preserve"> </v>
      </c>
    </row>
    <row r="275" spans="1:14" s="12" customFormat="1" ht="12.95" customHeight="1" x14ac:dyDescent="0.2">
      <c r="A275" s="6" t="str">
        <f>IF(SUM('Base de Datos Sumaria'!J272:Q272)&lt;&gt;0,'Base de Datos Sumaria'!C272," ")</f>
        <v xml:space="preserve"> </v>
      </c>
      <c r="B275" s="6" t="str">
        <f>IF(SUM('Base de Datos Sumaria'!J272:Q272)&lt;&gt;0,'Base de Datos Sumaria'!D272," ")</f>
        <v xml:space="preserve"> </v>
      </c>
      <c r="C275" s="7" t="str">
        <f>IF(SUM('Base de Datos Sumaria'!J272:Q272)&lt;&gt;0,'Base de Datos Sumaria'!H272," ")</f>
        <v xml:space="preserve"> </v>
      </c>
      <c r="D275" s="8" t="str">
        <f>IF(SUM('Base de Datos Sumaria'!J272:Q272)&lt;&gt;0,'Base de Datos Maestro'!L272," ")</f>
        <v xml:space="preserve"> </v>
      </c>
      <c r="E275" s="9" t="str">
        <f>IF('Base de Datos Sumaria'!I272&lt;&gt;0,'Base de Datos Sumaria'!I272,"")</f>
        <v/>
      </c>
      <c r="F275" s="10" t="str">
        <f>IF(SUM('Base de Datos Sumaria'!J272:Q272)&lt;&gt;0,'Base de Datos Sumaria'!J272,"")</f>
        <v/>
      </c>
      <c r="G275" s="10" t="str">
        <f>IF(SUM('Base de Datos Sumaria'!J272:Q272)&lt;&gt;0,'Base de Datos Sumaria'!K272," ")</f>
        <v xml:space="preserve"> </v>
      </c>
      <c r="H275" s="10" t="str">
        <f>IF(SUM('Base de Datos Sumaria'!J272:Q272)&lt;&gt;0,'Base de Datos Sumaria'!L272," ")</f>
        <v xml:space="preserve"> </v>
      </c>
      <c r="I275" s="10" t="str">
        <f>IF(SUM('Base de Datos Sumaria'!J272:Q272)&lt;&gt;0,'Base de Datos Sumaria'!M272," ")</f>
        <v xml:space="preserve"> </v>
      </c>
      <c r="J275" s="10" t="str">
        <f>IF(SUM('Base de Datos Sumaria'!J272:Q272)&lt;&gt;0,'Base de Datos Sumaria'!N272," ")</f>
        <v xml:space="preserve"> </v>
      </c>
      <c r="K275" s="10" t="str">
        <f>IF(SUM('Base de Datos Sumaria'!J272:Q272)&lt;&gt;0,'Base de Datos Sumaria'!O272," ")</f>
        <v xml:space="preserve"> </v>
      </c>
      <c r="L275" s="10" t="str">
        <f>IF(SUM('Base de Datos Sumaria'!J272:Q272)&lt;&gt;0,'Base de Datos Sumaria'!P272," ")</f>
        <v xml:space="preserve"> </v>
      </c>
      <c r="M275" s="10" t="str">
        <f>IF(SUM('Base de Datos Sumaria'!J272:Q272)&lt;&gt;0,'Base de Datos Sumaria'!Q272," ")</f>
        <v xml:space="preserve"> </v>
      </c>
      <c r="N275" s="10" t="str">
        <f>IF(SUM('Base de Datos Sumaria'!J272:Q272)&lt;&gt;0,SUM(F275:M275)," ")</f>
        <v xml:space="preserve"> </v>
      </c>
    </row>
    <row r="276" spans="1:14" s="12" customFormat="1" ht="12.95" customHeight="1" x14ac:dyDescent="0.2">
      <c r="A276" s="6" t="str">
        <f>IF(SUM('Base de Datos Sumaria'!J273:Q273)&lt;&gt;0,'Base de Datos Sumaria'!C273," ")</f>
        <v xml:space="preserve"> </v>
      </c>
      <c r="B276" s="6" t="str">
        <f>IF(SUM('Base de Datos Sumaria'!J273:Q273)&lt;&gt;0,'Base de Datos Sumaria'!D273," ")</f>
        <v xml:space="preserve"> </v>
      </c>
      <c r="C276" s="7" t="str">
        <f>IF(SUM('Base de Datos Sumaria'!J273:Q273)&lt;&gt;0,'Base de Datos Sumaria'!H273," ")</f>
        <v xml:space="preserve"> </v>
      </c>
      <c r="D276" s="8" t="str">
        <f>IF(SUM('Base de Datos Sumaria'!J273:Q273)&lt;&gt;0,'Base de Datos Maestro'!L273," ")</f>
        <v xml:space="preserve"> </v>
      </c>
      <c r="E276" s="9" t="str">
        <f>IF('Base de Datos Sumaria'!I273&lt;&gt;0,'Base de Datos Sumaria'!I273,"")</f>
        <v/>
      </c>
      <c r="F276" s="10" t="str">
        <f>IF(SUM('Base de Datos Sumaria'!J273:Q273)&lt;&gt;0,'Base de Datos Sumaria'!J273,"")</f>
        <v/>
      </c>
      <c r="G276" s="10" t="str">
        <f>IF(SUM('Base de Datos Sumaria'!J273:Q273)&lt;&gt;0,'Base de Datos Sumaria'!K273," ")</f>
        <v xml:space="preserve"> </v>
      </c>
      <c r="H276" s="10" t="str">
        <f>IF(SUM('Base de Datos Sumaria'!J273:Q273)&lt;&gt;0,'Base de Datos Sumaria'!L273," ")</f>
        <v xml:space="preserve"> </v>
      </c>
      <c r="I276" s="10" t="str">
        <f>IF(SUM('Base de Datos Sumaria'!J273:Q273)&lt;&gt;0,'Base de Datos Sumaria'!M273," ")</f>
        <v xml:space="preserve"> </v>
      </c>
      <c r="J276" s="10" t="str">
        <f>IF(SUM('Base de Datos Sumaria'!J273:Q273)&lt;&gt;0,'Base de Datos Sumaria'!N273," ")</f>
        <v xml:space="preserve"> </v>
      </c>
      <c r="K276" s="10" t="str">
        <f>IF(SUM('Base de Datos Sumaria'!J273:Q273)&lt;&gt;0,'Base de Datos Sumaria'!O273," ")</f>
        <v xml:space="preserve"> </v>
      </c>
      <c r="L276" s="10" t="str">
        <f>IF(SUM('Base de Datos Sumaria'!J273:Q273)&lt;&gt;0,'Base de Datos Sumaria'!P273," ")</f>
        <v xml:space="preserve"> </v>
      </c>
      <c r="M276" s="10" t="str">
        <f>IF(SUM('Base de Datos Sumaria'!J273:Q273)&lt;&gt;0,'Base de Datos Sumaria'!Q273," ")</f>
        <v xml:space="preserve"> </v>
      </c>
      <c r="N276" s="10" t="str">
        <f>IF(SUM('Base de Datos Sumaria'!J273:Q273)&lt;&gt;0,SUM(F276:M276)," ")</f>
        <v xml:space="preserve"> </v>
      </c>
    </row>
    <row r="277" spans="1:14" s="12" customFormat="1" ht="12.95" customHeight="1" x14ac:dyDescent="0.2">
      <c r="A277" s="6" t="str">
        <f>IF(SUM('Base de Datos Sumaria'!J274:Q274)&lt;&gt;0,'Base de Datos Sumaria'!C274," ")</f>
        <v xml:space="preserve"> </v>
      </c>
      <c r="B277" s="6" t="str">
        <f>IF(SUM('Base de Datos Sumaria'!J274:Q274)&lt;&gt;0,'Base de Datos Sumaria'!D274," ")</f>
        <v xml:space="preserve"> </v>
      </c>
      <c r="C277" s="7" t="str">
        <f>IF(SUM('Base de Datos Sumaria'!J274:Q274)&lt;&gt;0,'Base de Datos Sumaria'!H274," ")</f>
        <v xml:space="preserve"> </v>
      </c>
      <c r="D277" s="8" t="str">
        <f>IF(SUM('Base de Datos Sumaria'!J274:Q274)&lt;&gt;0,'Base de Datos Maestro'!L274," ")</f>
        <v xml:space="preserve"> </v>
      </c>
      <c r="E277" s="9" t="str">
        <f>IF('Base de Datos Sumaria'!I274&lt;&gt;0,'Base de Datos Sumaria'!I274,"")</f>
        <v/>
      </c>
      <c r="F277" s="10" t="str">
        <f>IF(SUM('Base de Datos Sumaria'!J274:Q274)&lt;&gt;0,'Base de Datos Sumaria'!J274,"")</f>
        <v/>
      </c>
      <c r="G277" s="10" t="str">
        <f>IF(SUM('Base de Datos Sumaria'!J274:Q274)&lt;&gt;0,'Base de Datos Sumaria'!K274," ")</f>
        <v xml:space="preserve"> </v>
      </c>
      <c r="H277" s="10" t="str">
        <f>IF(SUM('Base de Datos Sumaria'!J274:Q274)&lt;&gt;0,'Base de Datos Sumaria'!L274," ")</f>
        <v xml:space="preserve"> </v>
      </c>
      <c r="I277" s="10" t="str">
        <f>IF(SUM('Base de Datos Sumaria'!J274:Q274)&lt;&gt;0,'Base de Datos Sumaria'!M274," ")</f>
        <v xml:space="preserve"> </v>
      </c>
      <c r="J277" s="10" t="str">
        <f>IF(SUM('Base de Datos Sumaria'!J274:Q274)&lt;&gt;0,'Base de Datos Sumaria'!N274," ")</f>
        <v xml:space="preserve"> </v>
      </c>
      <c r="K277" s="10" t="str">
        <f>IF(SUM('Base de Datos Sumaria'!J274:Q274)&lt;&gt;0,'Base de Datos Sumaria'!O274," ")</f>
        <v xml:space="preserve"> </v>
      </c>
      <c r="L277" s="10" t="str">
        <f>IF(SUM('Base de Datos Sumaria'!J274:Q274)&lt;&gt;0,'Base de Datos Sumaria'!P274," ")</f>
        <v xml:space="preserve"> </v>
      </c>
      <c r="M277" s="10" t="str">
        <f>IF(SUM('Base de Datos Sumaria'!J274:Q274)&lt;&gt;0,'Base de Datos Sumaria'!Q274," ")</f>
        <v xml:space="preserve"> </v>
      </c>
      <c r="N277" s="10" t="str">
        <f>IF(SUM('Base de Datos Sumaria'!J274:Q274)&lt;&gt;0,SUM(F277:M277)," ")</f>
        <v xml:space="preserve"> </v>
      </c>
    </row>
    <row r="278" spans="1:14" s="12" customFormat="1" ht="12.95" customHeight="1" x14ac:dyDescent="0.2">
      <c r="A278" s="6" t="str">
        <f>IF(SUM('Base de Datos Sumaria'!J275:Q275)&lt;&gt;0,'Base de Datos Sumaria'!C275," ")</f>
        <v xml:space="preserve"> </v>
      </c>
      <c r="B278" s="6" t="str">
        <f>IF(SUM('Base de Datos Sumaria'!J275:Q275)&lt;&gt;0,'Base de Datos Sumaria'!D275," ")</f>
        <v xml:space="preserve"> </v>
      </c>
      <c r="C278" s="7" t="str">
        <f>IF(SUM('Base de Datos Sumaria'!J275:Q275)&lt;&gt;0,'Base de Datos Sumaria'!H275," ")</f>
        <v xml:space="preserve"> </v>
      </c>
      <c r="D278" s="8" t="str">
        <f>IF(SUM('Base de Datos Sumaria'!J275:Q275)&lt;&gt;0,'Base de Datos Maestro'!L275," ")</f>
        <v xml:space="preserve"> </v>
      </c>
      <c r="E278" s="9" t="str">
        <f>IF('Base de Datos Sumaria'!I275&lt;&gt;0,'Base de Datos Sumaria'!I275,"")</f>
        <v/>
      </c>
      <c r="F278" s="10" t="str">
        <f>IF(SUM('Base de Datos Sumaria'!J275:Q275)&lt;&gt;0,'Base de Datos Sumaria'!J275,"")</f>
        <v/>
      </c>
      <c r="G278" s="10" t="str">
        <f>IF(SUM('Base de Datos Sumaria'!J275:Q275)&lt;&gt;0,'Base de Datos Sumaria'!K275," ")</f>
        <v xml:space="preserve"> </v>
      </c>
      <c r="H278" s="10" t="str">
        <f>IF(SUM('Base de Datos Sumaria'!J275:Q275)&lt;&gt;0,'Base de Datos Sumaria'!L275," ")</f>
        <v xml:space="preserve"> </v>
      </c>
      <c r="I278" s="10" t="str">
        <f>IF(SUM('Base de Datos Sumaria'!J275:Q275)&lt;&gt;0,'Base de Datos Sumaria'!M275," ")</f>
        <v xml:space="preserve"> </v>
      </c>
      <c r="J278" s="10" t="str">
        <f>IF(SUM('Base de Datos Sumaria'!J275:Q275)&lt;&gt;0,'Base de Datos Sumaria'!N275," ")</f>
        <v xml:space="preserve"> </v>
      </c>
      <c r="K278" s="10" t="str">
        <f>IF(SUM('Base de Datos Sumaria'!J275:Q275)&lt;&gt;0,'Base de Datos Sumaria'!O275," ")</f>
        <v xml:space="preserve"> </v>
      </c>
      <c r="L278" s="10" t="str">
        <f>IF(SUM('Base de Datos Sumaria'!J275:Q275)&lt;&gt;0,'Base de Datos Sumaria'!P275," ")</f>
        <v xml:space="preserve"> </v>
      </c>
      <c r="M278" s="10" t="str">
        <f>IF(SUM('Base de Datos Sumaria'!J275:Q275)&lt;&gt;0,'Base de Datos Sumaria'!Q275," ")</f>
        <v xml:space="preserve"> </v>
      </c>
      <c r="N278" s="10" t="str">
        <f>IF(SUM('Base de Datos Sumaria'!J275:Q275)&lt;&gt;0,SUM(F278:M278)," ")</f>
        <v xml:space="preserve"> </v>
      </c>
    </row>
    <row r="279" spans="1:14" s="12" customFormat="1" ht="12.95" customHeight="1" x14ac:dyDescent="0.2">
      <c r="A279" s="25" t="s">
        <v>88</v>
      </c>
      <c r="B279" s="6"/>
      <c r="C279" s="7"/>
      <c r="D279" s="8"/>
      <c r="E279" s="7"/>
      <c r="F279" s="10"/>
      <c r="G279" s="10"/>
      <c r="H279" s="10"/>
      <c r="I279" s="10"/>
      <c r="J279" s="10"/>
      <c r="K279" s="10"/>
      <c r="L279" s="10"/>
      <c r="M279" s="10"/>
      <c r="N279" s="10"/>
    </row>
    <row r="280" spans="1:14" ht="12.95" customHeight="1" x14ac:dyDescent="0.25">
      <c r="A280" s="25" t="s">
        <v>88</v>
      </c>
      <c r="B280" s="6"/>
      <c r="C280" s="7"/>
      <c r="D280" s="13"/>
      <c r="E280" s="6"/>
      <c r="F280" s="27" t="s">
        <v>4</v>
      </c>
      <c r="G280" s="27" t="s">
        <v>5</v>
      </c>
      <c r="H280" s="27" t="s">
        <v>94</v>
      </c>
      <c r="I280" s="27" t="s">
        <v>6</v>
      </c>
      <c r="J280" s="27" t="s">
        <v>7</v>
      </c>
      <c r="K280" s="27" t="s">
        <v>95</v>
      </c>
      <c r="L280" s="27" t="s">
        <v>96</v>
      </c>
      <c r="M280" s="27" t="s">
        <v>8</v>
      </c>
      <c r="N280" s="27" t="s">
        <v>9</v>
      </c>
    </row>
    <row r="281" spans="1:14" ht="12.95" customHeight="1" x14ac:dyDescent="0.2">
      <c r="A281" s="25" t="s">
        <v>88</v>
      </c>
      <c r="B281" s="6"/>
      <c r="C281" s="7"/>
      <c r="D281" s="13"/>
      <c r="E281" s="26" t="s">
        <v>86</v>
      </c>
      <c r="F281" s="15">
        <f t="shared" ref="F281:N281" si="0">SUM(F5:F278)</f>
        <v>24007681</v>
      </c>
      <c r="G281" s="15">
        <f t="shared" si="0"/>
        <v>1527400</v>
      </c>
      <c r="H281" s="15">
        <f t="shared" si="0"/>
        <v>946650</v>
      </c>
      <c r="I281" s="15">
        <f t="shared" si="0"/>
        <v>1480000</v>
      </c>
      <c r="J281" s="15">
        <f t="shared" si="0"/>
        <v>511220</v>
      </c>
      <c r="K281" s="15">
        <f t="shared" si="0"/>
        <v>377400</v>
      </c>
      <c r="L281" s="15">
        <f t="shared" si="0"/>
        <v>291900</v>
      </c>
      <c r="M281" s="15">
        <f t="shared" si="0"/>
        <v>0</v>
      </c>
      <c r="N281" s="14">
        <f t="shared" si="0"/>
        <v>29142251</v>
      </c>
    </row>
    <row r="282" spans="1:14" x14ac:dyDescent="0.2">
      <c r="A282" s="16" t="s">
        <v>89</v>
      </c>
    </row>
  </sheetData>
  <mergeCells count="3">
    <mergeCell ref="A1:N1"/>
    <mergeCell ref="A2:N2"/>
    <mergeCell ref="A3:N3"/>
  </mergeCells>
  <printOptions horizontalCentered="1" gridLines="1"/>
  <pageMargins left="0.59055118110236227" right="0.59055118110236227" top="0.59055118110236227" bottom="0.59055118110236227" header="0" footer="0"/>
  <pageSetup scale="72" fitToHeight="0" orientation="landscape" horizontalDpi="240" verticalDpi="144" r:id="rId1"/>
  <headerFooter alignWithMargins="0">
    <oddFooter>Página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Base de Datos Maestro</vt:lpstr>
      <vt:lpstr>Base de Datos Sumaria</vt:lpstr>
      <vt:lpstr>Pendientes</vt:lpstr>
      <vt:lpstr>Pendientes!Área_de_impresión</vt:lpstr>
      <vt:lpstr>Pendientes!Títulos_a_imprimir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F8A</cp:lastModifiedBy>
  <dcterms:created xsi:type="dcterms:W3CDTF">2014-07-16T19:52:10Z</dcterms:created>
  <dcterms:modified xsi:type="dcterms:W3CDTF">2017-08-11T17:06:25Z</dcterms:modified>
</cp:coreProperties>
</file>