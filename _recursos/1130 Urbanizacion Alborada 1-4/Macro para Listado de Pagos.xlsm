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ThisWorkbook" defaultThemeVersion="124226"/>
  <bookViews>
    <workbookView xWindow="240" yWindow="90" windowWidth="11580" windowHeight="6795"/>
  </bookViews>
  <sheets>
    <sheet name="Base de Datos Maestro" sheetId="267" r:id="rId1"/>
    <sheet name="Base de Datos Pagos-Notas" sheetId="2826" r:id="rId2"/>
    <sheet name="Pagos" sheetId="2827" r:id="rId3"/>
  </sheets>
  <externalReferences>
    <externalReference r:id="rId4"/>
  </externalReferences>
  <definedNames>
    <definedName name="_xlnm.Print_Area" localSheetId="2">Pagos!$A$1:$N$282</definedName>
    <definedName name="_xlnm.Print_Titles" localSheetId="2">Pagos!$4:$4</definedName>
  </definedNames>
  <calcPr calcId="145621"/>
</workbook>
</file>

<file path=xl/calcChain.xml><?xml version="1.0" encoding="utf-8"?>
<calcChain xmlns="http://schemas.openxmlformats.org/spreadsheetml/2006/main">
  <c r="A1" i="2827" l="1"/>
  <c r="M278" i="2827" l="1"/>
  <c r="L278" i="2827"/>
  <c r="K278" i="2827"/>
  <c r="J278" i="2827"/>
  <c r="I278" i="2827"/>
  <c r="H278" i="2827"/>
  <c r="G278" i="2827"/>
  <c r="F278" i="2827"/>
  <c r="E278" i="2827"/>
  <c r="D278" i="2827" s="1"/>
  <c r="C278" i="2827"/>
  <c r="B278" i="2827"/>
  <c r="A278" i="2827"/>
  <c r="M277" i="2827"/>
  <c r="L277" i="2827"/>
  <c r="K277" i="2827"/>
  <c r="J277" i="2827"/>
  <c r="I277" i="2827"/>
  <c r="H277" i="2827"/>
  <c r="G277" i="2827"/>
  <c r="F277" i="2827"/>
  <c r="E277" i="2827"/>
  <c r="D277" i="2827" s="1"/>
  <c r="C277" i="2827"/>
  <c r="B277" i="2827"/>
  <c r="A277" i="2827"/>
  <c r="M276" i="2827"/>
  <c r="L276" i="2827"/>
  <c r="K276" i="2827"/>
  <c r="J276" i="2827"/>
  <c r="I276" i="2827"/>
  <c r="H276" i="2827"/>
  <c r="G276" i="2827"/>
  <c r="F276" i="2827"/>
  <c r="E276" i="2827"/>
  <c r="D276" i="2827" s="1"/>
  <c r="C276" i="2827"/>
  <c r="B276" i="2827"/>
  <c r="A276" i="2827"/>
  <c r="M275" i="2827"/>
  <c r="L275" i="2827"/>
  <c r="K275" i="2827"/>
  <c r="J275" i="2827"/>
  <c r="I275" i="2827"/>
  <c r="H275" i="2827"/>
  <c r="G275" i="2827"/>
  <c r="F275" i="2827"/>
  <c r="E275" i="2827"/>
  <c r="D275" i="2827" s="1"/>
  <c r="C275" i="2827"/>
  <c r="B275" i="2827"/>
  <c r="A275" i="2827"/>
  <c r="M274" i="2827"/>
  <c r="L274" i="2827"/>
  <c r="K274" i="2827"/>
  <c r="J274" i="2827"/>
  <c r="I274" i="2827"/>
  <c r="H274" i="2827"/>
  <c r="G274" i="2827"/>
  <c r="F274" i="2827"/>
  <c r="E274" i="2827"/>
  <c r="D274" i="2827" s="1"/>
  <c r="C274" i="2827"/>
  <c r="B274" i="2827"/>
  <c r="A274" i="2827"/>
  <c r="M273" i="2827"/>
  <c r="L273" i="2827"/>
  <c r="K273" i="2827"/>
  <c r="J273" i="2827"/>
  <c r="I273" i="2827"/>
  <c r="H273" i="2827"/>
  <c r="G273" i="2827"/>
  <c r="F273" i="2827"/>
  <c r="E273" i="2827"/>
  <c r="D273" i="2827" s="1"/>
  <c r="C273" i="2827"/>
  <c r="B273" i="2827"/>
  <c r="A273" i="2827"/>
  <c r="M272" i="2827"/>
  <c r="L272" i="2827"/>
  <c r="K272" i="2827"/>
  <c r="J272" i="2827"/>
  <c r="I272" i="2827"/>
  <c r="H272" i="2827"/>
  <c r="G272" i="2827"/>
  <c r="F272" i="2827"/>
  <c r="E272" i="2827"/>
  <c r="D272" i="2827" s="1"/>
  <c r="C272" i="2827"/>
  <c r="B272" i="2827"/>
  <c r="A272" i="2827"/>
  <c r="M271" i="2827"/>
  <c r="L271" i="2827"/>
  <c r="K271" i="2827"/>
  <c r="J271" i="2827"/>
  <c r="I271" i="2827"/>
  <c r="H271" i="2827"/>
  <c r="G271" i="2827"/>
  <c r="F271" i="2827"/>
  <c r="E271" i="2827"/>
  <c r="D271" i="2827" s="1"/>
  <c r="C271" i="2827"/>
  <c r="B271" i="2827"/>
  <c r="A271" i="2827"/>
  <c r="M270" i="2827"/>
  <c r="L270" i="2827"/>
  <c r="K270" i="2827"/>
  <c r="J270" i="2827"/>
  <c r="I270" i="2827"/>
  <c r="H270" i="2827"/>
  <c r="G270" i="2827"/>
  <c r="F270" i="2827"/>
  <c r="E270" i="2827"/>
  <c r="D270" i="2827" s="1"/>
  <c r="C270" i="2827"/>
  <c r="B270" i="2827"/>
  <c r="A270" i="2827"/>
  <c r="M269" i="2827"/>
  <c r="L269" i="2827"/>
  <c r="K269" i="2827"/>
  <c r="J269" i="2827"/>
  <c r="I269" i="2827"/>
  <c r="H269" i="2827"/>
  <c r="G269" i="2827"/>
  <c r="F269" i="2827"/>
  <c r="E269" i="2827"/>
  <c r="D269" i="2827" s="1"/>
  <c r="C269" i="2827"/>
  <c r="B269" i="2827"/>
  <c r="A269" i="2827"/>
  <c r="M268" i="2827"/>
  <c r="L268" i="2827"/>
  <c r="K268" i="2827"/>
  <c r="J268" i="2827"/>
  <c r="I268" i="2827"/>
  <c r="H268" i="2827"/>
  <c r="G268" i="2827"/>
  <c r="F268" i="2827"/>
  <c r="E268" i="2827"/>
  <c r="D268" i="2827" s="1"/>
  <c r="C268" i="2827"/>
  <c r="B268" i="2827"/>
  <c r="A268" i="2827"/>
  <c r="M267" i="2827"/>
  <c r="L267" i="2827"/>
  <c r="K267" i="2827"/>
  <c r="J267" i="2827"/>
  <c r="I267" i="2827"/>
  <c r="H267" i="2827"/>
  <c r="G267" i="2827"/>
  <c r="F267" i="2827"/>
  <c r="E267" i="2827"/>
  <c r="D267" i="2827" s="1"/>
  <c r="C267" i="2827"/>
  <c r="B267" i="2827"/>
  <c r="A267" i="2827"/>
  <c r="M266" i="2827"/>
  <c r="L266" i="2827"/>
  <c r="K266" i="2827"/>
  <c r="J266" i="2827"/>
  <c r="I266" i="2827"/>
  <c r="H266" i="2827"/>
  <c r="G266" i="2827"/>
  <c r="F266" i="2827"/>
  <c r="E266" i="2827"/>
  <c r="D266" i="2827" s="1"/>
  <c r="C266" i="2827"/>
  <c r="B266" i="2827"/>
  <c r="A266" i="2827"/>
  <c r="M265" i="2827"/>
  <c r="L265" i="2827"/>
  <c r="K265" i="2827"/>
  <c r="J265" i="2827"/>
  <c r="I265" i="2827"/>
  <c r="H265" i="2827"/>
  <c r="G265" i="2827"/>
  <c r="F265" i="2827"/>
  <c r="E265" i="2827"/>
  <c r="D265" i="2827" s="1"/>
  <c r="C265" i="2827"/>
  <c r="B265" i="2827"/>
  <c r="A265" i="2827"/>
  <c r="M264" i="2827"/>
  <c r="L264" i="2827"/>
  <c r="K264" i="2827"/>
  <c r="J264" i="2827"/>
  <c r="I264" i="2827"/>
  <c r="H264" i="2827"/>
  <c r="G264" i="2827"/>
  <c r="F264" i="2827"/>
  <c r="E264" i="2827"/>
  <c r="D264" i="2827" s="1"/>
  <c r="C264" i="2827"/>
  <c r="B264" i="2827"/>
  <c r="A264" i="2827"/>
  <c r="M263" i="2827"/>
  <c r="L263" i="2827"/>
  <c r="K263" i="2827"/>
  <c r="J263" i="2827"/>
  <c r="I263" i="2827"/>
  <c r="H263" i="2827"/>
  <c r="G263" i="2827"/>
  <c r="F263" i="2827"/>
  <c r="E263" i="2827"/>
  <c r="D263" i="2827" s="1"/>
  <c r="C263" i="2827"/>
  <c r="B263" i="2827"/>
  <c r="A263" i="2827"/>
  <c r="M262" i="2827"/>
  <c r="L262" i="2827"/>
  <c r="K262" i="2827"/>
  <c r="J262" i="2827"/>
  <c r="I262" i="2827"/>
  <c r="H262" i="2827"/>
  <c r="G262" i="2827"/>
  <c r="F262" i="2827"/>
  <c r="E262" i="2827"/>
  <c r="D262" i="2827" s="1"/>
  <c r="C262" i="2827"/>
  <c r="B262" i="2827"/>
  <c r="A262" i="2827"/>
  <c r="M261" i="2827"/>
  <c r="L261" i="2827"/>
  <c r="K261" i="2827"/>
  <c r="J261" i="2827"/>
  <c r="I261" i="2827"/>
  <c r="H261" i="2827"/>
  <c r="G261" i="2827"/>
  <c r="F261" i="2827"/>
  <c r="E261" i="2827"/>
  <c r="D261" i="2827" s="1"/>
  <c r="C261" i="2827"/>
  <c r="B261" i="2827"/>
  <c r="A261" i="2827"/>
  <c r="M260" i="2827"/>
  <c r="L260" i="2827"/>
  <c r="K260" i="2827"/>
  <c r="J260" i="2827"/>
  <c r="I260" i="2827"/>
  <c r="H260" i="2827"/>
  <c r="G260" i="2827"/>
  <c r="F260" i="2827"/>
  <c r="E260" i="2827"/>
  <c r="D260" i="2827" s="1"/>
  <c r="C260" i="2827"/>
  <c r="B260" i="2827"/>
  <c r="A260" i="2827"/>
  <c r="M259" i="2827"/>
  <c r="L259" i="2827"/>
  <c r="K259" i="2827"/>
  <c r="J259" i="2827"/>
  <c r="I259" i="2827"/>
  <c r="H259" i="2827"/>
  <c r="G259" i="2827"/>
  <c r="F259" i="2827"/>
  <c r="E259" i="2827"/>
  <c r="D259" i="2827" s="1"/>
  <c r="C259" i="2827"/>
  <c r="B259" i="2827"/>
  <c r="A259" i="2827"/>
  <c r="M258" i="2827"/>
  <c r="L258" i="2827"/>
  <c r="K258" i="2827"/>
  <c r="J258" i="2827"/>
  <c r="I258" i="2827"/>
  <c r="H258" i="2827"/>
  <c r="G258" i="2827"/>
  <c r="F258" i="2827"/>
  <c r="E258" i="2827"/>
  <c r="D258" i="2827" s="1"/>
  <c r="C258" i="2827"/>
  <c r="B258" i="2827"/>
  <c r="A258" i="2827"/>
  <c r="M257" i="2827"/>
  <c r="L257" i="2827"/>
  <c r="K257" i="2827"/>
  <c r="J257" i="2827"/>
  <c r="I257" i="2827"/>
  <c r="H257" i="2827"/>
  <c r="G257" i="2827"/>
  <c r="F257" i="2827"/>
  <c r="E257" i="2827"/>
  <c r="D257" i="2827" s="1"/>
  <c r="C257" i="2827"/>
  <c r="B257" i="2827"/>
  <c r="A257" i="2827"/>
  <c r="M256" i="2827"/>
  <c r="L256" i="2827"/>
  <c r="K256" i="2827"/>
  <c r="J256" i="2827"/>
  <c r="I256" i="2827"/>
  <c r="H256" i="2827"/>
  <c r="G256" i="2827"/>
  <c r="F256" i="2827"/>
  <c r="E256" i="2827"/>
  <c r="D256" i="2827" s="1"/>
  <c r="C256" i="2827"/>
  <c r="B256" i="2827"/>
  <c r="A256" i="2827"/>
  <c r="M255" i="2827"/>
  <c r="L255" i="2827"/>
  <c r="K255" i="2827"/>
  <c r="J255" i="2827"/>
  <c r="I255" i="2827"/>
  <c r="H255" i="2827"/>
  <c r="G255" i="2827"/>
  <c r="F255" i="2827"/>
  <c r="E255" i="2827"/>
  <c r="D255" i="2827" s="1"/>
  <c r="C255" i="2827"/>
  <c r="B255" i="2827"/>
  <c r="A255" i="2827"/>
  <c r="M254" i="2827"/>
  <c r="L254" i="2827"/>
  <c r="K254" i="2827"/>
  <c r="J254" i="2827"/>
  <c r="I254" i="2827"/>
  <c r="H254" i="2827"/>
  <c r="G254" i="2827"/>
  <c r="F254" i="2827"/>
  <c r="E254" i="2827"/>
  <c r="D254" i="2827" s="1"/>
  <c r="C254" i="2827"/>
  <c r="B254" i="2827"/>
  <c r="A254" i="2827"/>
  <c r="M253" i="2827"/>
  <c r="L253" i="2827"/>
  <c r="K253" i="2827"/>
  <c r="J253" i="2827"/>
  <c r="I253" i="2827"/>
  <c r="H253" i="2827"/>
  <c r="G253" i="2827"/>
  <c r="F253" i="2827"/>
  <c r="E253" i="2827"/>
  <c r="D253" i="2827" s="1"/>
  <c r="C253" i="2827"/>
  <c r="B253" i="2827"/>
  <c r="A253" i="2827"/>
  <c r="M252" i="2827"/>
  <c r="L252" i="2827"/>
  <c r="K252" i="2827"/>
  <c r="J252" i="2827"/>
  <c r="I252" i="2827"/>
  <c r="H252" i="2827"/>
  <c r="G252" i="2827"/>
  <c r="F252" i="2827"/>
  <c r="E252" i="2827"/>
  <c r="D252" i="2827" s="1"/>
  <c r="C252" i="2827"/>
  <c r="B252" i="2827"/>
  <c r="A252" i="2827"/>
  <c r="M251" i="2827"/>
  <c r="L251" i="2827"/>
  <c r="K251" i="2827"/>
  <c r="J251" i="2827"/>
  <c r="I251" i="2827"/>
  <c r="H251" i="2827"/>
  <c r="G251" i="2827"/>
  <c r="F251" i="2827"/>
  <c r="E251" i="2827"/>
  <c r="D251" i="2827" s="1"/>
  <c r="C251" i="2827"/>
  <c r="B251" i="2827"/>
  <c r="A251" i="2827"/>
  <c r="M250" i="2827"/>
  <c r="L250" i="2827"/>
  <c r="K250" i="2827"/>
  <c r="J250" i="2827"/>
  <c r="I250" i="2827"/>
  <c r="H250" i="2827"/>
  <c r="G250" i="2827"/>
  <c r="F250" i="2827"/>
  <c r="E250" i="2827"/>
  <c r="D250" i="2827" s="1"/>
  <c r="C250" i="2827"/>
  <c r="B250" i="2827"/>
  <c r="A250" i="2827"/>
  <c r="M249" i="2827"/>
  <c r="L249" i="2827"/>
  <c r="K249" i="2827"/>
  <c r="J249" i="2827"/>
  <c r="I249" i="2827"/>
  <c r="H249" i="2827"/>
  <c r="G249" i="2827"/>
  <c r="F249" i="2827"/>
  <c r="E249" i="2827"/>
  <c r="D249" i="2827" s="1"/>
  <c r="C249" i="2827"/>
  <c r="B249" i="2827"/>
  <c r="A249" i="2827"/>
  <c r="M248" i="2827"/>
  <c r="L248" i="2827"/>
  <c r="K248" i="2827"/>
  <c r="J248" i="2827"/>
  <c r="I248" i="2827"/>
  <c r="H248" i="2827"/>
  <c r="G248" i="2827"/>
  <c r="F248" i="2827"/>
  <c r="E248" i="2827"/>
  <c r="D248" i="2827" s="1"/>
  <c r="C248" i="2827"/>
  <c r="B248" i="2827"/>
  <c r="A248" i="2827"/>
  <c r="M247" i="2827"/>
  <c r="L247" i="2827"/>
  <c r="K247" i="2827"/>
  <c r="J247" i="2827"/>
  <c r="I247" i="2827"/>
  <c r="H247" i="2827"/>
  <c r="G247" i="2827"/>
  <c r="F247" i="2827"/>
  <c r="E247" i="2827"/>
  <c r="D247" i="2827" s="1"/>
  <c r="C247" i="2827"/>
  <c r="B247" i="2827"/>
  <c r="A247" i="2827"/>
  <c r="M246" i="2827"/>
  <c r="L246" i="2827"/>
  <c r="K246" i="2827"/>
  <c r="J246" i="2827"/>
  <c r="I246" i="2827"/>
  <c r="H246" i="2827"/>
  <c r="G246" i="2827"/>
  <c r="F246" i="2827"/>
  <c r="E246" i="2827"/>
  <c r="D246" i="2827" s="1"/>
  <c r="C246" i="2827"/>
  <c r="B246" i="2827"/>
  <c r="A246" i="2827"/>
  <c r="M245" i="2827"/>
  <c r="L245" i="2827"/>
  <c r="K245" i="2827"/>
  <c r="J245" i="2827"/>
  <c r="I245" i="2827"/>
  <c r="H245" i="2827"/>
  <c r="G245" i="2827"/>
  <c r="F245" i="2827"/>
  <c r="E245" i="2827"/>
  <c r="D245" i="2827" s="1"/>
  <c r="C245" i="2827"/>
  <c r="B245" i="2827"/>
  <c r="A245" i="2827"/>
  <c r="M244" i="2827"/>
  <c r="L244" i="2827"/>
  <c r="K244" i="2827"/>
  <c r="J244" i="2827"/>
  <c r="I244" i="2827"/>
  <c r="H244" i="2827"/>
  <c r="G244" i="2827"/>
  <c r="F244" i="2827"/>
  <c r="E244" i="2827"/>
  <c r="D244" i="2827" s="1"/>
  <c r="C244" i="2827"/>
  <c r="B244" i="2827"/>
  <c r="A244" i="2827"/>
  <c r="M243" i="2827"/>
  <c r="L243" i="2827"/>
  <c r="K243" i="2827"/>
  <c r="J243" i="2827"/>
  <c r="I243" i="2827"/>
  <c r="H243" i="2827"/>
  <c r="G243" i="2827"/>
  <c r="F243" i="2827"/>
  <c r="E243" i="2827"/>
  <c r="D243" i="2827" s="1"/>
  <c r="C243" i="2827"/>
  <c r="B243" i="2827"/>
  <c r="A243" i="2827"/>
  <c r="M242" i="2827"/>
  <c r="L242" i="2827"/>
  <c r="K242" i="2827"/>
  <c r="J242" i="2827"/>
  <c r="I242" i="2827"/>
  <c r="H242" i="2827"/>
  <c r="G242" i="2827"/>
  <c r="F242" i="2827"/>
  <c r="E242" i="2827"/>
  <c r="D242" i="2827" s="1"/>
  <c r="C242" i="2827"/>
  <c r="B242" i="2827"/>
  <c r="A242" i="2827"/>
  <c r="M241" i="2827"/>
  <c r="L241" i="2827"/>
  <c r="K241" i="2827"/>
  <c r="J241" i="2827"/>
  <c r="I241" i="2827"/>
  <c r="H241" i="2827"/>
  <c r="G241" i="2827"/>
  <c r="F241" i="2827"/>
  <c r="E241" i="2827"/>
  <c r="D241" i="2827" s="1"/>
  <c r="C241" i="2827"/>
  <c r="B241" i="2827"/>
  <c r="A241" i="2827"/>
  <c r="M240" i="2827"/>
  <c r="L240" i="2827"/>
  <c r="K240" i="2827"/>
  <c r="J240" i="2827"/>
  <c r="I240" i="2827"/>
  <c r="H240" i="2827"/>
  <c r="G240" i="2827"/>
  <c r="F240" i="2827"/>
  <c r="E240" i="2827"/>
  <c r="D240" i="2827" s="1"/>
  <c r="C240" i="2827"/>
  <c r="B240" i="2827"/>
  <c r="A240" i="2827"/>
  <c r="M239" i="2827"/>
  <c r="L239" i="2827"/>
  <c r="K239" i="2827"/>
  <c r="J239" i="2827"/>
  <c r="I239" i="2827"/>
  <c r="H239" i="2827"/>
  <c r="G239" i="2827"/>
  <c r="F239" i="2827"/>
  <c r="E239" i="2827"/>
  <c r="D239" i="2827" s="1"/>
  <c r="C239" i="2827"/>
  <c r="B239" i="2827"/>
  <c r="A239" i="2827"/>
  <c r="M238" i="2827"/>
  <c r="L238" i="2827"/>
  <c r="K238" i="2827"/>
  <c r="J238" i="2827"/>
  <c r="I238" i="2827"/>
  <c r="H238" i="2827"/>
  <c r="G238" i="2827"/>
  <c r="F238" i="2827"/>
  <c r="E238" i="2827"/>
  <c r="D238" i="2827" s="1"/>
  <c r="C238" i="2827"/>
  <c r="B238" i="2827"/>
  <c r="A238" i="2827"/>
  <c r="M237" i="2827"/>
  <c r="L237" i="2827"/>
  <c r="K237" i="2827"/>
  <c r="J237" i="2827"/>
  <c r="I237" i="2827"/>
  <c r="H237" i="2827"/>
  <c r="G237" i="2827"/>
  <c r="F237" i="2827"/>
  <c r="E237" i="2827"/>
  <c r="D237" i="2827" s="1"/>
  <c r="C237" i="2827"/>
  <c r="B237" i="2827"/>
  <c r="A237" i="2827"/>
  <c r="M236" i="2827"/>
  <c r="L236" i="2827"/>
  <c r="K236" i="2827"/>
  <c r="J236" i="2827"/>
  <c r="I236" i="2827"/>
  <c r="H236" i="2827"/>
  <c r="G236" i="2827"/>
  <c r="F236" i="2827"/>
  <c r="E236" i="2827"/>
  <c r="D236" i="2827" s="1"/>
  <c r="C236" i="2827"/>
  <c r="B236" i="2827"/>
  <c r="A236" i="2827"/>
  <c r="M235" i="2827"/>
  <c r="L235" i="2827"/>
  <c r="K235" i="2827"/>
  <c r="J235" i="2827"/>
  <c r="I235" i="2827"/>
  <c r="H235" i="2827"/>
  <c r="G235" i="2827"/>
  <c r="F235" i="2827"/>
  <c r="E235" i="2827"/>
  <c r="D235" i="2827" s="1"/>
  <c r="C235" i="2827"/>
  <c r="B235" i="2827"/>
  <c r="A235" i="2827"/>
  <c r="M234" i="2827"/>
  <c r="L234" i="2827"/>
  <c r="K234" i="2827"/>
  <c r="J234" i="2827"/>
  <c r="I234" i="2827"/>
  <c r="H234" i="2827"/>
  <c r="G234" i="2827"/>
  <c r="F234" i="2827"/>
  <c r="E234" i="2827"/>
  <c r="D234" i="2827" s="1"/>
  <c r="C234" i="2827"/>
  <c r="B234" i="2827"/>
  <c r="A234" i="2827"/>
  <c r="M233" i="2827"/>
  <c r="L233" i="2827"/>
  <c r="K233" i="2827"/>
  <c r="J233" i="2827"/>
  <c r="I233" i="2827"/>
  <c r="H233" i="2827"/>
  <c r="G233" i="2827"/>
  <c r="F233" i="2827"/>
  <c r="E233" i="2827"/>
  <c r="D233" i="2827" s="1"/>
  <c r="C233" i="2827"/>
  <c r="B233" i="2827"/>
  <c r="A233" i="2827"/>
  <c r="M232" i="2827"/>
  <c r="L232" i="2827"/>
  <c r="K232" i="2827"/>
  <c r="J232" i="2827"/>
  <c r="I232" i="2827"/>
  <c r="H232" i="2827"/>
  <c r="G232" i="2827"/>
  <c r="F232" i="2827"/>
  <c r="E232" i="2827"/>
  <c r="D232" i="2827" s="1"/>
  <c r="C232" i="2827"/>
  <c r="B232" i="2827"/>
  <c r="A232" i="2827"/>
  <c r="M231" i="2827"/>
  <c r="L231" i="2827"/>
  <c r="K231" i="2827"/>
  <c r="J231" i="2827"/>
  <c r="I231" i="2827"/>
  <c r="H231" i="2827"/>
  <c r="G231" i="2827"/>
  <c r="F231" i="2827"/>
  <c r="E231" i="2827"/>
  <c r="D231" i="2827" s="1"/>
  <c r="C231" i="2827"/>
  <c r="B231" i="2827"/>
  <c r="A231" i="2827"/>
  <c r="M230" i="2827"/>
  <c r="L230" i="2827"/>
  <c r="K230" i="2827"/>
  <c r="J230" i="2827"/>
  <c r="I230" i="2827"/>
  <c r="H230" i="2827"/>
  <c r="G230" i="2827"/>
  <c r="F230" i="2827"/>
  <c r="E230" i="2827"/>
  <c r="D230" i="2827" s="1"/>
  <c r="C230" i="2827"/>
  <c r="B230" i="2827"/>
  <c r="A230" i="2827"/>
  <c r="M229" i="2827"/>
  <c r="L229" i="2827"/>
  <c r="K229" i="2827"/>
  <c r="J229" i="2827"/>
  <c r="I229" i="2827"/>
  <c r="H229" i="2827"/>
  <c r="G229" i="2827"/>
  <c r="F229" i="2827"/>
  <c r="E229" i="2827"/>
  <c r="D229" i="2827" s="1"/>
  <c r="C229" i="2827"/>
  <c r="B229" i="2827"/>
  <c r="A229" i="2827"/>
  <c r="M228" i="2827"/>
  <c r="L228" i="2827"/>
  <c r="K228" i="2827"/>
  <c r="J228" i="2827"/>
  <c r="I228" i="2827"/>
  <c r="H228" i="2827"/>
  <c r="G228" i="2827"/>
  <c r="F228" i="2827"/>
  <c r="E228" i="2827"/>
  <c r="D228" i="2827" s="1"/>
  <c r="C228" i="2827"/>
  <c r="B228" i="2827"/>
  <c r="A228" i="2827"/>
  <c r="M227" i="2827"/>
  <c r="L227" i="2827"/>
  <c r="K227" i="2827"/>
  <c r="J227" i="2827"/>
  <c r="I227" i="2827"/>
  <c r="H227" i="2827"/>
  <c r="G227" i="2827"/>
  <c r="F227" i="2827"/>
  <c r="E227" i="2827"/>
  <c r="D227" i="2827" s="1"/>
  <c r="C227" i="2827"/>
  <c r="B227" i="2827"/>
  <c r="A227" i="2827"/>
  <c r="M226" i="2827"/>
  <c r="L226" i="2827"/>
  <c r="K226" i="2827"/>
  <c r="J226" i="2827"/>
  <c r="I226" i="2827"/>
  <c r="H226" i="2827"/>
  <c r="G226" i="2827"/>
  <c r="F226" i="2827"/>
  <c r="E226" i="2827"/>
  <c r="D226" i="2827" s="1"/>
  <c r="C226" i="2827"/>
  <c r="B226" i="2827"/>
  <c r="A226" i="2827"/>
  <c r="M225" i="2827"/>
  <c r="L225" i="2827"/>
  <c r="K225" i="2827"/>
  <c r="J225" i="2827"/>
  <c r="I225" i="2827"/>
  <c r="H225" i="2827"/>
  <c r="G225" i="2827"/>
  <c r="F225" i="2827"/>
  <c r="E225" i="2827"/>
  <c r="D225" i="2827" s="1"/>
  <c r="C225" i="2827"/>
  <c r="B225" i="2827"/>
  <c r="A225" i="2827"/>
  <c r="M224" i="2827"/>
  <c r="L224" i="2827"/>
  <c r="K224" i="2827"/>
  <c r="J224" i="2827"/>
  <c r="I224" i="2827"/>
  <c r="H224" i="2827"/>
  <c r="G224" i="2827"/>
  <c r="F224" i="2827"/>
  <c r="E224" i="2827"/>
  <c r="D224" i="2827" s="1"/>
  <c r="C224" i="2827"/>
  <c r="B224" i="2827"/>
  <c r="A224" i="2827"/>
  <c r="M223" i="2827"/>
  <c r="L223" i="2827"/>
  <c r="K223" i="2827"/>
  <c r="J223" i="2827"/>
  <c r="I223" i="2827"/>
  <c r="H223" i="2827"/>
  <c r="G223" i="2827"/>
  <c r="F223" i="2827"/>
  <c r="E223" i="2827"/>
  <c r="D223" i="2827" s="1"/>
  <c r="C223" i="2827"/>
  <c r="B223" i="2827"/>
  <c r="A223" i="2827"/>
  <c r="M222" i="2827"/>
  <c r="L222" i="2827"/>
  <c r="K222" i="2827"/>
  <c r="J222" i="2827"/>
  <c r="I222" i="2827"/>
  <c r="H222" i="2827"/>
  <c r="G222" i="2827"/>
  <c r="F222" i="2827"/>
  <c r="E222" i="2827"/>
  <c r="D222" i="2827" s="1"/>
  <c r="C222" i="2827"/>
  <c r="B222" i="2827"/>
  <c r="A222" i="2827"/>
  <c r="M221" i="2827"/>
  <c r="L221" i="2827"/>
  <c r="K221" i="2827"/>
  <c r="J221" i="2827"/>
  <c r="I221" i="2827"/>
  <c r="H221" i="2827"/>
  <c r="G221" i="2827"/>
  <c r="F221" i="2827"/>
  <c r="E221" i="2827"/>
  <c r="D221" i="2827" s="1"/>
  <c r="C221" i="2827"/>
  <c r="B221" i="2827"/>
  <c r="A221" i="2827"/>
  <c r="M220" i="2827"/>
  <c r="L220" i="2827"/>
  <c r="K220" i="2827"/>
  <c r="J220" i="2827"/>
  <c r="I220" i="2827"/>
  <c r="H220" i="2827"/>
  <c r="G220" i="2827"/>
  <c r="F220" i="2827"/>
  <c r="E220" i="2827"/>
  <c r="D220" i="2827" s="1"/>
  <c r="C220" i="2827"/>
  <c r="B220" i="2827"/>
  <c r="A220" i="2827"/>
  <c r="M219" i="2827"/>
  <c r="L219" i="2827"/>
  <c r="K219" i="2827"/>
  <c r="J219" i="2827"/>
  <c r="I219" i="2827"/>
  <c r="H219" i="2827"/>
  <c r="G219" i="2827"/>
  <c r="F219" i="2827"/>
  <c r="E219" i="2827"/>
  <c r="D219" i="2827" s="1"/>
  <c r="C219" i="2827"/>
  <c r="B219" i="2827"/>
  <c r="A219" i="2827"/>
  <c r="M218" i="2827"/>
  <c r="L218" i="2827"/>
  <c r="K218" i="2827"/>
  <c r="J218" i="2827"/>
  <c r="I218" i="2827"/>
  <c r="H218" i="2827"/>
  <c r="G218" i="2827"/>
  <c r="F218" i="2827"/>
  <c r="E218" i="2827"/>
  <c r="D218" i="2827" s="1"/>
  <c r="C218" i="2827"/>
  <c r="B218" i="2827"/>
  <c r="A218" i="2827"/>
  <c r="M217" i="2827"/>
  <c r="L217" i="2827"/>
  <c r="K217" i="2827"/>
  <c r="J217" i="2827"/>
  <c r="I217" i="2827"/>
  <c r="H217" i="2827"/>
  <c r="G217" i="2827"/>
  <c r="F217" i="2827"/>
  <c r="E217" i="2827"/>
  <c r="D217" i="2827" s="1"/>
  <c r="C217" i="2827"/>
  <c r="B217" i="2827"/>
  <c r="A217" i="2827"/>
  <c r="M216" i="2827"/>
  <c r="L216" i="2827"/>
  <c r="K216" i="2827"/>
  <c r="J216" i="2827"/>
  <c r="I216" i="2827"/>
  <c r="H216" i="2827"/>
  <c r="G216" i="2827"/>
  <c r="F216" i="2827"/>
  <c r="E216" i="2827"/>
  <c r="D216" i="2827" s="1"/>
  <c r="C216" i="2827"/>
  <c r="B216" i="2827"/>
  <c r="A216" i="2827"/>
  <c r="M215" i="2827"/>
  <c r="L215" i="2827"/>
  <c r="K215" i="2827"/>
  <c r="J215" i="2827"/>
  <c r="I215" i="2827"/>
  <c r="H215" i="2827"/>
  <c r="G215" i="2827"/>
  <c r="F215" i="2827"/>
  <c r="E215" i="2827"/>
  <c r="D215" i="2827" s="1"/>
  <c r="C215" i="2827"/>
  <c r="B215" i="2827"/>
  <c r="A215" i="2827"/>
  <c r="M214" i="2827"/>
  <c r="L214" i="2827"/>
  <c r="K214" i="2827"/>
  <c r="J214" i="2827"/>
  <c r="I214" i="2827"/>
  <c r="H214" i="2827"/>
  <c r="G214" i="2827"/>
  <c r="F214" i="2827"/>
  <c r="E214" i="2827"/>
  <c r="D214" i="2827" s="1"/>
  <c r="C214" i="2827"/>
  <c r="B214" i="2827"/>
  <c r="A214" i="2827"/>
  <c r="M213" i="2827"/>
  <c r="L213" i="2827"/>
  <c r="K213" i="2827"/>
  <c r="J213" i="2827"/>
  <c r="I213" i="2827"/>
  <c r="H213" i="2827"/>
  <c r="G213" i="2827"/>
  <c r="F213" i="2827"/>
  <c r="E213" i="2827"/>
  <c r="D213" i="2827" s="1"/>
  <c r="C213" i="2827"/>
  <c r="B213" i="2827"/>
  <c r="A213" i="2827"/>
  <c r="M212" i="2827"/>
  <c r="L212" i="2827"/>
  <c r="K212" i="2827"/>
  <c r="J212" i="2827"/>
  <c r="I212" i="2827"/>
  <c r="H212" i="2827"/>
  <c r="G212" i="2827"/>
  <c r="F212" i="2827"/>
  <c r="E212" i="2827"/>
  <c r="D212" i="2827" s="1"/>
  <c r="C212" i="2827"/>
  <c r="B212" i="2827"/>
  <c r="A212" i="2827"/>
  <c r="M211" i="2827"/>
  <c r="L211" i="2827"/>
  <c r="K211" i="2827"/>
  <c r="J211" i="2827"/>
  <c r="I211" i="2827"/>
  <c r="H211" i="2827"/>
  <c r="G211" i="2827"/>
  <c r="F211" i="2827"/>
  <c r="E211" i="2827"/>
  <c r="D211" i="2827" s="1"/>
  <c r="C211" i="2827"/>
  <c r="B211" i="2827"/>
  <c r="A211" i="2827"/>
  <c r="M210" i="2827"/>
  <c r="L210" i="2827"/>
  <c r="K210" i="2827"/>
  <c r="J210" i="2827"/>
  <c r="I210" i="2827"/>
  <c r="H210" i="2827"/>
  <c r="G210" i="2827"/>
  <c r="F210" i="2827"/>
  <c r="E210" i="2827"/>
  <c r="D210" i="2827" s="1"/>
  <c r="C210" i="2827"/>
  <c r="B210" i="2827"/>
  <c r="A210" i="2827"/>
  <c r="M209" i="2827"/>
  <c r="L209" i="2827"/>
  <c r="K209" i="2827"/>
  <c r="J209" i="2827"/>
  <c r="I209" i="2827"/>
  <c r="H209" i="2827"/>
  <c r="G209" i="2827"/>
  <c r="F209" i="2827"/>
  <c r="E209" i="2827"/>
  <c r="D209" i="2827" s="1"/>
  <c r="C209" i="2827"/>
  <c r="B209" i="2827"/>
  <c r="A209" i="2827"/>
  <c r="M208" i="2827"/>
  <c r="L208" i="2827"/>
  <c r="K208" i="2827"/>
  <c r="J208" i="2827"/>
  <c r="I208" i="2827"/>
  <c r="H208" i="2827"/>
  <c r="G208" i="2827"/>
  <c r="F208" i="2827"/>
  <c r="E208" i="2827"/>
  <c r="D208" i="2827" s="1"/>
  <c r="C208" i="2827"/>
  <c r="B208" i="2827"/>
  <c r="A208" i="2827"/>
  <c r="M207" i="2827"/>
  <c r="L207" i="2827"/>
  <c r="K207" i="2827"/>
  <c r="J207" i="2827"/>
  <c r="I207" i="2827"/>
  <c r="H207" i="2827"/>
  <c r="G207" i="2827"/>
  <c r="F207" i="2827"/>
  <c r="E207" i="2827"/>
  <c r="D207" i="2827" s="1"/>
  <c r="C207" i="2827"/>
  <c r="B207" i="2827"/>
  <c r="A207" i="2827"/>
  <c r="M206" i="2827"/>
  <c r="L206" i="2827"/>
  <c r="K206" i="2827"/>
  <c r="J206" i="2827"/>
  <c r="I206" i="2827"/>
  <c r="H206" i="2827"/>
  <c r="G206" i="2827"/>
  <c r="F206" i="2827"/>
  <c r="E206" i="2827"/>
  <c r="D206" i="2827" s="1"/>
  <c r="C206" i="2827"/>
  <c r="B206" i="2827"/>
  <c r="A206" i="2827"/>
  <c r="M205" i="2827"/>
  <c r="L205" i="2827"/>
  <c r="K205" i="2827"/>
  <c r="J205" i="2827"/>
  <c r="I205" i="2827"/>
  <c r="H205" i="2827"/>
  <c r="G205" i="2827"/>
  <c r="F205" i="2827"/>
  <c r="E205" i="2827"/>
  <c r="D205" i="2827" s="1"/>
  <c r="C205" i="2827"/>
  <c r="B205" i="2827"/>
  <c r="A205" i="2827"/>
  <c r="M204" i="2827"/>
  <c r="L204" i="2827"/>
  <c r="K204" i="2827"/>
  <c r="J204" i="2827"/>
  <c r="I204" i="2827"/>
  <c r="H204" i="2827"/>
  <c r="G204" i="2827"/>
  <c r="F204" i="2827"/>
  <c r="E204" i="2827"/>
  <c r="D204" i="2827" s="1"/>
  <c r="C204" i="2827"/>
  <c r="B204" i="2827"/>
  <c r="A204" i="2827"/>
  <c r="M203" i="2827"/>
  <c r="L203" i="2827"/>
  <c r="K203" i="2827"/>
  <c r="J203" i="2827"/>
  <c r="I203" i="2827"/>
  <c r="H203" i="2827"/>
  <c r="G203" i="2827"/>
  <c r="F203" i="2827"/>
  <c r="E203" i="2827"/>
  <c r="D203" i="2827" s="1"/>
  <c r="C203" i="2827"/>
  <c r="B203" i="2827"/>
  <c r="A203" i="2827"/>
  <c r="M202" i="2827"/>
  <c r="L202" i="2827"/>
  <c r="K202" i="2827"/>
  <c r="J202" i="2827"/>
  <c r="I202" i="2827"/>
  <c r="H202" i="2827"/>
  <c r="G202" i="2827"/>
  <c r="F202" i="2827"/>
  <c r="E202" i="2827"/>
  <c r="D202" i="2827" s="1"/>
  <c r="C202" i="2827"/>
  <c r="B202" i="2827"/>
  <c r="A202" i="2827"/>
  <c r="M201" i="2827"/>
  <c r="L201" i="2827"/>
  <c r="K201" i="2827"/>
  <c r="J201" i="2827"/>
  <c r="I201" i="2827"/>
  <c r="H201" i="2827"/>
  <c r="G201" i="2827"/>
  <c r="F201" i="2827"/>
  <c r="E201" i="2827"/>
  <c r="D201" i="2827" s="1"/>
  <c r="C201" i="2827"/>
  <c r="B201" i="2827"/>
  <c r="A201" i="2827"/>
  <c r="M200" i="2827"/>
  <c r="L200" i="2827"/>
  <c r="K200" i="2827"/>
  <c r="J200" i="2827"/>
  <c r="I200" i="2827"/>
  <c r="H200" i="2827"/>
  <c r="G200" i="2827"/>
  <c r="F200" i="2827"/>
  <c r="E200" i="2827"/>
  <c r="D200" i="2827" s="1"/>
  <c r="C200" i="2827"/>
  <c r="B200" i="2827"/>
  <c r="A200" i="2827"/>
  <c r="M199" i="2827"/>
  <c r="L199" i="2827"/>
  <c r="K199" i="2827"/>
  <c r="J199" i="2827"/>
  <c r="I199" i="2827"/>
  <c r="H199" i="2827"/>
  <c r="G199" i="2827"/>
  <c r="F199" i="2827"/>
  <c r="E199" i="2827"/>
  <c r="D199" i="2827" s="1"/>
  <c r="C199" i="2827"/>
  <c r="B199" i="2827"/>
  <c r="A199" i="2827"/>
  <c r="M198" i="2827"/>
  <c r="L198" i="2827"/>
  <c r="K198" i="2827"/>
  <c r="J198" i="2827"/>
  <c r="I198" i="2827"/>
  <c r="H198" i="2827"/>
  <c r="G198" i="2827"/>
  <c r="F198" i="2827"/>
  <c r="E198" i="2827"/>
  <c r="D198" i="2827" s="1"/>
  <c r="C198" i="2827"/>
  <c r="B198" i="2827"/>
  <c r="A198" i="2827"/>
  <c r="M197" i="2827"/>
  <c r="L197" i="2827"/>
  <c r="K197" i="2827"/>
  <c r="J197" i="2827"/>
  <c r="I197" i="2827"/>
  <c r="H197" i="2827"/>
  <c r="G197" i="2827"/>
  <c r="F197" i="2827"/>
  <c r="E197" i="2827"/>
  <c r="D197" i="2827" s="1"/>
  <c r="C197" i="2827"/>
  <c r="B197" i="2827"/>
  <c r="A197" i="2827"/>
  <c r="N241" i="2827" l="1"/>
  <c r="N242" i="2827"/>
  <c r="N243" i="2827"/>
  <c r="N244" i="2827"/>
  <c r="N245" i="2827"/>
  <c r="N246" i="2827"/>
  <c r="N247" i="2827"/>
  <c r="N248" i="2827"/>
  <c r="N249" i="2827"/>
  <c r="N250" i="2827"/>
  <c r="N251" i="2827"/>
  <c r="N252" i="2827"/>
  <c r="N253" i="2827"/>
  <c r="N254" i="2827"/>
  <c r="N255" i="2827"/>
  <c r="N256" i="2827"/>
  <c r="N257" i="2827"/>
  <c r="N258" i="2827"/>
  <c r="N259" i="2827"/>
  <c r="N260" i="2827"/>
  <c r="N261" i="2827"/>
  <c r="N262" i="2827"/>
  <c r="N263" i="2827"/>
  <c r="N264" i="2827"/>
  <c r="N265" i="2827"/>
  <c r="N266" i="2827"/>
  <c r="N267" i="2827"/>
  <c r="N268" i="2827"/>
  <c r="N269" i="2827"/>
  <c r="N270" i="2827"/>
  <c r="N271" i="2827"/>
  <c r="N272" i="2827"/>
  <c r="N273" i="2827"/>
  <c r="N274" i="2827"/>
  <c r="N275" i="2827"/>
  <c r="N276" i="2827"/>
  <c r="N277" i="2827"/>
  <c r="N278" i="2827"/>
  <c r="N197" i="2827"/>
  <c r="N229" i="2827"/>
  <c r="N213" i="2827"/>
  <c r="N205" i="2827"/>
  <c r="N221" i="2827"/>
  <c r="N201" i="2827"/>
  <c r="N209" i="2827"/>
  <c r="N217" i="2827"/>
  <c r="N225" i="2827"/>
  <c r="N233" i="2827"/>
  <c r="N199" i="2827"/>
  <c r="N203" i="2827"/>
  <c r="N207" i="2827"/>
  <c r="N211" i="2827"/>
  <c r="N215" i="2827"/>
  <c r="N219" i="2827"/>
  <c r="N223" i="2827"/>
  <c r="N227" i="2827"/>
  <c r="N231" i="2827"/>
  <c r="N235" i="2827"/>
  <c r="N240" i="2827"/>
  <c r="N198" i="2827"/>
  <c r="N200" i="2827"/>
  <c r="N202" i="2827"/>
  <c r="N204" i="2827"/>
  <c r="N206" i="2827"/>
  <c r="N208" i="2827"/>
  <c r="N210" i="2827"/>
  <c r="N212" i="2827"/>
  <c r="N214" i="2827"/>
  <c r="N216" i="2827"/>
  <c r="N218" i="2827"/>
  <c r="N220" i="2827"/>
  <c r="N222" i="2827"/>
  <c r="N224" i="2827"/>
  <c r="N226" i="2827"/>
  <c r="N228" i="2827"/>
  <c r="N230" i="2827"/>
  <c r="N232" i="2827"/>
  <c r="N234" i="2827"/>
  <c r="N236" i="2827"/>
  <c r="N237" i="2827"/>
  <c r="N238" i="2827"/>
  <c r="N239" i="2827"/>
  <c r="M196" i="2827"/>
  <c r="L196" i="2827"/>
  <c r="K196" i="2827"/>
  <c r="J196" i="2827"/>
  <c r="I196" i="2827"/>
  <c r="H196" i="2827"/>
  <c r="G196" i="2827"/>
  <c r="F196" i="2827"/>
  <c r="E196" i="2827"/>
  <c r="D196" i="2827" s="1"/>
  <c r="C196" i="2827"/>
  <c r="B196" i="2827"/>
  <c r="A196" i="2827"/>
  <c r="M195" i="2827"/>
  <c r="L195" i="2827"/>
  <c r="K195" i="2827"/>
  <c r="J195" i="2827"/>
  <c r="I195" i="2827"/>
  <c r="H195" i="2827"/>
  <c r="G195" i="2827"/>
  <c r="F195" i="2827"/>
  <c r="E195" i="2827"/>
  <c r="D195" i="2827" s="1"/>
  <c r="C195" i="2827"/>
  <c r="B195" i="2827"/>
  <c r="A195" i="2827"/>
  <c r="M194" i="2827"/>
  <c r="L194" i="2827"/>
  <c r="K194" i="2827"/>
  <c r="J194" i="2827"/>
  <c r="I194" i="2827"/>
  <c r="H194" i="2827"/>
  <c r="G194" i="2827"/>
  <c r="F194" i="2827"/>
  <c r="E194" i="2827"/>
  <c r="D194" i="2827" s="1"/>
  <c r="C194" i="2827"/>
  <c r="B194" i="2827"/>
  <c r="A194" i="2827"/>
  <c r="M193" i="2827"/>
  <c r="L193" i="2827"/>
  <c r="K193" i="2827"/>
  <c r="J193" i="2827"/>
  <c r="I193" i="2827"/>
  <c r="H193" i="2827"/>
  <c r="G193" i="2827"/>
  <c r="F193" i="2827"/>
  <c r="E193" i="2827"/>
  <c r="D193" i="2827" s="1"/>
  <c r="C193" i="2827"/>
  <c r="B193" i="2827"/>
  <c r="A193" i="2827"/>
  <c r="M192" i="2827"/>
  <c r="L192" i="2827"/>
  <c r="K192" i="2827"/>
  <c r="J192" i="2827"/>
  <c r="I192" i="2827"/>
  <c r="H192" i="2827"/>
  <c r="G192" i="2827"/>
  <c r="F192" i="2827"/>
  <c r="E192" i="2827"/>
  <c r="D192" i="2827" s="1"/>
  <c r="C192" i="2827"/>
  <c r="B192" i="2827"/>
  <c r="A192" i="2827"/>
  <c r="M191" i="2827"/>
  <c r="L191" i="2827"/>
  <c r="K191" i="2827"/>
  <c r="J191" i="2827"/>
  <c r="I191" i="2827"/>
  <c r="H191" i="2827"/>
  <c r="G191" i="2827"/>
  <c r="F191" i="2827"/>
  <c r="E191" i="2827"/>
  <c r="D191" i="2827" s="1"/>
  <c r="C191" i="2827"/>
  <c r="B191" i="2827"/>
  <c r="A191" i="2827"/>
  <c r="M190" i="2827"/>
  <c r="L190" i="2827"/>
  <c r="K190" i="2827"/>
  <c r="J190" i="2827"/>
  <c r="I190" i="2827"/>
  <c r="H190" i="2827"/>
  <c r="G190" i="2827"/>
  <c r="F190" i="2827"/>
  <c r="E190" i="2827"/>
  <c r="D190" i="2827" s="1"/>
  <c r="C190" i="2827"/>
  <c r="B190" i="2827"/>
  <c r="A190" i="2827"/>
  <c r="M189" i="2827"/>
  <c r="L189" i="2827"/>
  <c r="K189" i="2827"/>
  <c r="J189" i="2827"/>
  <c r="I189" i="2827"/>
  <c r="H189" i="2827"/>
  <c r="G189" i="2827"/>
  <c r="F189" i="2827"/>
  <c r="E189" i="2827"/>
  <c r="D189" i="2827" s="1"/>
  <c r="C189" i="2827"/>
  <c r="B189" i="2827"/>
  <c r="A189" i="2827"/>
  <c r="M188" i="2827"/>
  <c r="L188" i="2827"/>
  <c r="K188" i="2827"/>
  <c r="J188" i="2827"/>
  <c r="I188" i="2827"/>
  <c r="H188" i="2827"/>
  <c r="G188" i="2827"/>
  <c r="F188" i="2827"/>
  <c r="E188" i="2827"/>
  <c r="D188" i="2827" s="1"/>
  <c r="C188" i="2827"/>
  <c r="B188" i="2827"/>
  <c r="A188" i="2827"/>
  <c r="M187" i="2827"/>
  <c r="L187" i="2827"/>
  <c r="K187" i="2827"/>
  <c r="J187" i="2827"/>
  <c r="I187" i="2827"/>
  <c r="H187" i="2827"/>
  <c r="G187" i="2827"/>
  <c r="F187" i="2827"/>
  <c r="E187" i="2827"/>
  <c r="D187" i="2827" s="1"/>
  <c r="C187" i="2827"/>
  <c r="B187" i="2827"/>
  <c r="A187" i="2827"/>
  <c r="M186" i="2827"/>
  <c r="L186" i="2827"/>
  <c r="K186" i="2827"/>
  <c r="J186" i="2827"/>
  <c r="I186" i="2827"/>
  <c r="H186" i="2827"/>
  <c r="G186" i="2827"/>
  <c r="F186" i="2827"/>
  <c r="E186" i="2827"/>
  <c r="D186" i="2827" s="1"/>
  <c r="C186" i="2827"/>
  <c r="B186" i="2827"/>
  <c r="A186" i="2827"/>
  <c r="M185" i="2827"/>
  <c r="L185" i="2827"/>
  <c r="K185" i="2827"/>
  <c r="J185" i="2827"/>
  <c r="I185" i="2827"/>
  <c r="H185" i="2827"/>
  <c r="G185" i="2827"/>
  <c r="F185" i="2827"/>
  <c r="E185" i="2827"/>
  <c r="D185" i="2827" s="1"/>
  <c r="C185" i="2827"/>
  <c r="B185" i="2827"/>
  <c r="A185" i="2827"/>
  <c r="M184" i="2827"/>
  <c r="L184" i="2827"/>
  <c r="K184" i="2827"/>
  <c r="J184" i="2827"/>
  <c r="I184" i="2827"/>
  <c r="H184" i="2827"/>
  <c r="G184" i="2827"/>
  <c r="F184" i="2827"/>
  <c r="E184" i="2827"/>
  <c r="D184" i="2827" s="1"/>
  <c r="C184" i="2827"/>
  <c r="B184" i="2827"/>
  <c r="A184" i="2827"/>
  <c r="M183" i="2827"/>
  <c r="L183" i="2827"/>
  <c r="K183" i="2827"/>
  <c r="J183" i="2827"/>
  <c r="I183" i="2827"/>
  <c r="H183" i="2827"/>
  <c r="G183" i="2827"/>
  <c r="F183" i="2827"/>
  <c r="E183" i="2827"/>
  <c r="D183" i="2827" s="1"/>
  <c r="C183" i="2827"/>
  <c r="B183" i="2827"/>
  <c r="A183" i="2827"/>
  <c r="M182" i="2827"/>
  <c r="L182" i="2827"/>
  <c r="K182" i="2827"/>
  <c r="J182" i="2827"/>
  <c r="I182" i="2827"/>
  <c r="H182" i="2827"/>
  <c r="G182" i="2827"/>
  <c r="F182" i="2827"/>
  <c r="E182" i="2827"/>
  <c r="D182" i="2827" s="1"/>
  <c r="C182" i="2827"/>
  <c r="B182" i="2827"/>
  <c r="A182" i="2827"/>
  <c r="M181" i="2827"/>
  <c r="L181" i="2827"/>
  <c r="K181" i="2827"/>
  <c r="J181" i="2827"/>
  <c r="I181" i="2827"/>
  <c r="H181" i="2827"/>
  <c r="G181" i="2827"/>
  <c r="F181" i="2827"/>
  <c r="E181" i="2827"/>
  <c r="D181" i="2827" s="1"/>
  <c r="C181" i="2827"/>
  <c r="B181" i="2827"/>
  <c r="A181" i="2827"/>
  <c r="M180" i="2827"/>
  <c r="L180" i="2827"/>
  <c r="K180" i="2827"/>
  <c r="J180" i="2827"/>
  <c r="I180" i="2827"/>
  <c r="H180" i="2827"/>
  <c r="G180" i="2827"/>
  <c r="F180" i="2827"/>
  <c r="E180" i="2827"/>
  <c r="D180" i="2827" s="1"/>
  <c r="C180" i="2827"/>
  <c r="B180" i="2827"/>
  <c r="A180" i="2827"/>
  <c r="M179" i="2827"/>
  <c r="L179" i="2827"/>
  <c r="K179" i="2827"/>
  <c r="J179" i="2827"/>
  <c r="I179" i="2827"/>
  <c r="H179" i="2827"/>
  <c r="G179" i="2827"/>
  <c r="F179" i="2827"/>
  <c r="E179" i="2827"/>
  <c r="D179" i="2827" s="1"/>
  <c r="C179" i="2827"/>
  <c r="B179" i="2827"/>
  <c r="A179" i="2827"/>
  <c r="M178" i="2827"/>
  <c r="L178" i="2827"/>
  <c r="K178" i="2827"/>
  <c r="J178" i="2827"/>
  <c r="I178" i="2827"/>
  <c r="H178" i="2827"/>
  <c r="G178" i="2827"/>
  <c r="F178" i="2827"/>
  <c r="E178" i="2827"/>
  <c r="D178" i="2827" s="1"/>
  <c r="C178" i="2827"/>
  <c r="B178" i="2827"/>
  <c r="A178" i="2827"/>
  <c r="M177" i="2827"/>
  <c r="L177" i="2827"/>
  <c r="K177" i="2827"/>
  <c r="J177" i="2827"/>
  <c r="I177" i="2827"/>
  <c r="H177" i="2827"/>
  <c r="G177" i="2827"/>
  <c r="F177" i="2827"/>
  <c r="E177" i="2827"/>
  <c r="D177" i="2827" s="1"/>
  <c r="C177" i="2827"/>
  <c r="B177" i="2827"/>
  <c r="A177" i="2827"/>
  <c r="M176" i="2827"/>
  <c r="L176" i="2827"/>
  <c r="K176" i="2827"/>
  <c r="J176" i="2827"/>
  <c r="I176" i="2827"/>
  <c r="H176" i="2827"/>
  <c r="G176" i="2827"/>
  <c r="F176" i="2827"/>
  <c r="E176" i="2827"/>
  <c r="D176" i="2827" s="1"/>
  <c r="C176" i="2827"/>
  <c r="B176" i="2827"/>
  <c r="A176" i="2827"/>
  <c r="M175" i="2827"/>
  <c r="L175" i="2827"/>
  <c r="K175" i="2827"/>
  <c r="J175" i="2827"/>
  <c r="I175" i="2827"/>
  <c r="H175" i="2827"/>
  <c r="G175" i="2827"/>
  <c r="F175" i="2827"/>
  <c r="E175" i="2827"/>
  <c r="D175" i="2827" s="1"/>
  <c r="C175" i="2827"/>
  <c r="B175" i="2827"/>
  <c r="A175" i="2827"/>
  <c r="M174" i="2827"/>
  <c r="L174" i="2827"/>
  <c r="K174" i="2827"/>
  <c r="J174" i="2827"/>
  <c r="I174" i="2827"/>
  <c r="H174" i="2827"/>
  <c r="G174" i="2827"/>
  <c r="F174" i="2827"/>
  <c r="E174" i="2827"/>
  <c r="D174" i="2827" s="1"/>
  <c r="C174" i="2827"/>
  <c r="B174" i="2827"/>
  <c r="A174" i="2827"/>
  <c r="M173" i="2827"/>
  <c r="L173" i="2827"/>
  <c r="K173" i="2827"/>
  <c r="J173" i="2827"/>
  <c r="I173" i="2827"/>
  <c r="H173" i="2827"/>
  <c r="G173" i="2827"/>
  <c r="F173" i="2827"/>
  <c r="E173" i="2827"/>
  <c r="D173" i="2827" s="1"/>
  <c r="C173" i="2827"/>
  <c r="B173" i="2827"/>
  <c r="A173" i="2827"/>
  <c r="M172" i="2827"/>
  <c r="L172" i="2827"/>
  <c r="K172" i="2827"/>
  <c r="J172" i="2827"/>
  <c r="I172" i="2827"/>
  <c r="H172" i="2827"/>
  <c r="G172" i="2827"/>
  <c r="F172" i="2827"/>
  <c r="E172" i="2827"/>
  <c r="D172" i="2827" s="1"/>
  <c r="C172" i="2827"/>
  <c r="B172" i="2827"/>
  <c r="A172" i="2827"/>
  <c r="M171" i="2827"/>
  <c r="L171" i="2827"/>
  <c r="K171" i="2827"/>
  <c r="J171" i="2827"/>
  <c r="I171" i="2827"/>
  <c r="H171" i="2827"/>
  <c r="G171" i="2827"/>
  <c r="F171" i="2827"/>
  <c r="E171" i="2827"/>
  <c r="D171" i="2827" s="1"/>
  <c r="C171" i="2827"/>
  <c r="B171" i="2827"/>
  <c r="A171" i="2827"/>
  <c r="M170" i="2827"/>
  <c r="L170" i="2827"/>
  <c r="K170" i="2827"/>
  <c r="J170" i="2827"/>
  <c r="I170" i="2827"/>
  <c r="H170" i="2827"/>
  <c r="G170" i="2827"/>
  <c r="F170" i="2827"/>
  <c r="E170" i="2827"/>
  <c r="D170" i="2827" s="1"/>
  <c r="C170" i="2827"/>
  <c r="B170" i="2827"/>
  <c r="A170" i="2827"/>
  <c r="M169" i="2827"/>
  <c r="L169" i="2827"/>
  <c r="K169" i="2827"/>
  <c r="J169" i="2827"/>
  <c r="I169" i="2827"/>
  <c r="H169" i="2827"/>
  <c r="G169" i="2827"/>
  <c r="F169" i="2827"/>
  <c r="E169" i="2827"/>
  <c r="D169" i="2827" s="1"/>
  <c r="C169" i="2827"/>
  <c r="B169" i="2827"/>
  <c r="A169" i="2827"/>
  <c r="M168" i="2827"/>
  <c r="L168" i="2827"/>
  <c r="K168" i="2827"/>
  <c r="J168" i="2827"/>
  <c r="I168" i="2827"/>
  <c r="H168" i="2827"/>
  <c r="G168" i="2827"/>
  <c r="F168" i="2827"/>
  <c r="E168" i="2827"/>
  <c r="D168" i="2827" s="1"/>
  <c r="C168" i="2827"/>
  <c r="B168" i="2827"/>
  <c r="A168" i="2827"/>
  <c r="M167" i="2827"/>
  <c r="L167" i="2827"/>
  <c r="K167" i="2827"/>
  <c r="J167" i="2827"/>
  <c r="I167" i="2827"/>
  <c r="H167" i="2827"/>
  <c r="G167" i="2827"/>
  <c r="F167" i="2827"/>
  <c r="E167" i="2827"/>
  <c r="D167" i="2827" s="1"/>
  <c r="C167" i="2827"/>
  <c r="B167" i="2827"/>
  <c r="A167" i="2827"/>
  <c r="M166" i="2827"/>
  <c r="L166" i="2827"/>
  <c r="K166" i="2827"/>
  <c r="J166" i="2827"/>
  <c r="I166" i="2827"/>
  <c r="H166" i="2827"/>
  <c r="G166" i="2827"/>
  <c r="F166" i="2827"/>
  <c r="E166" i="2827"/>
  <c r="D166" i="2827" s="1"/>
  <c r="C166" i="2827"/>
  <c r="B166" i="2827"/>
  <c r="A166" i="2827"/>
  <c r="M165" i="2827"/>
  <c r="L165" i="2827"/>
  <c r="K165" i="2827"/>
  <c r="J165" i="2827"/>
  <c r="I165" i="2827"/>
  <c r="H165" i="2827"/>
  <c r="G165" i="2827"/>
  <c r="F165" i="2827"/>
  <c r="E165" i="2827"/>
  <c r="D165" i="2827" s="1"/>
  <c r="C165" i="2827"/>
  <c r="B165" i="2827"/>
  <c r="A165" i="2827"/>
  <c r="M164" i="2827"/>
  <c r="L164" i="2827"/>
  <c r="K164" i="2827"/>
  <c r="J164" i="2827"/>
  <c r="I164" i="2827"/>
  <c r="H164" i="2827"/>
  <c r="G164" i="2827"/>
  <c r="F164" i="2827"/>
  <c r="E164" i="2827"/>
  <c r="D164" i="2827" s="1"/>
  <c r="C164" i="2827"/>
  <c r="B164" i="2827"/>
  <c r="A164" i="2827"/>
  <c r="M163" i="2827"/>
  <c r="L163" i="2827"/>
  <c r="K163" i="2827"/>
  <c r="J163" i="2827"/>
  <c r="I163" i="2827"/>
  <c r="H163" i="2827"/>
  <c r="G163" i="2827"/>
  <c r="F163" i="2827"/>
  <c r="E163" i="2827"/>
  <c r="D163" i="2827" s="1"/>
  <c r="C163" i="2827"/>
  <c r="B163" i="2827"/>
  <c r="A163" i="2827"/>
  <c r="M162" i="2827"/>
  <c r="L162" i="2827"/>
  <c r="K162" i="2827"/>
  <c r="J162" i="2827"/>
  <c r="I162" i="2827"/>
  <c r="H162" i="2827"/>
  <c r="G162" i="2827"/>
  <c r="F162" i="2827"/>
  <c r="E162" i="2827"/>
  <c r="D162" i="2827" s="1"/>
  <c r="C162" i="2827"/>
  <c r="B162" i="2827"/>
  <c r="A162" i="2827"/>
  <c r="M161" i="2827"/>
  <c r="L161" i="2827"/>
  <c r="K161" i="2827"/>
  <c r="J161" i="2827"/>
  <c r="I161" i="2827"/>
  <c r="H161" i="2827"/>
  <c r="G161" i="2827"/>
  <c r="F161" i="2827"/>
  <c r="E161" i="2827"/>
  <c r="D161" i="2827" s="1"/>
  <c r="C161" i="2827"/>
  <c r="B161" i="2827"/>
  <c r="A161" i="2827"/>
  <c r="M160" i="2827"/>
  <c r="L160" i="2827"/>
  <c r="K160" i="2827"/>
  <c r="J160" i="2827"/>
  <c r="I160" i="2827"/>
  <c r="H160" i="2827"/>
  <c r="G160" i="2827"/>
  <c r="F160" i="2827"/>
  <c r="E160" i="2827"/>
  <c r="D160" i="2827" s="1"/>
  <c r="C160" i="2827"/>
  <c r="B160" i="2827"/>
  <c r="A160" i="2827"/>
  <c r="M159" i="2827"/>
  <c r="L159" i="2827"/>
  <c r="K159" i="2827"/>
  <c r="J159" i="2827"/>
  <c r="I159" i="2827"/>
  <c r="H159" i="2827"/>
  <c r="G159" i="2827"/>
  <c r="F159" i="2827"/>
  <c r="E159" i="2827"/>
  <c r="D159" i="2827" s="1"/>
  <c r="C159" i="2827"/>
  <c r="B159" i="2827"/>
  <c r="A159" i="2827"/>
  <c r="M158" i="2827"/>
  <c r="L158" i="2827"/>
  <c r="K158" i="2827"/>
  <c r="J158" i="2827"/>
  <c r="I158" i="2827"/>
  <c r="H158" i="2827"/>
  <c r="G158" i="2827"/>
  <c r="F158" i="2827"/>
  <c r="E158" i="2827"/>
  <c r="D158" i="2827" s="1"/>
  <c r="C158" i="2827"/>
  <c r="B158" i="2827"/>
  <c r="A158" i="2827"/>
  <c r="M157" i="2827"/>
  <c r="L157" i="2827"/>
  <c r="K157" i="2827"/>
  <c r="J157" i="2827"/>
  <c r="I157" i="2827"/>
  <c r="H157" i="2827"/>
  <c r="G157" i="2827"/>
  <c r="F157" i="2827"/>
  <c r="E157" i="2827"/>
  <c r="D157" i="2827" s="1"/>
  <c r="C157" i="2827"/>
  <c r="B157" i="2827"/>
  <c r="A157" i="2827"/>
  <c r="M156" i="2827"/>
  <c r="L156" i="2827"/>
  <c r="K156" i="2827"/>
  <c r="J156" i="2827"/>
  <c r="I156" i="2827"/>
  <c r="H156" i="2827"/>
  <c r="G156" i="2827"/>
  <c r="F156" i="2827"/>
  <c r="E156" i="2827"/>
  <c r="D156" i="2827" s="1"/>
  <c r="C156" i="2827"/>
  <c r="B156" i="2827"/>
  <c r="A156" i="2827"/>
  <c r="M155" i="2827"/>
  <c r="L155" i="2827"/>
  <c r="K155" i="2827"/>
  <c r="J155" i="2827"/>
  <c r="I155" i="2827"/>
  <c r="H155" i="2827"/>
  <c r="G155" i="2827"/>
  <c r="F155" i="2827"/>
  <c r="E155" i="2827"/>
  <c r="D155" i="2827" s="1"/>
  <c r="C155" i="2827"/>
  <c r="B155" i="2827"/>
  <c r="A155" i="2827"/>
  <c r="M154" i="2827"/>
  <c r="L154" i="2827"/>
  <c r="K154" i="2827"/>
  <c r="J154" i="2827"/>
  <c r="I154" i="2827"/>
  <c r="H154" i="2827"/>
  <c r="G154" i="2827"/>
  <c r="F154" i="2827"/>
  <c r="E154" i="2827"/>
  <c r="D154" i="2827" s="1"/>
  <c r="C154" i="2827"/>
  <c r="B154" i="2827"/>
  <c r="A154" i="2827"/>
  <c r="M153" i="2827"/>
  <c r="L153" i="2827"/>
  <c r="K153" i="2827"/>
  <c r="J153" i="2827"/>
  <c r="I153" i="2827"/>
  <c r="H153" i="2827"/>
  <c r="G153" i="2827"/>
  <c r="F153" i="2827"/>
  <c r="E153" i="2827"/>
  <c r="D153" i="2827" s="1"/>
  <c r="C153" i="2827"/>
  <c r="B153" i="2827"/>
  <c r="A153" i="2827"/>
  <c r="M152" i="2827"/>
  <c r="L152" i="2827"/>
  <c r="K152" i="2827"/>
  <c r="J152" i="2827"/>
  <c r="I152" i="2827"/>
  <c r="H152" i="2827"/>
  <c r="G152" i="2827"/>
  <c r="F152" i="2827"/>
  <c r="E152" i="2827"/>
  <c r="D152" i="2827" s="1"/>
  <c r="C152" i="2827"/>
  <c r="B152" i="2827"/>
  <c r="A152" i="2827"/>
  <c r="M151" i="2827"/>
  <c r="L151" i="2827"/>
  <c r="K151" i="2827"/>
  <c r="J151" i="2827"/>
  <c r="I151" i="2827"/>
  <c r="H151" i="2827"/>
  <c r="G151" i="2827"/>
  <c r="F151" i="2827"/>
  <c r="E151" i="2827"/>
  <c r="D151" i="2827" s="1"/>
  <c r="C151" i="2827"/>
  <c r="B151" i="2827"/>
  <c r="A151" i="2827"/>
  <c r="M150" i="2827"/>
  <c r="L150" i="2827"/>
  <c r="K150" i="2827"/>
  <c r="J150" i="2827"/>
  <c r="I150" i="2827"/>
  <c r="H150" i="2827"/>
  <c r="G150" i="2827"/>
  <c r="F150" i="2827"/>
  <c r="E150" i="2827"/>
  <c r="D150" i="2827" s="1"/>
  <c r="C150" i="2827"/>
  <c r="B150" i="2827"/>
  <c r="A150" i="2827"/>
  <c r="M149" i="2827"/>
  <c r="L149" i="2827"/>
  <c r="K149" i="2827"/>
  <c r="J149" i="2827"/>
  <c r="I149" i="2827"/>
  <c r="H149" i="2827"/>
  <c r="G149" i="2827"/>
  <c r="F149" i="2827"/>
  <c r="E149" i="2827"/>
  <c r="D149" i="2827" s="1"/>
  <c r="C149" i="2827"/>
  <c r="B149" i="2827"/>
  <c r="A149" i="2827"/>
  <c r="M148" i="2827"/>
  <c r="L148" i="2827"/>
  <c r="K148" i="2827"/>
  <c r="J148" i="2827"/>
  <c r="I148" i="2827"/>
  <c r="H148" i="2827"/>
  <c r="G148" i="2827"/>
  <c r="F148" i="2827"/>
  <c r="E148" i="2827"/>
  <c r="D148" i="2827" s="1"/>
  <c r="C148" i="2827"/>
  <c r="B148" i="2827"/>
  <c r="A148" i="2827"/>
  <c r="M147" i="2827"/>
  <c r="L147" i="2827"/>
  <c r="K147" i="2827"/>
  <c r="J147" i="2827"/>
  <c r="I147" i="2827"/>
  <c r="H147" i="2827"/>
  <c r="G147" i="2827"/>
  <c r="F147" i="2827"/>
  <c r="E147" i="2827"/>
  <c r="D147" i="2827" s="1"/>
  <c r="C147" i="2827"/>
  <c r="B147" i="2827"/>
  <c r="A147" i="2827"/>
  <c r="M146" i="2827"/>
  <c r="L146" i="2827"/>
  <c r="K146" i="2827"/>
  <c r="J146" i="2827"/>
  <c r="I146" i="2827"/>
  <c r="H146" i="2827"/>
  <c r="G146" i="2827"/>
  <c r="F146" i="2827"/>
  <c r="E146" i="2827"/>
  <c r="D146" i="2827" s="1"/>
  <c r="C146" i="2827"/>
  <c r="B146" i="2827"/>
  <c r="A146" i="2827"/>
  <c r="M145" i="2827"/>
  <c r="L145" i="2827"/>
  <c r="K145" i="2827"/>
  <c r="J145" i="2827"/>
  <c r="I145" i="2827"/>
  <c r="H145" i="2827"/>
  <c r="G145" i="2827"/>
  <c r="F145" i="2827"/>
  <c r="E145" i="2827"/>
  <c r="D145" i="2827" s="1"/>
  <c r="C145" i="2827"/>
  <c r="B145" i="2827"/>
  <c r="A145" i="2827"/>
  <c r="M144" i="2827"/>
  <c r="L144" i="2827"/>
  <c r="K144" i="2827"/>
  <c r="J144" i="2827"/>
  <c r="I144" i="2827"/>
  <c r="H144" i="2827"/>
  <c r="G144" i="2827"/>
  <c r="F144" i="2827"/>
  <c r="E144" i="2827"/>
  <c r="D144" i="2827" s="1"/>
  <c r="C144" i="2827"/>
  <c r="B144" i="2827"/>
  <c r="A144" i="2827"/>
  <c r="M143" i="2827"/>
  <c r="L143" i="2827"/>
  <c r="K143" i="2827"/>
  <c r="J143" i="2827"/>
  <c r="I143" i="2827"/>
  <c r="H143" i="2827"/>
  <c r="G143" i="2827"/>
  <c r="F143" i="2827"/>
  <c r="E143" i="2827"/>
  <c r="D143" i="2827" s="1"/>
  <c r="C143" i="2827"/>
  <c r="B143" i="2827"/>
  <c r="A143" i="2827"/>
  <c r="M142" i="2827"/>
  <c r="L142" i="2827"/>
  <c r="K142" i="2827"/>
  <c r="J142" i="2827"/>
  <c r="I142" i="2827"/>
  <c r="H142" i="2827"/>
  <c r="G142" i="2827"/>
  <c r="F142" i="2827"/>
  <c r="E142" i="2827"/>
  <c r="D142" i="2827" s="1"/>
  <c r="C142" i="2827"/>
  <c r="B142" i="2827"/>
  <c r="A142" i="2827"/>
  <c r="M141" i="2827"/>
  <c r="L141" i="2827"/>
  <c r="K141" i="2827"/>
  <c r="J141" i="2827"/>
  <c r="I141" i="2827"/>
  <c r="H141" i="2827"/>
  <c r="G141" i="2827"/>
  <c r="F141" i="2827"/>
  <c r="E141" i="2827"/>
  <c r="D141" i="2827" s="1"/>
  <c r="C141" i="2827"/>
  <c r="B141" i="2827"/>
  <c r="A141" i="2827"/>
  <c r="M140" i="2827"/>
  <c r="L140" i="2827"/>
  <c r="K140" i="2827"/>
  <c r="J140" i="2827"/>
  <c r="I140" i="2827"/>
  <c r="H140" i="2827"/>
  <c r="G140" i="2827"/>
  <c r="F140" i="2827"/>
  <c r="E140" i="2827"/>
  <c r="D140" i="2827" s="1"/>
  <c r="C140" i="2827"/>
  <c r="B140" i="2827"/>
  <c r="A140" i="2827"/>
  <c r="M139" i="2827"/>
  <c r="L139" i="2827"/>
  <c r="K139" i="2827"/>
  <c r="J139" i="2827"/>
  <c r="I139" i="2827"/>
  <c r="H139" i="2827"/>
  <c r="G139" i="2827"/>
  <c r="F139" i="2827"/>
  <c r="E139" i="2827"/>
  <c r="D139" i="2827" s="1"/>
  <c r="C139" i="2827"/>
  <c r="B139" i="2827"/>
  <c r="A139" i="2827"/>
  <c r="M138" i="2827"/>
  <c r="L138" i="2827"/>
  <c r="K138" i="2827"/>
  <c r="J138" i="2827"/>
  <c r="I138" i="2827"/>
  <c r="H138" i="2827"/>
  <c r="G138" i="2827"/>
  <c r="F138" i="2827"/>
  <c r="E138" i="2827"/>
  <c r="D138" i="2827" s="1"/>
  <c r="C138" i="2827"/>
  <c r="B138" i="2827"/>
  <c r="A138" i="2827"/>
  <c r="M137" i="2827"/>
  <c r="L137" i="2827"/>
  <c r="K137" i="2827"/>
  <c r="J137" i="2827"/>
  <c r="I137" i="2827"/>
  <c r="H137" i="2827"/>
  <c r="G137" i="2827"/>
  <c r="F137" i="2827"/>
  <c r="E137" i="2827"/>
  <c r="D137" i="2827" s="1"/>
  <c r="C137" i="2827"/>
  <c r="B137" i="2827"/>
  <c r="A137" i="2827"/>
  <c r="M136" i="2827"/>
  <c r="L136" i="2827"/>
  <c r="K136" i="2827"/>
  <c r="J136" i="2827"/>
  <c r="I136" i="2827"/>
  <c r="H136" i="2827"/>
  <c r="G136" i="2827"/>
  <c r="F136" i="2827"/>
  <c r="E136" i="2827"/>
  <c r="D136" i="2827" s="1"/>
  <c r="C136" i="2827"/>
  <c r="B136" i="2827"/>
  <c r="A136" i="2827"/>
  <c r="M135" i="2827"/>
  <c r="L135" i="2827"/>
  <c r="K135" i="2827"/>
  <c r="J135" i="2827"/>
  <c r="I135" i="2827"/>
  <c r="H135" i="2827"/>
  <c r="G135" i="2827"/>
  <c r="F135" i="2827"/>
  <c r="E135" i="2827"/>
  <c r="D135" i="2827" s="1"/>
  <c r="C135" i="2827"/>
  <c r="B135" i="2827"/>
  <c r="A135" i="2827"/>
  <c r="M134" i="2827"/>
  <c r="L134" i="2827"/>
  <c r="K134" i="2827"/>
  <c r="J134" i="2827"/>
  <c r="I134" i="2827"/>
  <c r="H134" i="2827"/>
  <c r="G134" i="2827"/>
  <c r="F134" i="2827"/>
  <c r="E134" i="2827"/>
  <c r="D134" i="2827" s="1"/>
  <c r="C134" i="2827"/>
  <c r="B134" i="2827"/>
  <c r="A134" i="2827"/>
  <c r="M133" i="2827"/>
  <c r="L133" i="2827"/>
  <c r="K133" i="2827"/>
  <c r="J133" i="2827"/>
  <c r="I133" i="2827"/>
  <c r="H133" i="2827"/>
  <c r="G133" i="2827"/>
  <c r="F133" i="2827"/>
  <c r="E133" i="2827"/>
  <c r="D133" i="2827" s="1"/>
  <c r="C133" i="2827"/>
  <c r="B133" i="2827"/>
  <c r="A133" i="2827"/>
  <c r="M132" i="2827"/>
  <c r="L132" i="2827"/>
  <c r="K132" i="2827"/>
  <c r="J132" i="2827"/>
  <c r="I132" i="2827"/>
  <c r="H132" i="2827"/>
  <c r="G132" i="2827"/>
  <c r="F132" i="2827"/>
  <c r="E132" i="2827"/>
  <c r="D132" i="2827" s="1"/>
  <c r="C132" i="2827"/>
  <c r="B132" i="2827"/>
  <c r="A132" i="2827"/>
  <c r="M131" i="2827"/>
  <c r="L131" i="2827"/>
  <c r="K131" i="2827"/>
  <c r="J131" i="2827"/>
  <c r="I131" i="2827"/>
  <c r="H131" i="2827"/>
  <c r="G131" i="2827"/>
  <c r="F131" i="2827"/>
  <c r="E131" i="2827"/>
  <c r="D131" i="2827" s="1"/>
  <c r="C131" i="2827"/>
  <c r="B131" i="2827"/>
  <c r="A131" i="2827"/>
  <c r="M130" i="2827"/>
  <c r="L130" i="2827"/>
  <c r="K130" i="2827"/>
  <c r="J130" i="2827"/>
  <c r="I130" i="2827"/>
  <c r="H130" i="2827"/>
  <c r="G130" i="2827"/>
  <c r="F130" i="2827"/>
  <c r="E130" i="2827"/>
  <c r="D130" i="2827" s="1"/>
  <c r="C130" i="2827"/>
  <c r="B130" i="2827"/>
  <c r="A130" i="2827"/>
  <c r="M129" i="2827"/>
  <c r="L129" i="2827"/>
  <c r="K129" i="2827"/>
  <c r="J129" i="2827"/>
  <c r="I129" i="2827"/>
  <c r="H129" i="2827"/>
  <c r="G129" i="2827"/>
  <c r="F129" i="2827"/>
  <c r="E129" i="2827"/>
  <c r="D129" i="2827" s="1"/>
  <c r="C129" i="2827"/>
  <c r="B129" i="2827"/>
  <c r="A129" i="2827"/>
  <c r="M128" i="2827"/>
  <c r="L128" i="2827"/>
  <c r="K128" i="2827"/>
  <c r="J128" i="2827"/>
  <c r="I128" i="2827"/>
  <c r="H128" i="2827"/>
  <c r="G128" i="2827"/>
  <c r="F128" i="2827"/>
  <c r="E128" i="2827"/>
  <c r="D128" i="2827" s="1"/>
  <c r="C128" i="2827"/>
  <c r="B128" i="2827"/>
  <c r="A128" i="2827"/>
  <c r="M127" i="2827"/>
  <c r="L127" i="2827"/>
  <c r="K127" i="2827"/>
  <c r="J127" i="2827"/>
  <c r="I127" i="2827"/>
  <c r="H127" i="2827"/>
  <c r="G127" i="2827"/>
  <c r="F127" i="2827"/>
  <c r="E127" i="2827"/>
  <c r="D127" i="2827" s="1"/>
  <c r="C127" i="2827"/>
  <c r="B127" i="2827"/>
  <c r="A127" i="2827"/>
  <c r="M126" i="2827"/>
  <c r="L126" i="2827"/>
  <c r="K126" i="2827"/>
  <c r="J126" i="2827"/>
  <c r="I126" i="2827"/>
  <c r="H126" i="2827"/>
  <c r="G126" i="2827"/>
  <c r="F126" i="2827"/>
  <c r="E126" i="2827"/>
  <c r="D126" i="2827" s="1"/>
  <c r="C126" i="2827"/>
  <c r="B126" i="2827"/>
  <c r="A126" i="2827"/>
  <c r="M125" i="2827"/>
  <c r="L125" i="2827"/>
  <c r="K125" i="2827"/>
  <c r="J125" i="2827"/>
  <c r="I125" i="2827"/>
  <c r="H125" i="2827"/>
  <c r="G125" i="2827"/>
  <c r="F125" i="2827"/>
  <c r="E125" i="2827"/>
  <c r="D125" i="2827" s="1"/>
  <c r="C125" i="2827"/>
  <c r="B125" i="2827"/>
  <c r="A125" i="2827"/>
  <c r="M124" i="2827"/>
  <c r="L124" i="2827"/>
  <c r="K124" i="2827"/>
  <c r="J124" i="2827"/>
  <c r="I124" i="2827"/>
  <c r="H124" i="2827"/>
  <c r="G124" i="2827"/>
  <c r="F124" i="2827"/>
  <c r="E124" i="2827"/>
  <c r="D124" i="2827" s="1"/>
  <c r="C124" i="2827"/>
  <c r="B124" i="2827"/>
  <c r="A124" i="2827"/>
  <c r="M123" i="2827"/>
  <c r="L123" i="2827"/>
  <c r="K123" i="2827"/>
  <c r="J123" i="2827"/>
  <c r="I123" i="2827"/>
  <c r="H123" i="2827"/>
  <c r="G123" i="2827"/>
  <c r="F123" i="2827"/>
  <c r="E123" i="2827"/>
  <c r="D123" i="2827" s="1"/>
  <c r="C123" i="2827"/>
  <c r="B123" i="2827"/>
  <c r="A123" i="2827"/>
  <c r="M122" i="2827"/>
  <c r="L122" i="2827"/>
  <c r="K122" i="2827"/>
  <c r="J122" i="2827"/>
  <c r="I122" i="2827"/>
  <c r="H122" i="2827"/>
  <c r="G122" i="2827"/>
  <c r="F122" i="2827"/>
  <c r="E122" i="2827"/>
  <c r="D122" i="2827" s="1"/>
  <c r="C122" i="2827"/>
  <c r="B122" i="2827"/>
  <c r="A122" i="2827"/>
  <c r="M121" i="2827"/>
  <c r="L121" i="2827"/>
  <c r="K121" i="2827"/>
  <c r="J121" i="2827"/>
  <c r="I121" i="2827"/>
  <c r="H121" i="2827"/>
  <c r="G121" i="2827"/>
  <c r="F121" i="2827"/>
  <c r="E121" i="2827"/>
  <c r="D121" i="2827" s="1"/>
  <c r="C121" i="2827"/>
  <c r="B121" i="2827"/>
  <c r="A121" i="2827"/>
  <c r="M120" i="2827"/>
  <c r="L120" i="2827"/>
  <c r="K120" i="2827"/>
  <c r="J120" i="2827"/>
  <c r="I120" i="2827"/>
  <c r="H120" i="2827"/>
  <c r="G120" i="2827"/>
  <c r="F120" i="2827"/>
  <c r="E120" i="2827"/>
  <c r="D120" i="2827" s="1"/>
  <c r="C120" i="2827"/>
  <c r="B120" i="2827"/>
  <c r="A120" i="2827"/>
  <c r="M119" i="2827"/>
  <c r="L119" i="2827"/>
  <c r="K119" i="2827"/>
  <c r="J119" i="2827"/>
  <c r="I119" i="2827"/>
  <c r="H119" i="2827"/>
  <c r="G119" i="2827"/>
  <c r="F119" i="2827"/>
  <c r="E119" i="2827"/>
  <c r="D119" i="2827" s="1"/>
  <c r="C119" i="2827"/>
  <c r="B119" i="2827"/>
  <c r="A119" i="2827"/>
  <c r="M118" i="2827"/>
  <c r="L118" i="2827"/>
  <c r="K118" i="2827"/>
  <c r="J118" i="2827"/>
  <c r="I118" i="2827"/>
  <c r="H118" i="2827"/>
  <c r="G118" i="2827"/>
  <c r="F118" i="2827"/>
  <c r="E118" i="2827"/>
  <c r="D118" i="2827" s="1"/>
  <c r="C118" i="2827"/>
  <c r="B118" i="2827"/>
  <c r="A118" i="2827"/>
  <c r="M117" i="2827"/>
  <c r="L117" i="2827"/>
  <c r="K117" i="2827"/>
  <c r="J117" i="2827"/>
  <c r="I117" i="2827"/>
  <c r="H117" i="2827"/>
  <c r="G117" i="2827"/>
  <c r="F117" i="2827"/>
  <c r="E117" i="2827"/>
  <c r="D117" i="2827" s="1"/>
  <c r="C117" i="2827"/>
  <c r="B117" i="2827"/>
  <c r="A117" i="2827"/>
  <c r="M116" i="2827"/>
  <c r="L116" i="2827"/>
  <c r="K116" i="2827"/>
  <c r="J116" i="2827"/>
  <c r="I116" i="2827"/>
  <c r="H116" i="2827"/>
  <c r="G116" i="2827"/>
  <c r="F116" i="2827"/>
  <c r="E116" i="2827"/>
  <c r="D116" i="2827" s="1"/>
  <c r="C116" i="2827"/>
  <c r="B116" i="2827"/>
  <c r="A116" i="2827"/>
  <c r="M115" i="2827"/>
  <c r="L115" i="2827"/>
  <c r="K115" i="2827"/>
  <c r="J115" i="2827"/>
  <c r="I115" i="2827"/>
  <c r="H115" i="2827"/>
  <c r="G115" i="2827"/>
  <c r="F115" i="2827"/>
  <c r="E115" i="2827"/>
  <c r="D115" i="2827" s="1"/>
  <c r="C115" i="2827"/>
  <c r="B115" i="2827"/>
  <c r="A115" i="2827"/>
  <c r="M114" i="2827"/>
  <c r="L114" i="2827"/>
  <c r="K114" i="2827"/>
  <c r="J114" i="2827"/>
  <c r="I114" i="2827"/>
  <c r="H114" i="2827"/>
  <c r="G114" i="2827"/>
  <c r="F114" i="2827"/>
  <c r="E114" i="2827"/>
  <c r="D114" i="2827" s="1"/>
  <c r="C114" i="2827"/>
  <c r="B114" i="2827"/>
  <c r="A114" i="2827"/>
  <c r="M113" i="2827"/>
  <c r="L113" i="2827"/>
  <c r="K113" i="2827"/>
  <c r="J113" i="2827"/>
  <c r="I113" i="2827"/>
  <c r="H113" i="2827"/>
  <c r="G113" i="2827"/>
  <c r="F113" i="2827"/>
  <c r="E113" i="2827"/>
  <c r="D113" i="2827" s="1"/>
  <c r="C113" i="2827"/>
  <c r="B113" i="2827"/>
  <c r="A113" i="2827"/>
  <c r="M112" i="2827"/>
  <c r="L112" i="2827"/>
  <c r="K112" i="2827"/>
  <c r="J112" i="2827"/>
  <c r="I112" i="2827"/>
  <c r="H112" i="2827"/>
  <c r="G112" i="2827"/>
  <c r="F112" i="2827"/>
  <c r="E112" i="2827"/>
  <c r="D112" i="2827" s="1"/>
  <c r="C112" i="2827"/>
  <c r="B112" i="2827"/>
  <c r="A112" i="2827"/>
  <c r="M111" i="2827"/>
  <c r="L111" i="2827"/>
  <c r="K111" i="2827"/>
  <c r="J111" i="2827"/>
  <c r="I111" i="2827"/>
  <c r="H111" i="2827"/>
  <c r="G111" i="2827"/>
  <c r="F111" i="2827"/>
  <c r="E111" i="2827"/>
  <c r="D111" i="2827" s="1"/>
  <c r="C111" i="2827"/>
  <c r="B111" i="2827"/>
  <c r="A111" i="2827"/>
  <c r="M110" i="2827"/>
  <c r="L110" i="2827"/>
  <c r="K110" i="2827"/>
  <c r="J110" i="2827"/>
  <c r="I110" i="2827"/>
  <c r="H110" i="2827"/>
  <c r="G110" i="2827"/>
  <c r="F110" i="2827"/>
  <c r="E110" i="2827"/>
  <c r="D110" i="2827" s="1"/>
  <c r="C110" i="2827"/>
  <c r="B110" i="2827"/>
  <c r="A110" i="2827"/>
  <c r="M109" i="2827"/>
  <c r="L109" i="2827"/>
  <c r="K109" i="2827"/>
  <c r="J109" i="2827"/>
  <c r="I109" i="2827"/>
  <c r="H109" i="2827"/>
  <c r="G109" i="2827"/>
  <c r="F109" i="2827"/>
  <c r="E109" i="2827"/>
  <c r="D109" i="2827" s="1"/>
  <c r="C109" i="2827"/>
  <c r="B109" i="2827"/>
  <c r="A109" i="2827"/>
  <c r="M108" i="2827"/>
  <c r="L108" i="2827"/>
  <c r="K108" i="2827"/>
  <c r="J108" i="2827"/>
  <c r="I108" i="2827"/>
  <c r="H108" i="2827"/>
  <c r="G108" i="2827"/>
  <c r="F108" i="2827"/>
  <c r="E108" i="2827"/>
  <c r="D108" i="2827" s="1"/>
  <c r="C108" i="2827"/>
  <c r="B108" i="2827"/>
  <c r="A108" i="2827"/>
  <c r="M107" i="2827"/>
  <c r="L107" i="2827"/>
  <c r="K107" i="2827"/>
  <c r="J107" i="2827"/>
  <c r="I107" i="2827"/>
  <c r="H107" i="2827"/>
  <c r="G107" i="2827"/>
  <c r="F107" i="2827"/>
  <c r="E107" i="2827"/>
  <c r="D107" i="2827" s="1"/>
  <c r="C107" i="2827"/>
  <c r="B107" i="2827"/>
  <c r="A107" i="2827"/>
  <c r="M106" i="2827"/>
  <c r="L106" i="2827"/>
  <c r="K106" i="2827"/>
  <c r="J106" i="2827"/>
  <c r="I106" i="2827"/>
  <c r="H106" i="2827"/>
  <c r="G106" i="2827"/>
  <c r="F106" i="2827"/>
  <c r="E106" i="2827"/>
  <c r="D106" i="2827" s="1"/>
  <c r="C106" i="2827"/>
  <c r="B106" i="2827"/>
  <c r="A106" i="2827"/>
  <c r="M105" i="2827"/>
  <c r="L105" i="2827"/>
  <c r="K105" i="2827"/>
  <c r="J105" i="2827"/>
  <c r="I105" i="2827"/>
  <c r="H105" i="2827"/>
  <c r="G105" i="2827"/>
  <c r="F105" i="2827"/>
  <c r="E105" i="2827"/>
  <c r="D105" i="2827" s="1"/>
  <c r="C105" i="2827"/>
  <c r="B105" i="2827"/>
  <c r="A105" i="2827"/>
  <c r="M104" i="2827"/>
  <c r="L104" i="2827"/>
  <c r="K104" i="2827"/>
  <c r="J104" i="2827"/>
  <c r="I104" i="2827"/>
  <c r="H104" i="2827"/>
  <c r="G104" i="2827"/>
  <c r="F104" i="2827"/>
  <c r="E104" i="2827"/>
  <c r="D104" i="2827" s="1"/>
  <c r="C104" i="2827"/>
  <c r="B104" i="2827"/>
  <c r="A104" i="2827"/>
  <c r="M103" i="2827"/>
  <c r="L103" i="2827"/>
  <c r="K103" i="2827"/>
  <c r="J103" i="2827"/>
  <c r="I103" i="2827"/>
  <c r="H103" i="2827"/>
  <c r="G103" i="2827"/>
  <c r="F103" i="2827"/>
  <c r="E103" i="2827"/>
  <c r="D103" i="2827" s="1"/>
  <c r="C103" i="2827"/>
  <c r="B103" i="2827"/>
  <c r="A103" i="2827"/>
  <c r="M102" i="2827"/>
  <c r="L102" i="2827"/>
  <c r="K102" i="2827"/>
  <c r="J102" i="2827"/>
  <c r="I102" i="2827"/>
  <c r="H102" i="2827"/>
  <c r="G102" i="2827"/>
  <c r="F102" i="2827"/>
  <c r="E102" i="2827"/>
  <c r="D102" i="2827" s="1"/>
  <c r="C102" i="2827"/>
  <c r="B102" i="2827"/>
  <c r="A102" i="2827"/>
  <c r="M101" i="2827"/>
  <c r="L101" i="2827"/>
  <c r="K101" i="2827"/>
  <c r="J101" i="2827"/>
  <c r="I101" i="2827"/>
  <c r="H101" i="2827"/>
  <c r="G101" i="2827"/>
  <c r="F101" i="2827"/>
  <c r="E101" i="2827"/>
  <c r="D101" i="2827" s="1"/>
  <c r="C101" i="2827"/>
  <c r="B101" i="2827"/>
  <c r="A101" i="2827"/>
  <c r="M100" i="2827"/>
  <c r="L100" i="2827"/>
  <c r="K100" i="2827"/>
  <c r="J100" i="2827"/>
  <c r="I100" i="2827"/>
  <c r="H100" i="2827"/>
  <c r="G100" i="2827"/>
  <c r="F100" i="2827"/>
  <c r="E100" i="2827"/>
  <c r="D100" i="2827" s="1"/>
  <c r="C100" i="2827"/>
  <c r="B100" i="2827"/>
  <c r="A100" i="2827"/>
  <c r="M99" i="2827"/>
  <c r="L99" i="2827"/>
  <c r="K99" i="2827"/>
  <c r="J99" i="2827"/>
  <c r="I99" i="2827"/>
  <c r="H99" i="2827"/>
  <c r="G99" i="2827"/>
  <c r="F99" i="2827"/>
  <c r="E99" i="2827"/>
  <c r="D99" i="2827" s="1"/>
  <c r="C99" i="2827"/>
  <c r="B99" i="2827"/>
  <c r="A99" i="2827"/>
  <c r="M98" i="2827"/>
  <c r="L98" i="2827"/>
  <c r="K98" i="2827"/>
  <c r="J98" i="2827"/>
  <c r="I98" i="2827"/>
  <c r="H98" i="2827"/>
  <c r="G98" i="2827"/>
  <c r="F98" i="2827"/>
  <c r="E98" i="2827"/>
  <c r="D98" i="2827" s="1"/>
  <c r="C98" i="2827"/>
  <c r="B98" i="2827"/>
  <c r="A98" i="2827"/>
  <c r="M97" i="2827"/>
  <c r="L97" i="2827"/>
  <c r="K97" i="2827"/>
  <c r="J97" i="2827"/>
  <c r="I97" i="2827"/>
  <c r="H97" i="2827"/>
  <c r="G97" i="2827"/>
  <c r="F97" i="2827"/>
  <c r="E97" i="2827"/>
  <c r="D97" i="2827" s="1"/>
  <c r="C97" i="2827"/>
  <c r="B97" i="2827"/>
  <c r="A97" i="2827"/>
  <c r="M96" i="2827"/>
  <c r="L96" i="2827"/>
  <c r="K96" i="2827"/>
  <c r="J96" i="2827"/>
  <c r="I96" i="2827"/>
  <c r="H96" i="2827"/>
  <c r="G96" i="2827"/>
  <c r="F96" i="2827"/>
  <c r="E96" i="2827"/>
  <c r="D96" i="2827" s="1"/>
  <c r="C96" i="2827"/>
  <c r="B96" i="2827"/>
  <c r="A96" i="2827"/>
  <c r="M95" i="2827"/>
  <c r="L95" i="2827"/>
  <c r="K95" i="2827"/>
  <c r="J95" i="2827"/>
  <c r="I95" i="2827"/>
  <c r="H95" i="2827"/>
  <c r="G95" i="2827"/>
  <c r="F95" i="2827"/>
  <c r="E95" i="2827"/>
  <c r="D95" i="2827" s="1"/>
  <c r="C95" i="2827"/>
  <c r="B95" i="2827"/>
  <c r="A95" i="2827"/>
  <c r="M94" i="2827"/>
  <c r="L94" i="2827"/>
  <c r="K94" i="2827"/>
  <c r="J94" i="2827"/>
  <c r="I94" i="2827"/>
  <c r="H94" i="2827"/>
  <c r="G94" i="2827"/>
  <c r="F94" i="2827"/>
  <c r="E94" i="2827"/>
  <c r="D94" i="2827" s="1"/>
  <c r="C94" i="2827"/>
  <c r="B94" i="2827"/>
  <c r="A94" i="2827"/>
  <c r="M93" i="2827"/>
  <c r="L93" i="2827"/>
  <c r="K93" i="2827"/>
  <c r="J93" i="2827"/>
  <c r="I93" i="2827"/>
  <c r="H93" i="2827"/>
  <c r="G93" i="2827"/>
  <c r="F93" i="2827"/>
  <c r="E93" i="2827"/>
  <c r="D93" i="2827" s="1"/>
  <c r="C93" i="2827"/>
  <c r="B93" i="2827"/>
  <c r="A93" i="2827"/>
  <c r="M92" i="2827"/>
  <c r="L92" i="2827"/>
  <c r="K92" i="2827"/>
  <c r="J92" i="2827"/>
  <c r="I92" i="2827"/>
  <c r="H92" i="2827"/>
  <c r="G92" i="2827"/>
  <c r="F92" i="2827"/>
  <c r="E92" i="2827"/>
  <c r="D92" i="2827" s="1"/>
  <c r="C92" i="2827"/>
  <c r="B92" i="2827"/>
  <c r="A92" i="2827"/>
  <c r="M91" i="2827"/>
  <c r="L91" i="2827"/>
  <c r="K91" i="2827"/>
  <c r="J91" i="2827"/>
  <c r="I91" i="2827"/>
  <c r="H91" i="2827"/>
  <c r="G91" i="2827"/>
  <c r="F91" i="2827"/>
  <c r="E91" i="2827"/>
  <c r="D91" i="2827" s="1"/>
  <c r="C91" i="2827"/>
  <c r="B91" i="2827"/>
  <c r="A91" i="2827"/>
  <c r="M90" i="2827"/>
  <c r="L90" i="2827"/>
  <c r="K90" i="2827"/>
  <c r="J90" i="2827"/>
  <c r="I90" i="2827"/>
  <c r="H90" i="2827"/>
  <c r="G90" i="2827"/>
  <c r="F90" i="2827"/>
  <c r="E90" i="2827"/>
  <c r="D90" i="2827" s="1"/>
  <c r="C90" i="2827"/>
  <c r="B90" i="2827"/>
  <c r="A90" i="2827"/>
  <c r="M89" i="2827"/>
  <c r="L89" i="2827"/>
  <c r="K89" i="2827"/>
  <c r="J89" i="2827"/>
  <c r="I89" i="2827"/>
  <c r="H89" i="2827"/>
  <c r="G89" i="2827"/>
  <c r="F89" i="2827"/>
  <c r="E89" i="2827"/>
  <c r="D89" i="2827" s="1"/>
  <c r="C89" i="2827"/>
  <c r="B89" i="2827"/>
  <c r="A89" i="2827"/>
  <c r="M88" i="2827"/>
  <c r="L88" i="2827"/>
  <c r="K88" i="2827"/>
  <c r="J88" i="2827"/>
  <c r="I88" i="2827"/>
  <c r="H88" i="2827"/>
  <c r="G88" i="2827"/>
  <c r="F88" i="2827"/>
  <c r="E88" i="2827"/>
  <c r="D88" i="2827" s="1"/>
  <c r="C88" i="2827"/>
  <c r="B88" i="2827"/>
  <c r="A88" i="2827"/>
  <c r="M87" i="2827"/>
  <c r="L87" i="2827"/>
  <c r="K87" i="2827"/>
  <c r="J87" i="2827"/>
  <c r="I87" i="2827"/>
  <c r="H87" i="2827"/>
  <c r="G87" i="2827"/>
  <c r="F87" i="2827"/>
  <c r="E87" i="2827"/>
  <c r="D87" i="2827" s="1"/>
  <c r="C87" i="2827"/>
  <c r="B87" i="2827"/>
  <c r="A87" i="2827"/>
  <c r="M86" i="2827"/>
  <c r="L86" i="2827"/>
  <c r="K86" i="2827"/>
  <c r="J86" i="2827"/>
  <c r="I86" i="2827"/>
  <c r="H86" i="2827"/>
  <c r="G86" i="2827"/>
  <c r="F86" i="2827"/>
  <c r="E86" i="2827"/>
  <c r="D86" i="2827" s="1"/>
  <c r="C86" i="2827"/>
  <c r="B86" i="2827"/>
  <c r="A86" i="2827"/>
  <c r="M85" i="2827"/>
  <c r="L85" i="2827"/>
  <c r="K85" i="2827"/>
  <c r="J85" i="2827"/>
  <c r="I85" i="2827"/>
  <c r="H85" i="2827"/>
  <c r="G85" i="2827"/>
  <c r="F85" i="2827"/>
  <c r="E85" i="2827"/>
  <c r="D85" i="2827" s="1"/>
  <c r="C85" i="2827"/>
  <c r="B85" i="2827"/>
  <c r="A85" i="2827"/>
  <c r="M84" i="2827"/>
  <c r="L84" i="2827"/>
  <c r="K84" i="2827"/>
  <c r="J84" i="2827"/>
  <c r="I84" i="2827"/>
  <c r="H84" i="2827"/>
  <c r="G84" i="2827"/>
  <c r="F84" i="2827"/>
  <c r="E84" i="2827"/>
  <c r="D84" i="2827" s="1"/>
  <c r="C84" i="2827"/>
  <c r="B84" i="2827"/>
  <c r="A84" i="2827"/>
  <c r="M83" i="2827"/>
  <c r="L83" i="2827"/>
  <c r="K83" i="2827"/>
  <c r="J83" i="2827"/>
  <c r="I83" i="2827"/>
  <c r="H83" i="2827"/>
  <c r="G83" i="2827"/>
  <c r="F83" i="2827"/>
  <c r="E83" i="2827"/>
  <c r="D83" i="2827" s="1"/>
  <c r="C83" i="2827"/>
  <c r="B83" i="2827"/>
  <c r="A83" i="2827"/>
  <c r="M82" i="2827"/>
  <c r="L82" i="2827"/>
  <c r="K82" i="2827"/>
  <c r="J82" i="2827"/>
  <c r="I82" i="2827"/>
  <c r="H82" i="2827"/>
  <c r="G82" i="2827"/>
  <c r="F82" i="2827"/>
  <c r="E82" i="2827"/>
  <c r="D82" i="2827" s="1"/>
  <c r="C82" i="2827"/>
  <c r="B82" i="2827"/>
  <c r="A82" i="2827"/>
  <c r="M81" i="2827"/>
  <c r="L81" i="2827"/>
  <c r="K81" i="2827"/>
  <c r="J81" i="2827"/>
  <c r="I81" i="2827"/>
  <c r="H81" i="2827"/>
  <c r="G81" i="2827"/>
  <c r="F81" i="2827"/>
  <c r="E81" i="2827"/>
  <c r="D81" i="2827" s="1"/>
  <c r="C81" i="2827"/>
  <c r="B81" i="2827"/>
  <c r="A81" i="2827"/>
  <c r="M80" i="2827"/>
  <c r="L80" i="2827"/>
  <c r="K80" i="2827"/>
  <c r="J80" i="2827"/>
  <c r="I80" i="2827"/>
  <c r="H80" i="2827"/>
  <c r="G80" i="2827"/>
  <c r="F80" i="2827"/>
  <c r="E80" i="2827"/>
  <c r="D80" i="2827" s="1"/>
  <c r="C80" i="2827"/>
  <c r="B80" i="2827"/>
  <c r="A80" i="2827"/>
  <c r="M79" i="2827"/>
  <c r="L79" i="2827"/>
  <c r="K79" i="2827"/>
  <c r="J79" i="2827"/>
  <c r="I79" i="2827"/>
  <c r="H79" i="2827"/>
  <c r="G79" i="2827"/>
  <c r="F79" i="2827"/>
  <c r="E79" i="2827"/>
  <c r="D79" i="2827" s="1"/>
  <c r="C79" i="2827"/>
  <c r="B79" i="2827"/>
  <c r="A79" i="2827"/>
  <c r="M78" i="2827"/>
  <c r="L78" i="2827"/>
  <c r="K78" i="2827"/>
  <c r="J78" i="2827"/>
  <c r="I78" i="2827"/>
  <c r="H78" i="2827"/>
  <c r="G78" i="2827"/>
  <c r="F78" i="2827"/>
  <c r="E78" i="2827"/>
  <c r="D78" i="2827" s="1"/>
  <c r="C78" i="2827"/>
  <c r="B78" i="2827"/>
  <c r="A78" i="2827"/>
  <c r="M77" i="2827"/>
  <c r="L77" i="2827"/>
  <c r="K77" i="2827"/>
  <c r="J77" i="2827"/>
  <c r="I77" i="2827"/>
  <c r="H77" i="2827"/>
  <c r="G77" i="2827"/>
  <c r="F77" i="2827"/>
  <c r="E77" i="2827"/>
  <c r="D77" i="2827" s="1"/>
  <c r="C77" i="2827"/>
  <c r="B77" i="2827"/>
  <c r="A77" i="2827"/>
  <c r="M76" i="2827"/>
  <c r="L76" i="2827"/>
  <c r="K76" i="2827"/>
  <c r="J76" i="2827"/>
  <c r="I76" i="2827"/>
  <c r="H76" i="2827"/>
  <c r="G76" i="2827"/>
  <c r="F76" i="2827"/>
  <c r="E76" i="2827"/>
  <c r="D76" i="2827" s="1"/>
  <c r="C76" i="2827"/>
  <c r="B76" i="2827"/>
  <c r="A76" i="2827"/>
  <c r="M75" i="2827"/>
  <c r="L75" i="2827"/>
  <c r="K75" i="2827"/>
  <c r="J75" i="2827"/>
  <c r="I75" i="2827"/>
  <c r="H75" i="2827"/>
  <c r="G75" i="2827"/>
  <c r="F75" i="2827"/>
  <c r="E75" i="2827"/>
  <c r="D75" i="2827" s="1"/>
  <c r="C75" i="2827"/>
  <c r="B75" i="2827"/>
  <c r="A75" i="2827"/>
  <c r="M74" i="2827"/>
  <c r="L74" i="2827"/>
  <c r="K74" i="2827"/>
  <c r="J74" i="2827"/>
  <c r="I74" i="2827"/>
  <c r="H74" i="2827"/>
  <c r="G74" i="2827"/>
  <c r="F74" i="2827"/>
  <c r="E74" i="2827"/>
  <c r="D74" i="2827" s="1"/>
  <c r="C74" i="2827"/>
  <c r="B74" i="2827"/>
  <c r="A74" i="2827"/>
  <c r="M73" i="2827"/>
  <c r="L73" i="2827"/>
  <c r="K73" i="2827"/>
  <c r="J73" i="2827"/>
  <c r="I73" i="2827"/>
  <c r="H73" i="2827"/>
  <c r="G73" i="2827"/>
  <c r="F73" i="2827"/>
  <c r="E73" i="2827"/>
  <c r="D73" i="2827" s="1"/>
  <c r="C73" i="2827"/>
  <c r="B73" i="2827"/>
  <c r="A73" i="2827"/>
  <c r="M72" i="2827"/>
  <c r="L72" i="2827"/>
  <c r="K72" i="2827"/>
  <c r="J72" i="2827"/>
  <c r="I72" i="2827"/>
  <c r="H72" i="2827"/>
  <c r="G72" i="2827"/>
  <c r="F72" i="2827"/>
  <c r="E72" i="2827"/>
  <c r="D72" i="2827" s="1"/>
  <c r="C72" i="2827"/>
  <c r="B72" i="2827"/>
  <c r="A72" i="2827"/>
  <c r="M71" i="2827"/>
  <c r="L71" i="2827"/>
  <c r="K71" i="2827"/>
  <c r="J71" i="2827"/>
  <c r="I71" i="2827"/>
  <c r="H71" i="2827"/>
  <c r="G71" i="2827"/>
  <c r="F71" i="2827"/>
  <c r="E71" i="2827"/>
  <c r="D71" i="2827" s="1"/>
  <c r="C71" i="2827"/>
  <c r="B71" i="2827"/>
  <c r="A71" i="2827"/>
  <c r="M70" i="2827"/>
  <c r="L70" i="2827"/>
  <c r="K70" i="2827"/>
  <c r="J70" i="2827"/>
  <c r="I70" i="2827"/>
  <c r="H70" i="2827"/>
  <c r="G70" i="2827"/>
  <c r="F70" i="2827"/>
  <c r="E70" i="2827"/>
  <c r="D70" i="2827" s="1"/>
  <c r="C70" i="2827"/>
  <c r="B70" i="2827"/>
  <c r="A70" i="2827"/>
  <c r="M69" i="2827"/>
  <c r="L69" i="2827"/>
  <c r="K69" i="2827"/>
  <c r="J69" i="2827"/>
  <c r="I69" i="2827"/>
  <c r="H69" i="2827"/>
  <c r="G69" i="2827"/>
  <c r="F69" i="2827"/>
  <c r="E69" i="2827"/>
  <c r="D69" i="2827" s="1"/>
  <c r="C69" i="2827"/>
  <c r="B69" i="2827"/>
  <c r="A69" i="2827"/>
  <c r="M68" i="2827"/>
  <c r="L68" i="2827"/>
  <c r="K68" i="2827"/>
  <c r="J68" i="2827"/>
  <c r="I68" i="2827"/>
  <c r="H68" i="2827"/>
  <c r="G68" i="2827"/>
  <c r="F68" i="2827"/>
  <c r="E68" i="2827"/>
  <c r="D68" i="2827" s="1"/>
  <c r="C68" i="2827"/>
  <c r="B68" i="2827"/>
  <c r="A68" i="2827"/>
  <c r="M67" i="2827"/>
  <c r="L67" i="2827"/>
  <c r="K67" i="2827"/>
  <c r="J67" i="2827"/>
  <c r="I67" i="2827"/>
  <c r="H67" i="2827"/>
  <c r="G67" i="2827"/>
  <c r="F67" i="2827"/>
  <c r="E67" i="2827"/>
  <c r="D67" i="2827" s="1"/>
  <c r="C67" i="2827"/>
  <c r="B67" i="2827"/>
  <c r="A67" i="2827"/>
  <c r="M66" i="2827"/>
  <c r="L66" i="2827"/>
  <c r="K66" i="2827"/>
  <c r="J66" i="2827"/>
  <c r="I66" i="2827"/>
  <c r="H66" i="2827"/>
  <c r="G66" i="2827"/>
  <c r="F66" i="2827"/>
  <c r="E66" i="2827"/>
  <c r="D66" i="2827" s="1"/>
  <c r="C66" i="2827"/>
  <c r="B66" i="2827"/>
  <c r="A66" i="2827"/>
  <c r="M65" i="2827"/>
  <c r="L65" i="2827"/>
  <c r="K65" i="2827"/>
  <c r="J65" i="2827"/>
  <c r="I65" i="2827"/>
  <c r="H65" i="2827"/>
  <c r="G65" i="2827"/>
  <c r="F65" i="2827"/>
  <c r="E65" i="2827"/>
  <c r="D65" i="2827" s="1"/>
  <c r="C65" i="2827"/>
  <c r="B65" i="2827"/>
  <c r="A65" i="2827"/>
  <c r="M64" i="2827"/>
  <c r="L64" i="2827"/>
  <c r="K64" i="2827"/>
  <c r="J64" i="2827"/>
  <c r="I64" i="2827"/>
  <c r="H64" i="2827"/>
  <c r="G64" i="2827"/>
  <c r="F64" i="2827"/>
  <c r="E64" i="2827"/>
  <c r="D64" i="2827" s="1"/>
  <c r="C64" i="2827"/>
  <c r="B64" i="2827"/>
  <c r="A64" i="2827"/>
  <c r="M63" i="2827"/>
  <c r="L63" i="2827"/>
  <c r="K63" i="2827"/>
  <c r="J63" i="2827"/>
  <c r="I63" i="2827"/>
  <c r="H63" i="2827"/>
  <c r="G63" i="2827"/>
  <c r="F63" i="2827"/>
  <c r="E63" i="2827"/>
  <c r="D63" i="2827" s="1"/>
  <c r="C63" i="2827"/>
  <c r="B63" i="2827"/>
  <c r="A63" i="2827"/>
  <c r="M62" i="2827"/>
  <c r="L62" i="2827"/>
  <c r="K62" i="2827"/>
  <c r="J62" i="2827"/>
  <c r="I62" i="2827"/>
  <c r="H62" i="2827"/>
  <c r="G62" i="2827"/>
  <c r="F62" i="2827"/>
  <c r="E62" i="2827"/>
  <c r="D62" i="2827" s="1"/>
  <c r="C62" i="2827"/>
  <c r="B62" i="2827"/>
  <c r="A62" i="2827"/>
  <c r="M61" i="2827"/>
  <c r="L61" i="2827"/>
  <c r="K61" i="2827"/>
  <c r="J61" i="2827"/>
  <c r="I61" i="2827"/>
  <c r="H61" i="2827"/>
  <c r="G61" i="2827"/>
  <c r="F61" i="2827"/>
  <c r="E61" i="2827"/>
  <c r="D61" i="2827" s="1"/>
  <c r="C61" i="2827"/>
  <c r="B61" i="2827"/>
  <c r="A61" i="2827"/>
  <c r="M60" i="2827"/>
  <c r="L60" i="2827"/>
  <c r="K60" i="2827"/>
  <c r="J60" i="2827"/>
  <c r="I60" i="2827"/>
  <c r="H60" i="2827"/>
  <c r="G60" i="2827"/>
  <c r="F60" i="2827"/>
  <c r="E60" i="2827"/>
  <c r="D60" i="2827" s="1"/>
  <c r="C60" i="2827"/>
  <c r="B60" i="2827"/>
  <c r="A60" i="2827"/>
  <c r="M59" i="2827"/>
  <c r="L59" i="2827"/>
  <c r="K59" i="2827"/>
  <c r="J59" i="2827"/>
  <c r="I59" i="2827"/>
  <c r="H59" i="2827"/>
  <c r="G59" i="2827"/>
  <c r="F59" i="2827"/>
  <c r="E59" i="2827"/>
  <c r="D59" i="2827" s="1"/>
  <c r="C59" i="2827"/>
  <c r="B59" i="2827"/>
  <c r="A59" i="2827"/>
  <c r="M58" i="2827"/>
  <c r="L58" i="2827"/>
  <c r="K58" i="2827"/>
  <c r="J58" i="2827"/>
  <c r="I58" i="2827"/>
  <c r="H58" i="2827"/>
  <c r="G58" i="2827"/>
  <c r="F58" i="2827"/>
  <c r="E58" i="2827"/>
  <c r="D58" i="2827" s="1"/>
  <c r="C58" i="2827"/>
  <c r="B58" i="2827"/>
  <c r="A58" i="2827"/>
  <c r="M57" i="2827"/>
  <c r="L57" i="2827"/>
  <c r="K57" i="2827"/>
  <c r="J57" i="2827"/>
  <c r="I57" i="2827"/>
  <c r="H57" i="2827"/>
  <c r="G57" i="2827"/>
  <c r="F57" i="2827"/>
  <c r="E57" i="2827"/>
  <c r="D57" i="2827" s="1"/>
  <c r="C57" i="2827"/>
  <c r="B57" i="2827"/>
  <c r="A57" i="2827"/>
  <c r="M56" i="2827"/>
  <c r="L56" i="2827"/>
  <c r="K56" i="2827"/>
  <c r="J56" i="2827"/>
  <c r="I56" i="2827"/>
  <c r="H56" i="2827"/>
  <c r="G56" i="2827"/>
  <c r="F56" i="2827"/>
  <c r="E56" i="2827"/>
  <c r="D56" i="2827" s="1"/>
  <c r="C56" i="2827"/>
  <c r="B56" i="2827"/>
  <c r="A56" i="2827"/>
  <c r="M55" i="2827"/>
  <c r="L55" i="2827"/>
  <c r="K55" i="2827"/>
  <c r="J55" i="2827"/>
  <c r="I55" i="2827"/>
  <c r="H55" i="2827"/>
  <c r="G55" i="2827"/>
  <c r="F55" i="2827"/>
  <c r="E55" i="2827"/>
  <c r="D55" i="2827" s="1"/>
  <c r="C55" i="2827"/>
  <c r="B55" i="2827"/>
  <c r="A55" i="2827"/>
  <c r="M54" i="2827"/>
  <c r="L54" i="2827"/>
  <c r="K54" i="2827"/>
  <c r="J54" i="2827"/>
  <c r="I54" i="2827"/>
  <c r="H54" i="2827"/>
  <c r="G54" i="2827"/>
  <c r="F54" i="2827"/>
  <c r="E54" i="2827"/>
  <c r="D54" i="2827" s="1"/>
  <c r="C54" i="2827"/>
  <c r="B54" i="2827"/>
  <c r="A54" i="2827"/>
  <c r="M53" i="2827"/>
  <c r="L53" i="2827"/>
  <c r="K53" i="2827"/>
  <c r="J53" i="2827"/>
  <c r="I53" i="2827"/>
  <c r="H53" i="2827"/>
  <c r="G53" i="2827"/>
  <c r="F53" i="2827"/>
  <c r="E53" i="2827"/>
  <c r="D53" i="2827" s="1"/>
  <c r="C53" i="2827"/>
  <c r="B53" i="2827"/>
  <c r="A53" i="2827"/>
  <c r="M52" i="2827"/>
  <c r="L52" i="2827"/>
  <c r="K52" i="2827"/>
  <c r="J52" i="2827"/>
  <c r="I52" i="2827"/>
  <c r="H52" i="2827"/>
  <c r="G52" i="2827"/>
  <c r="F52" i="2827"/>
  <c r="E52" i="2827"/>
  <c r="D52" i="2827" s="1"/>
  <c r="C52" i="2827"/>
  <c r="B52" i="2827"/>
  <c r="A52" i="2827"/>
  <c r="M51" i="2827"/>
  <c r="L51" i="2827"/>
  <c r="K51" i="2827"/>
  <c r="J51" i="2827"/>
  <c r="I51" i="2827"/>
  <c r="H51" i="2827"/>
  <c r="G51" i="2827"/>
  <c r="F51" i="2827"/>
  <c r="E51" i="2827"/>
  <c r="D51" i="2827" s="1"/>
  <c r="C51" i="2827"/>
  <c r="B51" i="2827"/>
  <c r="A51" i="2827"/>
  <c r="M50" i="2827"/>
  <c r="L50" i="2827"/>
  <c r="K50" i="2827"/>
  <c r="J50" i="2827"/>
  <c r="I50" i="2827"/>
  <c r="H50" i="2827"/>
  <c r="G50" i="2827"/>
  <c r="F50" i="2827"/>
  <c r="E50" i="2827"/>
  <c r="D50" i="2827" s="1"/>
  <c r="C50" i="2827"/>
  <c r="B50" i="2827"/>
  <c r="A50" i="2827"/>
  <c r="M49" i="2827"/>
  <c r="L49" i="2827"/>
  <c r="K49" i="2827"/>
  <c r="J49" i="2827"/>
  <c r="I49" i="2827"/>
  <c r="H49" i="2827"/>
  <c r="G49" i="2827"/>
  <c r="F49" i="2827"/>
  <c r="E49" i="2827"/>
  <c r="D49" i="2827" s="1"/>
  <c r="C49" i="2827"/>
  <c r="B49" i="2827"/>
  <c r="A49" i="2827"/>
  <c r="M48" i="2827"/>
  <c r="L48" i="2827"/>
  <c r="K48" i="2827"/>
  <c r="J48" i="2827"/>
  <c r="I48" i="2827"/>
  <c r="H48" i="2827"/>
  <c r="G48" i="2827"/>
  <c r="F48" i="2827"/>
  <c r="E48" i="2827"/>
  <c r="D48" i="2827" s="1"/>
  <c r="C48" i="2827"/>
  <c r="B48" i="2827"/>
  <c r="A48" i="2827"/>
  <c r="M47" i="2827"/>
  <c r="L47" i="2827"/>
  <c r="K47" i="2827"/>
  <c r="J47" i="2827"/>
  <c r="I47" i="2827"/>
  <c r="H47" i="2827"/>
  <c r="G47" i="2827"/>
  <c r="F47" i="2827"/>
  <c r="E47" i="2827"/>
  <c r="D47" i="2827" s="1"/>
  <c r="C47" i="2827"/>
  <c r="B47" i="2827"/>
  <c r="A47" i="2827"/>
  <c r="M46" i="2827"/>
  <c r="L46" i="2827"/>
  <c r="K46" i="2827"/>
  <c r="J46" i="2827"/>
  <c r="I46" i="2827"/>
  <c r="H46" i="2827"/>
  <c r="G46" i="2827"/>
  <c r="F46" i="2827"/>
  <c r="E46" i="2827"/>
  <c r="D46" i="2827" s="1"/>
  <c r="C46" i="2827"/>
  <c r="B46" i="2827"/>
  <c r="A46" i="2827"/>
  <c r="M45" i="2827"/>
  <c r="L45" i="2827"/>
  <c r="K45" i="2827"/>
  <c r="J45" i="2827"/>
  <c r="I45" i="2827"/>
  <c r="H45" i="2827"/>
  <c r="G45" i="2827"/>
  <c r="F45" i="2827"/>
  <c r="E45" i="2827"/>
  <c r="D45" i="2827" s="1"/>
  <c r="C45" i="2827"/>
  <c r="B45" i="2827"/>
  <c r="A45" i="2827"/>
  <c r="M44" i="2827"/>
  <c r="L44" i="2827"/>
  <c r="K44" i="2827"/>
  <c r="J44" i="2827"/>
  <c r="I44" i="2827"/>
  <c r="H44" i="2827"/>
  <c r="G44" i="2827"/>
  <c r="F44" i="2827"/>
  <c r="E44" i="2827"/>
  <c r="D44" i="2827" s="1"/>
  <c r="C44" i="2827"/>
  <c r="B44" i="2827"/>
  <c r="A44" i="2827"/>
  <c r="M43" i="2827"/>
  <c r="L43" i="2827"/>
  <c r="K43" i="2827"/>
  <c r="J43" i="2827"/>
  <c r="I43" i="2827"/>
  <c r="H43" i="2827"/>
  <c r="G43" i="2827"/>
  <c r="F43" i="2827"/>
  <c r="E43" i="2827"/>
  <c r="D43" i="2827" s="1"/>
  <c r="C43" i="2827"/>
  <c r="B43" i="2827"/>
  <c r="A43" i="2827"/>
  <c r="M42" i="2827"/>
  <c r="L42" i="2827"/>
  <c r="K42" i="2827"/>
  <c r="J42" i="2827"/>
  <c r="I42" i="2827"/>
  <c r="H42" i="2827"/>
  <c r="G42" i="2827"/>
  <c r="F42" i="2827"/>
  <c r="E42" i="2827"/>
  <c r="D42" i="2827" s="1"/>
  <c r="C42" i="2827"/>
  <c r="B42" i="2827"/>
  <c r="A42" i="2827"/>
  <c r="M41" i="2827"/>
  <c r="L41" i="2827"/>
  <c r="K41" i="2827"/>
  <c r="J41" i="2827"/>
  <c r="I41" i="2827"/>
  <c r="H41" i="2827"/>
  <c r="G41" i="2827"/>
  <c r="F41" i="2827"/>
  <c r="E41" i="2827"/>
  <c r="D41" i="2827" s="1"/>
  <c r="C41" i="2827"/>
  <c r="B41" i="2827"/>
  <c r="A41" i="2827"/>
  <c r="M40" i="2827"/>
  <c r="L40" i="2827"/>
  <c r="K40" i="2827"/>
  <c r="J40" i="2827"/>
  <c r="I40" i="2827"/>
  <c r="H40" i="2827"/>
  <c r="G40" i="2827"/>
  <c r="F40" i="2827"/>
  <c r="E40" i="2827"/>
  <c r="D40" i="2827" s="1"/>
  <c r="C40" i="2827"/>
  <c r="B40" i="2827"/>
  <c r="A40" i="2827"/>
  <c r="M39" i="2827"/>
  <c r="L39" i="2827"/>
  <c r="K39" i="2827"/>
  <c r="J39" i="2827"/>
  <c r="I39" i="2827"/>
  <c r="H39" i="2827"/>
  <c r="G39" i="2827"/>
  <c r="F39" i="2827"/>
  <c r="E39" i="2827"/>
  <c r="D39" i="2827" s="1"/>
  <c r="C39" i="2827"/>
  <c r="B39" i="2827"/>
  <c r="A39" i="2827"/>
  <c r="M38" i="2827"/>
  <c r="L38" i="2827"/>
  <c r="K38" i="2827"/>
  <c r="J38" i="2827"/>
  <c r="I38" i="2827"/>
  <c r="H38" i="2827"/>
  <c r="G38" i="2827"/>
  <c r="F38" i="2827"/>
  <c r="E38" i="2827"/>
  <c r="D38" i="2827" s="1"/>
  <c r="C38" i="2827"/>
  <c r="B38" i="2827"/>
  <c r="A38" i="2827"/>
  <c r="M37" i="2827"/>
  <c r="L37" i="2827"/>
  <c r="K37" i="2827"/>
  <c r="J37" i="2827"/>
  <c r="I37" i="2827"/>
  <c r="H37" i="2827"/>
  <c r="G37" i="2827"/>
  <c r="F37" i="2827"/>
  <c r="E37" i="2827"/>
  <c r="D37" i="2827" s="1"/>
  <c r="C37" i="2827"/>
  <c r="B37" i="2827"/>
  <c r="A37" i="2827"/>
  <c r="M36" i="2827"/>
  <c r="L36" i="2827"/>
  <c r="K36" i="2827"/>
  <c r="J36" i="2827"/>
  <c r="I36" i="2827"/>
  <c r="H36" i="2827"/>
  <c r="G36" i="2827"/>
  <c r="F36" i="2827"/>
  <c r="E36" i="2827"/>
  <c r="D36" i="2827" s="1"/>
  <c r="C36" i="2827"/>
  <c r="B36" i="2827"/>
  <c r="A36" i="2827"/>
  <c r="M35" i="2827"/>
  <c r="L35" i="2827"/>
  <c r="K35" i="2827"/>
  <c r="J35" i="2827"/>
  <c r="I35" i="2827"/>
  <c r="H35" i="2827"/>
  <c r="G35" i="2827"/>
  <c r="F35" i="2827"/>
  <c r="E35" i="2827"/>
  <c r="D35" i="2827" s="1"/>
  <c r="C35" i="2827"/>
  <c r="B35" i="2827"/>
  <c r="A35" i="2827"/>
  <c r="M34" i="2827"/>
  <c r="L34" i="2827"/>
  <c r="K34" i="2827"/>
  <c r="J34" i="2827"/>
  <c r="I34" i="2827"/>
  <c r="H34" i="2827"/>
  <c r="G34" i="2827"/>
  <c r="F34" i="2827"/>
  <c r="E34" i="2827"/>
  <c r="D34" i="2827" s="1"/>
  <c r="C34" i="2827"/>
  <c r="B34" i="2827"/>
  <c r="A34" i="2827"/>
  <c r="M33" i="2827"/>
  <c r="L33" i="2827"/>
  <c r="K33" i="2827"/>
  <c r="J33" i="2827"/>
  <c r="I33" i="2827"/>
  <c r="H33" i="2827"/>
  <c r="G33" i="2827"/>
  <c r="F33" i="2827"/>
  <c r="E33" i="2827"/>
  <c r="D33" i="2827" s="1"/>
  <c r="C33" i="2827"/>
  <c r="B33" i="2827"/>
  <c r="A33" i="2827"/>
  <c r="M32" i="2827"/>
  <c r="L32" i="2827"/>
  <c r="K32" i="2827"/>
  <c r="J32" i="2827"/>
  <c r="I32" i="2827"/>
  <c r="H32" i="2827"/>
  <c r="G32" i="2827"/>
  <c r="F32" i="2827"/>
  <c r="E32" i="2827"/>
  <c r="D32" i="2827" s="1"/>
  <c r="C32" i="2827"/>
  <c r="B32" i="2827"/>
  <c r="A32" i="2827"/>
  <c r="M31" i="2827"/>
  <c r="L31" i="2827"/>
  <c r="K31" i="2827"/>
  <c r="J31" i="2827"/>
  <c r="I31" i="2827"/>
  <c r="H31" i="2827"/>
  <c r="G31" i="2827"/>
  <c r="F31" i="2827"/>
  <c r="E31" i="2827"/>
  <c r="D31" i="2827" s="1"/>
  <c r="C31" i="2827"/>
  <c r="B31" i="2827"/>
  <c r="A31" i="2827"/>
  <c r="M30" i="2827"/>
  <c r="L30" i="2827"/>
  <c r="K30" i="2827"/>
  <c r="J30" i="2827"/>
  <c r="I30" i="2827"/>
  <c r="H30" i="2827"/>
  <c r="G30" i="2827"/>
  <c r="F30" i="2827"/>
  <c r="E30" i="2827"/>
  <c r="D30" i="2827" s="1"/>
  <c r="C30" i="2827"/>
  <c r="B30" i="2827"/>
  <c r="A30" i="2827"/>
  <c r="M29" i="2827"/>
  <c r="L29" i="2827"/>
  <c r="K29" i="2827"/>
  <c r="J29" i="2827"/>
  <c r="I29" i="2827"/>
  <c r="H29" i="2827"/>
  <c r="G29" i="2827"/>
  <c r="F29" i="2827"/>
  <c r="E29" i="2827"/>
  <c r="D29" i="2827" s="1"/>
  <c r="C29" i="2827"/>
  <c r="B29" i="2827"/>
  <c r="A29" i="2827"/>
  <c r="M28" i="2827"/>
  <c r="L28" i="2827"/>
  <c r="K28" i="2827"/>
  <c r="J28" i="2827"/>
  <c r="I28" i="2827"/>
  <c r="H28" i="2827"/>
  <c r="G28" i="2827"/>
  <c r="F28" i="2827"/>
  <c r="E28" i="2827"/>
  <c r="D28" i="2827" s="1"/>
  <c r="C28" i="2827"/>
  <c r="B28" i="2827"/>
  <c r="A28" i="2827"/>
  <c r="M27" i="2827"/>
  <c r="L27" i="2827"/>
  <c r="K27" i="2827"/>
  <c r="J27" i="2827"/>
  <c r="I27" i="2827"/>
  <c r="H27" i="2827"/>
  <c r="G27" i="2827"/>
  <c r="F27" i="2827"/>
  <c r="E27" i="2827"/>
  <c r="D27" i="2827" s="1"/>
  <c r="C27" i="2827"/>
  <c r="B27" i="2827"/>
  <c r="A27" i="2827"/>
  <c r="M26" i="2827"/>
  <c r="L26" i="2827"/>
  <c r="K26" i="2827"/>
  <c r="J26" i="2827"/>
  <c r="I26" i="2827"/>
  <c r="H26" i="2827"/>
  <c r="G26" i="2827"/>
  <c r="F26" i="2827"/>
  <c r="E26" i="2827"/>
  <c r="D26" i="2827" s="1"/>
  <c r="C26" i="2827"/>
  <c r="B26" i="2827"/>
  <c r="A26" i="2827"/>
  <c r="M25" i="2827"/>
  <c r="L25" i="2827"/>
  <c r="K25" i="2827"/>
  <c r="J25" i="2827"/>
  <c r="I25" i="2827"/>
  <c r="H25" i="2827"/>
  <c r="G25" i="2827"/>
  <c r="F25" i="2827"/>
  <c r="E25" i="2827"/>
  <c r="D25" i="2827" s="1"/>
  <c r="C25" i="2827"/>
  <c r="B25" i="2827"/>
  <c r="A25" i="2827"/>
  <c r="M24" i="2827"/>
  <c r="L24" i="2827"/>
  <c r="K24" i="2827"/>
  <c r="J24" i="2827"/>
  <c r="I24" i="2827"/>
  <c r="H24" i="2827"/>
  <c r="G24" i="2827"/>
  <c r="F24" i="2827"/>
  <c r="E24" i="2827"/>
  <c r="D24" i="2827" s="1"/>
  <c r="C24" i="2827"/>
  <c r="B24" i="2827"/>
  <c r="A24" i="2827"/>
  <c r="M23" i="2827"/>
  <c r="L23" i="2827"/>
  <c r="K23" i="2827"/>
  <c r="J23" i="2827"/>
  <c r="I23" i="2827"/>
  <c r="H23" i="2827"/>
  <c r="G23" i="2827"/>
  <c r="F23" i="2827"/>
  <c r="E23" i="2827"/>
  <c r="D23" i="2827" s="1"/>
  <c r="C23" i="2827"/>
  <c r="B23" i="2827"/>
  <c r="A23" i="2827"/>
  <c r="M22" i="2827"/>
  <c r="L22" i="2827"/>
  <c r="K22" i="2827"/>
  <c r="J22" i="2827"/>
  <c r="I22" i="2827"/>
  <c r="H22" i="2827"/>
  <c r="G22" i="2827"/>
  <c r="F22" i="2827"/>
  <c r="E22" i="2827"/>
  <c r="D22" i="2827" s="1"/>
  <c r="C22" i="2827"/>
  <c r="B22" i="2827"/>
  <c r="A22" i="2827"/>
  <c r="M21" i="2827"/>
  <c r="L21" i="2827"/>
  <c r="K21" i="2827"/>
  <c r="J21" i="2827"/>
  <c r="I21" i="2827"/>
  <c r="H21" i="2827"/>
  <c r="G21" i="2827"/>
  <c r="F21" i="2827"/>
  <c r="E21" i="2827"/>
  <c r="D21" i="2827" s="1"/>
  <c r="C21" i="2827"/>
  <c r="B21" i="2827"/>
  <c r="A21" i="2827"/>
  <c r="M20" i="2827"/>
  <c r="L20" i="2827"/>
  <c r="K20" i="2827"/>
  <c r="J20" i="2827"/>
  <c r="I20" i="2827"/>
  <c r="H20" i="2827"/>
  <c r="G20" i="2827"/>
  <c r="F20" i="2827"/>
  <c r="E20" i="2827"/>
  <c r="D20" i="2827" s="1"/>
  <c r="C20" i="2827"/>
  <c r="B20" i="2827"/>
  <c r="A20" i="2827"/>
  <c r="M19" i="2827"/>
  <c r="L19" i="2827"/>
  <c r="K19" i="2827"/>
  <c r="J19" i="2827"/>
  <c r="I19" i="2827"/>
  <c r="H19" i="2827"/>
  <c r="G19" i="2827"/>
  <c r="F19" i="2827"/>
  <c r="E19" i="2827"/>
  <c r="D19" i="2827" s="1"/>
  <c r="C19" i="2827"/>
  <c r="B19" i="2827"/>
  <c r="A19" i="2827"/>
  <c r="M18" i="2827"/>
  <c r="L18" i="2827"/>
  <c r="K18" i="2827"/>
  <c r="J18" i="2827"/>
  <c r="I18" i="2827"/>
  <c r="H18" i="2827"/>
  <c r="G18" i="2827"/>
  <c r="F18" i="2827"/>
  <c r="E18" i="2827"/>
  <c r="D18" i="2827" s="1"/>
  <c r="C18" i="2827"/>
  <c r="B18" i="2827"/>
  <c r="A18" i="2827"/>
  <c r="M17" i="2827"/>
  <c r="L17" i="2827"/>
  <c r="K17" i="2827"/>
  <c r="J17" i="2827"/>
  <c r="I17" i="2827"/>
  <c r="H17" i="2827"/>
  <c r="G17" i="2827"/>
  <c r="F17" i="2827"/>
  <c r="E17" i="2827"/>
  <c r="D17" i="2827" s="1"/>
  <c r="C17" i="2827"/>
  <c r="B17" i="2827"/>
  <c r="A17" i="2827"/>
  <c r="M16" i="2827"/>
  <c r="L16" i="2827"/>
  <c r="K16" i="2827"/>
  <c r="J16" i="2827"/>
  <c r="I16" i="2827"/>
  <c r="H16" i="2827"/>
  <c r="G16" i="2827"/>
  <c r="F16" i="2827"/>
  <c r="E16" i="2827"/>
  <c r="D16" i="2827" s="1"/>
  <c r="C16" i="2827"/>
  <c r="B16" i="2827"/>
  <c r="A16" i="2827"/>
  <c r="M15" i="2827"/>
  <c r="L15" i="2827"/>
  <c r="K15" i="2827"/>
  <c r="J15" i="2827"/>
  <c r="I15" i="2827"/>
  <c r="H15" i="2827"/>
  <c r="G15" i="2827"/>
  <c r="F15" i="2827"/>
  <c r="E15" i="2827"/>
  <c r="D15" i="2827" s="1"/>
  <c r="C15" i="2827"/>
  <c r="B15" i="2827"/>
  <c r="A15" i="2827"/>
  <c r="M14" i="2827"/>
  <c r="L14" i="2827"/>
  <c r="K14" i="2827"/>
  <c r="J14" i="2827"/>
  <c r="I14" i="2827"/>
  <c r="H14" i="2827"/>
  <c r="G14" i="2827"/>
  <c r="F14" i="2827"/>
  <c r="E14" i="2827"/>
  <c r="D14" i="2827" s="1"/>
  <c r="C14" i="2827"/>
  <c r="B14" i="2827"/>
  <c r="A14" i="2827"/>
  <c r="M13" i="2827"/>
  <c r="L13" i="2827"/>
  <c r="K13" i="2827"/>
  <c r="J13" i="2827"/>
  <c r="I13" i="2827"/>
  <c r="H13" i="2827"/>
  <c r="G13" i="2827"/>
  <c r="F13" i="2827"/>
  <c r="E13" i="2827"/>
  <c r="D13" i="2827" s="1"/>
  <c r="C13" i="2827"/>
  <c r="B13" i="2827"/>
  <c r="A13" i="2827"/>
  <c r="M12" i="2827"/>
  <c r="L12" i="2827"/>
  <c r="K12" i="2827"/>
  <c r="J12" i="2827"/>
  <c r="I12" i="2827"/>
  <c r="H12" i="2827"/>
  <c r="G12" i="2827"/>
  <c r="F12" i="2827"/>
  <c r="E12" i="2827"/>
  <c r="D12" i="2827" s="1"/>
  <c r="C12" i="2827"/>
  <c r="B12" i="2827"/>
  <c r="A12" i="2827"/>
  <c r="M11" i="2827"/>
  <c r="L11" i="2827"/>
  <c r="K11" i="2827"/>
  <c r="J11" i="2827"/>
  <c r="I11" i="2827"/>
  <c r="H11" i="2827"/>
  <c r="G11" i="2827"/>
  <c r="F11" i="2827"/>
  <c r="E11" i="2827"/>
  <c r="D11" i="2827" s="1"/>
  <c r="C11" i="2827"/>
  <c r="B11" i="2827"/>
  <c r="A11" i="2827"/>
  <c r="M10" i="2827"/>
  <c r="L10" i="2827"/>
  <c r="K10" i="2827"/>
  <c r="J10" i="2827"/>
  <c r="I10" i="2827"/>
  <c r="H10" i="2827"/>
  <c r="G10" i="2827"/>
  <c r="F10" i="2827"/>
  <c r="E10" i="2827"/>
  <c r="D10" i="2827" s="1"/>
  <c r="C10" i="2827"/>
  <c r="B10" i="2827"/>
  <c r="A10" i="2827"/>
  <c r="M9" i="2827"/>
  <c r="L9" i="2827"/>
  <c r="K9" i="2827"/>
  <c r="J9" i="2827"/>
  <c r="I9" i="2827"/>
  <c r="H9" i="2827"/>
  <c r="G9" i="2827"/>
  <c r="F9" i="2827"/>
  <c r="E9" i="2827"/>
  <c r="D9" i="2827" s="1"/>
  <c r="C9" i="2827"/>
  <c r="B9" i="2827"/>
  <c r="A9" i="2827"/>
  <c r="M8" i="2827"/>
  <c r="L8" i="2827"/>
  <c r="K8" i="2827"/>
  <c r="J8" i="2827"/>
  <c r="I8" i="2827"/>
  <c r="H8" i="2827"/>
  <c r="G8" i="2827"/>
  <c r="F8" i="2827"/>
  <c r="E8" i="2827"/>
  <c r="D8" i="2827" s="1"/>
  <c r="C8" i="2827"/>
  <c r="B8" i="2827"/>
  <c r="A8" i="2827"/>
  <c r="M7" i="2827"/>
  <c r="L7" i="2827"/>
  <c r="K7" i="2827"/>
  <c r="J7" i="2827"/>
  <c r="I7" i="2827"/>
  <c r="H7" i="2827"/>
  <c r="G7" i="2827"/>
  <c r="F7" i="2827"/>
  <c r="E7" i="2827"/>
  <c r="D7" i="2827" s="1"/>
  <c r="C7" i="2827"/>
  <c r="B7" i="2827"/>
  <c r="A7" i="2827"/>
  <c r="M6" i="2827"/>
  <c r="L6" i="2827"/>
  <c r="K6" i="2827"/>
  <c r="J6" i="2827"/>
  <c r="I6" i="2827"/>
  <c r="H6" i="2827"/>
  <c r="G6" i="2827"/>
  <c r="F6" i="2827"/>
  <c r="E6" i="2827"/>
  <c r="D6" i="2827" s="1"/>
  <c r="C6" i="2827"/>
  <c r="B6" i="2827"/>
  <c r="A6" i="2827"/>
  <c r="M5" i="2827"/>
  <c r="L5" i="2827"/>
  <c r="K5" i="2827"/>
  <c r="J5" i="2827"/>
  <c r="J281" i="2827" s="1"/>
  <c r="I5" i="2827"/>
  <c r="H5" i="2827"/>
  <c r="H281" i="2827" s="1"/>
  <c r="G5" i="2827"/>
  <c r="F5" i="2827"/>
  <c r="F281" i="2827" s="1"/>
  <c r="E5" i="2827"/>
  <c r="D5" i="2827" s="1"/>
  <c r="C5" i="2827"/>
  <c r="B5" i="2827"/>
  <c r="A5" i="2827"/>
  <c r="A2" i="2827"/>
  <c r="L281" i="2827" l="1"/>
  <c r="I281" i="2827"/>
  <c r="M281" i="2827"/>
  <c r="G281" i="2827"/>
  <c r="K281" i="2827"/>
  <c r="N109" i="2827"/>
  <c r="N88" i="2827"/>
  <c r="N101" i="2827"/>
  <c r="N94" i="2827"/>
  <c r="N97" i="2827"/>
  <c r="N99" i="2827"/>
  <c r="N103" i="2827"/>
  <c r="N105" i="2827"/>
  <c r="N107" i="2827"/>
  <c r="N111" i="2827"/>
  <c r="N84" i="2827"/>
  <c r="N92" i="2827"/>
  <c r="N96" i="2827"/>
  <c r="N98" i="2827"/>
  <c r="N100" i="2827"/>
  <c r="N102" i="2827"/>
  <c r="N104" i="2827"/>
  <c r="N106" i="2827"/>
  <c r="N108" i="2827"/>
  <c r="N110" i="2827"/>
  <c r="N6" i="2827"/>
  <c r="N7" i="2827"/>
  <c r="N8" i="2827"/>
  <c r="N10" i="2827"/>
  <c r="N11" i="2827"/>
  <c r="N12" i="2827"/>
  <c r="N13" i="2827"/>
  <c r="N14" i="2827"/>
  <c r="N15" i="2827"/>
  <c r="N16" i="2827"/>
  <c r="N17" i="2827"/>
  <c r="N18" i="2827"/>
  <c r="N20" i="2827"/>
  <c r="N21" i="2827"/>
  <c r="N22" i="2827"/>
  <c r="N23" i="2827"/>
  <c r="N24" i="2827"/>
  <c r="N25" i="2827"/>
  <c r="N26" i="2827"/>
  <c r="N27" i="2827"/>
  <c r="N28" i="2827"/>
  <c r="N29" i="2827"/>
  <c r="N30" i="2827"/>
  <c r="N31" i="2827"/>
  <c r="N32" i="2827"/>
  <c r="N33" i="2827"/>
  <c r="N35" i="2827"/>
  <c r="N36" i="2827"/>
  <c r="N37" i="2827"/>
  <c r="N38" i="2827"/>
  <c r="N39" i="2827"/>
  <c r="N40" i="2827"/>
  <c r="N41" i="2827"/>
  <c r="N42" i="2827"/>
  <c r="N43" i="2827"/>
  <c r="N44" i="2827"/>
  <c r="N45" i="2827"/>
  <c r="N46" i="2827"/>
  <c r="N47" i="2827"/>
  <c r="N48" i="2827"/>
  <c r="N49" i="2827"/>
  <c r="N50" i="2827"/>
  <c r="N52" i="2827"/>
  <c r="N54" i="2827"/>
  <c r="N56" i="2827"/>
  <c r="N58" i="2827"/>
  <c r="N60" i="2827"/>
  <c r="N62" i="2827"/>
  <c r="N64" i="2827"/>
  <c r="N66" i="2827"/>
  <c r="N68" i="2827"/>
  <c r="N70" i="2827"/>
  <c r="N72" i="2827"/>
  <c r="N74" i="2827"/>
  <c r="N76" i="2827"/>
  <c r="N78" i="2827"/>
  <c r="N80" i="2827"/>
  <c r="N82" i="2827"/>
  <c r="N86" i="2827"/>
  <c r="N90" i="2827"/>
  <c r="N9" i="2827"/>
  <c r="N19" i="2827"/>
  <c r="N34" i="2827"/>
  <c r="N51" i="2827"/>
  <c r="N53" i="2827"/>
  <c r="N55" i="2827"/>
  <c r="N57" i="2827"/>
  <c r="N59" i="2827"/>
  <c r="N61" i="2827"/>
  <c r="N63" i="2827"/>
  <c r="N65" i="2827"/>
  <c r="N67" i="2827"/>
  <c r="N69" i="2827"/>
  <c r="N71" i="2827"/>
  <c r="N73" i="2827"/>
  <c r="N75" i="2827"/>
  <c r="N77" i="2827"/>
  <c r="N79" i="2827"/>
  <c r="N81" i="2827"/>
  <c r="N83" i="2827"/>
  <c r="N85" i="2827"/>
  <c r="N87" i="2827"/>
  <c r="N89" i="2827"/>
  <c r="N91" i="2827"/>
  <c r="N93" i="2827"/>
  <c r="N95" i="2827"/>
  <c r="N112" i="2827"/>
  <c r="N113" i="2827"/>
  <c r="N114" i="2827"/>
  <c r="N115" i="2827"/>
  <c r="N116" i="2827"/>
  <c r="N117" i="2827"/>
  <c r="N118" i="2827"/>
  <c r="N119" i="2827"/>
  <c r="N120" i="2827"/>
  <c r="N121" i="2827"/>
  <c r="N122" i="2827"/>
  <c r="N123" i="2827"/>
  <c r="N124" i="2827"/>
  <c r="N125" i="2827"/>
  <c r="N126" i="2827"/>
  <c r="N127" i="2827"/>
  <c r="N128" i="2827"/>
  <c r="N129" i="2827"/>
  <c r="N130" i="2827"/>
  <c r="N131" i="2827"/>
  <c r="N132" i="2827"/>
  <c r="N133" i="2827"/>
  <c r="N134" i="2827"/>
  <c r="N135" i="2827"/>
  <c r="N136" i="2827"/>
  <c r="N137" i="2827"/>
  <c r="N138" i="2827"/>
  <c r="N139" i="2827"/>
  <c r="N140" i="2827"/>
  <c r="N141" i="2827"/>
  <c r="N142" i="2827"/>
  <c r="N143" i="2827"/>
  <c r="N144" i="2827"/>
  <c r="N145" i="2827"/>
  <c r="N146" i="2827"/>
  <c r="N147" i="2827"/>
  <c r="N148" i="2827"/>
  <c r="N149" i="2827"/>
  <c r="N150" i="2827"/>
  <c r="N151" i="2827"/>
  <c r="N152" i="2827"/>
  <c r="N153" i="2827"/>
  <c r="N154" i="2827"/>
  <c r="N155" i="2827"/>
  <c r="N156" i="2827"/>
  <c r="N157" i="2827"/>
  <c r="N158" i="2827"/>
  <c r="N159" i="2827"/>
  <c r="N160" i="2827"/>
  <c r="N161" i="2827"/>
  <c r="N162" i="2827"/>
  <c r="N163" i="2827"/>
  <c r="N164" i="2827"/>
  <c r="N165" i="2827"/>
  <c r="N166" i="2827"/>
  <c r="N167" i="2827"/>
  <c r="N168" i="2827"/>
  <c r="N169" i="2827"/>
  <c r="N170" i="2827"/>
  <c r="N171" i="2827"/>
  <c r="N172" i="2827"/>
  <c r="N173" i="2827"/>
  <c r="N174" i="2827"/>
  <c r="N175" i="2827"/>
  <c r="N176" i="2827"/>
  <c r="N177" i="2827"/>
  <c r="N178" i="2827"/>
  <c r="N179" i="2827"/>
  <c r="N180" i="2827"/>
  <c r="N181" i="2827"/>
  <c r="N182" i="2827"/>
  <c r="N183" i="2827"/>
  <c r="N184" i="2827"/>
  <c r="N185" i="2827"/>
  <c r="N186" i="2827"/>
  <c r="N187" i="2827"/>
  <c r="N188" i="2827"/>
  <c r="N189" i="2827"/>
  <c r="N190" i="2827"/>
  <c r="N191" i="2827"/>
  <c r="N192" i="2827"/>
  <c r="N193" i="2827"/>
  <c r="N194" i="2827"/>
  <c r="N195" i="2827"/>
  <c r="N196" i="2827"/>
  <c r="N5" i="2827"/>
  <c r="N281" i="2827" l="1"/>
</calcChain>
</file>

<file path=xl/sharedStrings.xml><?xml version="1.0" encoding="utf-8"?>
<sst xmlns="http://schemas.openxmlformats.org/spreadsheetml/2006/main" count="1500" uniqueCount="471">
  <si>
    <t>BLOQ</t>
  </si>
  <si>
    <t>APTO</t>
  </si>
  <si>
    <t>FAC</t>
  </si>
  <si>
    <t>ACTUAL</t>
  </si>
  <si>
    <t>OTROSA</t>
  </si>
  <si>
    <t>COEF_URB</t>
  </si>
  <si>
    <t>COEF_APA</t>
  </si>
  <si>
    <t>COEF_GAR</t>
  </si>
  <si>
    <t>COEF_GAR1</t>
  </si>
  <si>
    <t>COEF_UTIL</t>
  </si>
  <si>
    <t>COEF_MOD_A</t>
  </si>
  <si>
    <t>COEF_MOD_B</t>
  </si>
  <si>
    <t>TOTAL</t>
  </si>
  <si>
    <t>VALOR</t>
  </si>
  <si>
    <t>INT</t>
  </si>
  <si>
    <t>IDENT</t>
  </si>
  <si>
    <t>CODIGO</t>
  </si>
  <si>
    <t>COD</t>
  </si>
  <si>
    <t>CLAVE</t>
  </si>
  <si>
    <t>CODIGO1</t>
  </si>
  <si>
    <t>CODPROP</t>
  </si>
  <si>
    <t>UBICA</t>
  </si>
  <si>
    <t>NOMURB</t>
  </si>
  <si>
    <t>BEP_CEL</t>
  </si>
  <si>
    <t>TEL</t>
  </si>
  <si>
    <t>NOM</t>
  </si>
  <si>
    <t>NOMINQ</t>
  </si>
  <si>
    <t>DIREC</t>
  </si>
  <si>
    <t>MORA</t>
  </si>
  <si>
    <t>COEF_LIBRE</t>
  </si>
  <si>
    <t>ARAPA</t>
  </si>
  <si>
    <t>ARTERR</t>
  </si>
  <si>
    <t>ARGAR</t>
  </si>
  <si>
    <t>ARUTIL</t>
  </si>
  <si>
    <t>ARLIBRE</t>
  </si>
  <si>
    <t>ARTOTAL</t>
  </si>
  <si>
    <t>OTROSVAL</t>
  </si>
  <si>
    <t>CC_NIT</t>
  </si>
  <si>
    <t>TEL_OFIC</t>
  </si>
  <si>
    <t>AA</t>
  </si>
  <si>
    <t>MESPAG</t>
  </si>
  <si>
    <t>DIAPAG</t>
  </si>
  <si>
    <t>ADMONPAG</t>
  </si>
  <si>
    <t>INTERPAG</t>
  </si>
  <si>
    <t>OTROSPAG</t>
  </si>
  <si>
    <t>EXTRAPAG</t>
  </si>
  <si>
    <t>MULTAPAG</t>
  </si>
  <si>
    <t>SERPUPAG</t>
  </si>
  <si>
    <t>SERVIPAG</t>
  </si>
  <si>
    <t>NDNCPAG</t>
  </si>
  <si>
    <t>DIAS</t>
  </si>
  <si>
    <t>1</t>
  </si>
  <si>
    <t>ADM_APTO</t>
  </si>
  <si>
    <t>ADM_PQ_UT</t>
  </si>
  <si>
    <t>Bloq.</t>
  </si>
  <si>
    <t>Apto.</t>
  </si>
  <si>
    <t>Factura</t>
  </si>
  <si>
    <t>Tipo</t>
  </si>
  <si>
    <t>Admón</t>
  </si>
  <si>
    <t>Interés</t>
  </si>
  <si>
    <t>Otros</t>
  </si>
  <si>
    <t>Multa</t>
  </si>
  <si>
    <t>Notas D/C</t>
  </si>
  <si>
    <t>Valor</t>
  </si>
  <si>
    <t>TOTALES</t>
  </si>
  <si>
    <t>.</t>
  </si>
  <si>
    <t>,</t>
  </si>
  <si>
    <t>COEF_PQUT</t>
  </si>
  <si>
    <t>EMAIL</t>
  </si>
  <si>
    <t>EMAIL1</t>
  </si>
  <si>
    <t>EMAIL2</t>
  </si>
  <si>
    <t>EMAIL3</t>
  </si>
  <si>
    <t>30</t>
  </si>
  <si>
    <t>Garaje</t>
  </si>
  <si>
    <t>Parqueadero</t>
  </si>
  <si>
    <t>Bicicletas</t>
  </si>
  <si>
    <t>1130</t>
  </si>
  <si>
    <t>URBANIZACION ALBORADA 1-4 PH</t>
  </si>
  <si>
    <t>GUSTAVO ALONSO RIOS JIMENEZ</t>
  </si>
  <si>
    <t>OLIB AMPARO BARRIENTOS</t>
  </si>
  <si>
    <t>JAIRO ELIAS ORTIZ VALLEJO</t>
  </si>
  <si>
    <t>MARIA NORA CORREA</t>
  </si>
  <si>
    <t>HERNAN DARIO AGUDELO MUÑOZ</t>
  </si>
  <si>
    <t>JORGE HUMBERTO SANTANA RUEDA</t>
  </si>
  <si>
    <t>GLORIA INES SERNA M</t>
  </si>
  <si>
    <t>MARTHA QUINTERO GIRALDO</t>
  </si>
  <si>
    <t>DANIEL LONDOÑO Q.</t>
  </si>
  <si>
    <t>VICTORIA EUGENIA PEREZ PEREZ</t>
  </si>
  <si>
    <t>CARLOS MARIO AGUDELO B.</t>
  </si>
  <si>
    <t>MARGARITA ROSA VELEZ GOMEZ</t>
  </si>
  <si>
    <t>MARTA NELLY CADAVID RESTREPO</t>
  </si>
  <si>
    <t>ELKIN RAMIREZ</t>
  </si>
  <si>
    <t>GLORIA ELENA HERRERA TAMAYO</t>
  </si>
  <si>
    <t>MARTHA LIGIA MESA GOMEZ</t>
  </si>
  <si>
    <t>JAIRO DE JESUS MESA GOMEZ</t>
  </si>
  <si>
    <t>CARLOS ANDRES LOPEZ VASQUEZ</t>
  </si>
  <si>
    <t>LUZ MARINA BETANCUR ARANGO</t>
  </si>
  <si>
    <t>JAIRO ARMANDO ARANGO H.</t>
  </si>
  <si>
    <t>GLORIA NANCY VERGARA</t>
  </si>
  <si>
    <t>HECTOR HERRERA</t>
  </si>
  <si>
    <t>JORGE GOMEZ/LUISA PELAEZ</t>
  </si>
  <si>
    <t>REINA MARGARITA PEREZ PALACIO</t>
  </si>
  <si>
    <t>LUZ MARINA BELEÑO CORDERO</t>
  </si>
  <si>
    <t>DANIEL MUNERA</t>
  </si>
  <si>
    <t>OSCAR DARIO GALLEGO BETANCUR</t>
  </si>
  <si>
    <t>MARGARITA MARIA LONDOÑO RAMIRE</t>
  </si>
  <si>
    <t>ALICIA MARIA OTALVARO CASTRILL</t>
  </si>
  <si>
    <t>FRANCISCO TOBON</t>
  </si>
  <si>
    <t>JAEL CARO DE PATIÑO</t>
  </si>
  <si>
    <t>AMPARO PEREZ ALVAREZ</t>
  </si>
  <si>
    <t>HERNAN IGNACIO CALDERON M.</t>
  </si>
  <si>
    <t>WILLIAM FRANCO GONZALEZ</t>
  </si>
  <si>
    <t>MARTHA LUCIA ARENAS S.</t>
  </si>
  <si>
    <t>GUILLERMO PEREZ RESTREPO</t>
  </si>
  <si>
    <t>DENNIS ELENA VASQUEZ A.</t>
  </si>
  <si>
    <t>PABLO ALEJANDRO LONDOÑO L.</t>
  </si>
  <si>
    <t>MARIA MERCEDES CIANCI L.</t>
  </si>
  <si>
    <t>BEATRIZ ELENA CARDONA</t>
  </si>
  <si>
    <t>ROCIO MUÑOZ BETANCUR</t>
  </si>
  <si>
    <t>RODOLFO VELEZ</t>
  </si>
  <si>
    <t>CLARA INES ZULUAGA GARCIA</t>
  </si>
  <si>
    <t>DIANA CECILIA ZULUAGA GARCIA</t>
  </si>
  <si>
    <t>LUCIA DEL SOCORRO RUIZ SALAS</t>
  </si>
  <si>
    <t>LEON DARIO BEDOYA VILLEGAS</t>
  </si>
  <si>
    <t>LUZ DARY GIRALDO L.</t>
  </si>
  <si>
    <t>ANGELA MARIA OCAMPO SARMIENTO</t>
  </si>
  <si>
    <t>ADRIANA MARIA OCAMPO SARMIENTO</t>
  </si>
  <si>
    <t>LUZ ESTELLA OSPINA ECHAVARRIA</t>
  </si>
  <si>
    <t>BERNARDO GOMEZ HENAO</t>
  </si>
  <si>
    <t>ALBA JANNETH GONZALEZ</t>
  </si>
  <si>
    <t>MARIA MELBA SERNA</t>
  </si>
  <si>
    <t>MARIA DORALBA AGUIRRE</t>
  </si>
  <si>
    <t>JAIME SEPULVEDA</t>
  </si>
  <si>
    <t>DIANA PATRICIA ORREGO ZAPATA</t>
  </si>
  <si>
    <t>CARLOS RAFAEL ALVAREZ A.</t>
  </si>
  <si>
    <t>FERNANDO ALBERTO MARIN MOLINA</t>
  </si>
  <si>
    <t>ALVARO MARIN MOLINA</t>
  </si>
  <si>
    <t>ALVARO PORRAS</t>
  </si>
  <si>
    <t>CARMEN CORREA SANCHEZ</t>
  </si>
  <si>
    <t>HECTOR IVAN HERRERA MUNERA</t>
  </si>
  <si>
    <t>ARTURO MARTINEZ GUTIERREZ</t>
  </si>
  <si>
    <t>MARIA DEL SOCORRO M.</t>
  </si>
  <si>
    <t>FERNANDO PRADA</t>
  </si>
  <si>
    <t>ILMA ROJAS DE PRADA</t>
  </si>
  <si>
    <t>RODRIGO HERRERA</t>
  </si>
  <si>
    <t>SANDRA EUGENIA OLAYA</t>
  </si>
  <si>
    <t>MARIA JULIA GARZON TABARES</t>
  </si>
  <si>
    <t>HUMBERTO ECHEVERRY</t>
  </si>
  <si>
    <t>GUSTAVO ADOLFO ECHEVERRI VELAS</t>
  </si>
  <si>
    <t>GABRIEL ANGEL MONTOYA</t>
  </si>
  <si>
    <t>DORA NANCY CLAVIJO R.</t>
  </si>
  <si>
    <t>MARTHA ELENA AGUDELO L.</t>
  </si>
  <si>
    <t>JUAN PABLO ECHEVERRI VELASQUEZ</t>
  </si>
  <si>
    <t>HUGO DE JESUS OCHOA PULGARIN</t>
  </si>
  <si>
    <t>TERESITA CARDONA C.</t>
  </si>
  <si>
    <t>JUAN RICARDO ARANGO GOMEZ</t>
  </si>
  <si>
    <t>LUIS FERNANDO ARANGO GOMEZ</t>
  </si>
  <si>
    <t>JAIME ECHEVERRY VELASQUEZ</t>
  </si>
  <si>
    <t>MARIA HELENA SIERRA P.</t>
  </si>
  <si>
    <t>LUIS JAVIER VALLEJO ZULUAGA</t>
  </si>
  <si>
    <t>DIANA MARIA CORREA</t>
  </si>
  <si>
    <t>MARIA BELARMINA SILVA LONDOÑO</t>
  </si>
  <si>
    <t>CARLOS EFREN MONTOYA RAMIREZ</t>
  </si>
  <si>
    <t>OLGA MARIA BEDOYA G.</t>
  </si>
  <si>
    <t>AUGUSTO BEDOYA ANGEL</t>
  </si>
  <si>
    <t>LUZ AMPARO GALEANO</t>
  </si>
  <si>
    <t>JOHN JAIRO GALLON R.</t>
  </si>
  <si>
    <t>LUZ ELENA MEJIA OSORIO</t>
  </si>
  <si>
    <t>MARIA GILMA MONSALVE DE VELEZ</t>
  </si>
  <si>
    <t>LUIS HUMBERTO MOSCOSO</t>
  </si>
  <si>
    <t>MARTA ELENA CASTAÑO</t>
  </si>
  <si>
    <t>CARLOS MARIO ARANGO PUERTA</t>
  </si>
  <si>
    <t>MARTHA ELENA BOTERO B.</t>
  </si>
  <si>
    <t>ANA ABIGAIL LOPEZ ORTIZ</t>
  </si>
  <si>
    <t>SILVIO ANGEL</t>
  </si>
  <si>
    <t>MARIA STELLA RICO DE ANGEL</t>
  </si>
  <si>
    <t>ANDRES ALBERTO RODRIGUEZ E</t>
  </si>
  <si>
    <t>ROSA STELLA HOYOS O</t>
  </si>
  <si>
    <t>MARTHA LUCIA MOLINA GIRALDO</t>
  </si>
  <si>
    <t>DEISY ALEXANDRA ARROYAVE</t>
  </si>
  <si>
    <t>MARIA TERESA CANO</t>
  </si>
  <si>
    <t>MARIA HERRERA</t>
  </si>
  <si>
    <t>VICTORIA EUGENIA BOHORQUEZ HEN</t>
  </si>
  <si>
    <t>JOHN WILLIAM OCHOA</t>
  </si>
  <si>
    <t>CLAUDIA GONZALEZ</t>
  </si>
  <si>
    <t>LEON HUMBERTO ALVAREZ MESA</t>
  </si>
  <si>
    <t>ANDREA SANCHEZ</t>
  </si>
  <si>
    <t>JORGE ALBERTO ARCILA Q</t>
  </si>
  <si>
    <t>MARIA ESTELA HERNANDEZ Z</t>
  </si>
  <si>
    <t>MARTA MARINA MONTOYA ESTACIO</t>
  </si>
  <si>
    <t>JOSE DARIO ALVAREZ VARGAS</t>
  </si>
  <si>
    <t>MAURICIO RIOS RENDON</t>
  </si>
  <si>
    <t>ELIANA GARCIA PEREZ</t>
  </si>
  <si>
    <t>JUAN PABLO RESTREPO OSORIO</t>
  </si>
  <si>
    <t>MARTHA ELENA GUTIERREZ PALACIO</t>
  </si>
  <si>
    <t>CARLOS ARTURO LONDOÑO GIRALDO</t>
  </si>
  <si>
    <t>GUILLERMO LONDOÑO GIRALDO</t>
  </si>
  <si>
    <t>MARIBEL MORALES VARGAS</t>
  </si>
  <si>
    <t>JOHN FREDY RIOS GOMEZ</t>
  </si>
  <si>
    <t>LUIS HERNANDO LOPEZ POSSO</t>
  </si>
  <si>
    <t>LUZ AMPARO YEPES TILANO</t>
  </si>
  <si>
    <t>P4</t>
  </si>
  <si>
    <t>WILLIAM VILLAMIL</t>
  </si>
  <si>
    <t>B1</t>
  </si>
  <si>
    <t>JOSE MARIA OCHOA/ADRIANA LOPEZ</t>
  </si>
  <si>
    <t>B4</t>
  </si>
  <si>
    <t>4</t>
  </si>
  <si>
    <t>2</t>
  </si>
  <si>
    <t>3</t>
  </si>
  <si>
    <t>CAETANO</t>
  </si>
  <si>
    <t>CELMIRA DEL SOCORRO TOBON VELA</t>
  </si>
  <si>
    <t>101</t>
  </si>
  <si>
    <t>30 1101</t>
  </si>
  <si>
    <t>REFERENCIA No.  1101</t>
  </si>
  <si>
    <t>102</t>
  </si>
  <si>
    <t>30 1102</t>
  </si>
  <si>
    <t>REFERENCIA No.  1102</t>
  </si>
  <si>
    <t>103</t>
  </si>
  <si>
    <t>30 1103</t>
  </si>
  <si>
    <t>REFERENCIA No.  1103</t>
  </si>
  <si>
    <t>104</t>
  </si>
  <si>
    <t>30 1104</t>
  </si>
  <si>
    <t>REFERENCIA No.  1104</t>
  </si>
  <si>
    <t>201</t>
  </si>
  <si>
    <t>30 1201</t>
  </si>
  <si>
    <t>REFERENCIA No.  1201</t>
  </si>
  <si>
    <t>202</t>
  </si>
  <si>
    <t>30 1202</t>
  </si>
  <si>
    <t>REFERENCIA No.  1202</t>
  </si>
  <si>
    <t>203</t>
  </si>
  <si>
    <t>30 1203</t>
  </si>
  <si>
    <t>REFERENCIA No.  1203</t>
  </si>
  <si>
    <t>204</t>
  </si>
  <si>
    <t>30 1204</t>
  </si>
  <si>
    <t>REFERENCIA No.  1204</t>
  </si>
  <si>
    <t>301</t>
  </si>
  <si>
    <t>30 1301</t>
  </si>
  <si>
    <t>REFERENCIA No.  1301</t>
  </si>
  <si>
    <t>302</t>
  </si>
  <si>
    <t>30 1302</t>
  </si>
  <si>
    <t>REFERENCIA No.  1302</t>
  </si>
  <si>
    <t>REFERENCIA No.  1A303</t>
  </si>
  <si>
    <t>304</t>
  </si>
  <si>
    <t>30 1304</t>
  </si>
  <si>
    <t>REFERENCIA No.  1304</t>
  </si>
  <si>
    <t>401</t>
  </si>
  <si>
    <t>30 1401</t>
  </si>
  <si>
    <t>REFERENCIA No.  1401</t>
  </si>
  <si>
    <t>402</t>
  </si>
  <si>
    <t>30 1402</t>
  </si>
  <si>
    <t>REFERENCIA No.  1402</t>
  </si>
  <si>
    <t>403</t>
  </si>
  <si>
    <t>30 1403</t>
  </si>
  <si>
    <t>REFERENCIA No.  1403</t>
  </si>
  <si>
    <t>404</t>
  </si>
  <si>
    <t>30 1404</t>
  </si>
  <si>
    <t>REFERENCIA No.  1404</t>
  </si>
  <si>
    <t>501</t>
  </si>
  <si>
    <t>30 1501</t>
  </si>
  <si>
    <t>REFERENCIA No.  1501</t>
  </si>
  <si>
    <t>502</t>
  </si>
  <si>
    <t>30 1502</t>
  </si>
  <si>
    <t>REFERENCIA No.  1502</t>
  </si>
  <si>
    <t>503</t>
  </si>
  <si>
    <t>30 1503</t>
  </si>
  <si>
    <t>REFERENCIA No.  1503</t>
  </si>
  <si>
    <t>504</t>
  </si>
  <si>
    <t>30 1504</t>
  </si>
  <si>
    <t>REFERENCIA No.  1504</t>
  </si>
  <si>
    <t>30 2101</t>
  </si>
  <si>
    <t>REFERENCIA No.  2101</t>
  </si>
  <si>
    <t>30 2102</t>
  </si>
  <si>
    <t>REFERENCIA No.  2102</t>
  </si>
  <si>
    <t>30 2201</t>
  </si>
  <si>
    <t>REFERENCIA No.  2201</t>
  </si>
  <si>
    <t>30 2202</t>
  </si>
  <si>
    <t>REFERENCIA No.  2202</t>
  </si>
  <si>
    <t>30 2301</t>
  </si>
  <si>
    <t>REFERENCIA No.  2301</t>
  </si>
  <si>
    <t>30 2302</t>
  </si>
  <si>
    <t>REFERENCIA No.  2302</t>
  </si>
  <si>
    <t>30 2401</t>
  </si>
  <si>
    <t>REFERENCIA No.  2401</t>
  </si>
  <si>
    <t>30 2402</t>
  </si>
  <si>
    <t>REFERENCIA No.  2402</t>
  </si>
  <si>
    <t>30 2501</t>
  </si>
  <si>
    <t>REFERENCIA No.  2501</t>
  </si>
  <si>
    <t>30 2502</t>
  </si>
  <si>
    <t>REFERENCIA No.  2502</t>
  </si>
  <si>
    <t>30 3101</t>
  </si>
  <si>
    <t>REFERENCIA No.  3101</t>
  </si>
  <si>
    <t>30 3102</t>
  </si>
  <si>
    <t>REFERENCIA No.  3102</t>
  </si>
  <si>
    <t>30 3103</t>
  </si>
  <si>
    <t>REFERENCIA No.  3103</t>
  </si>
  <si>
    <t>30 3104</t>
  </si>
  <si>
    <t>REFERENCIA No.  3104</t>
  </si>
  <si>
    <t>30 3201</t>
  </si>
  <si>
    <t>REFERENCIA No.  3201</t>
  </si>
  <si>
    <t>30 3202</t>
  </si>
  <si>
    <t>REFERENCIA No.  3202</t>
  </si>
  <si>
    <t>30 3203</t>
  </si>
  <si>
    <t>REFERENCIA No.  3203</t>
  </si>
  <si>
    <t>30 3204</t>
  </si>
  <si>
    <t>REFERENCIA No.  3204</t>
  </si>
  <si>
    <t>30 3301</t>
  </si>
  <si>
    <t>REFERENCIA No.  3301</t>
  </si>
  <si>
    <t>30 3302</t>
  </si>
  <si>
    <t>REFERENCIA No.  3302</t>
  </si>
  <si>
    <t>303</t>
  </si>
  <si>
    <t>30 3303</t>
  </si>
  <si>
    <t>REFERENCIA No.  3303</t>
  </si>
  <si>
    <t>30 3304</t>
  </si>
  <si>
    <t>REFERENCIA No.  3304</t>
  </si>
  <si>
    <t>30 3401</t>
  </si>
  <si>
    <t>REFERENCIA No.  3401</t>
  </si>
  <si>
    <t>30 3402</t>
  </si>
  <si>
    <t>REFERENCIA No.  3402</t>
  </si>
  <si>
    <t>30 3403</t>
  </si>
  <si>
    <t>30 3404</t>
  </si>
  <si>
    <t>REFERENCIA No.  3404</t>
  </si>
  <si>
    <t>30 3501</t>
  </si>
  <si>
    <t>REFERENCIA No.  3501</t>
  </si>
  <si>
    <t>30 3502</t>
  </si>
  <si>
    <t>REFERENCIA No.  3502</t>
  </si>
  <si>
    <t>30 3503</t>
  </si>
  <si>
    <t>REFERENCIA No.  3503</t>
  </si>
  <si>
    <t>30 3504</t>
  </si>
  <si>
    <t>REFERENCIA No.  3504</t>
  </si>
  <si>
    <t>30 4101</t>
  </si>
  <si>
    <t>REFERENCIA No.  4101</t>
  </si>
  <si>
    <t>30 4102</t>
  </si>
  <si>
    <t>REFERENCIA No.  4102</t>
  </si>
  <si>
    <t>30 4103</t>
  </si>
  <si>
    <t>REFERENCIA No.  4103</t>
  </si>
  <si>
    <t>30 4104</t>
  </si>
  <si>
    <t>REFERENCIA No.  4104</t>
  </si>
  <si>
    <t>105</t>
  </si>
  <si>
    <t>30 4105</t>
  </si>
  <si>
    <t>REFERENCIA No.  4105</t>
  </si>
  <si>
    <t>106</t>
  </si>
  <si>
    <t>30 4106</t>
  </si>
  <si>
    <t>REFERENCIA No.  4106</t>
  </si>
  <si>
    <t>107</t>
  </si>
  <si>
    <t>30 4107</t>
  </si>
  <si>
    <t>REFERENCIA No.  4107</t>
  </si>
  <si>
    <t>108</t>
  </si>
  <si>
    <t>30 4108</t>
  </si>
  <si>
    <t>REFERENCIA No.  4108</t>
  </si>
  <si>
    <t>30 4201</t>
  </si>
  <si>
    <t>REFERENCIA No.  4201</t>
  </si>
  <si>
    <t>30 4202</t>
  </si>
  <si>
    <t>REFERENCIA No.  4202</t>
  </si>
  <si>
    <t>30 4203</t>
  </si>
  <si>
    <t>REFERENCIA No.  4203</t>
  </si>
  <si>
    <t>30 4204</t>
  </si>
  <si>
    <t>REFERENCIA No.  4204</t>
  </si>
  <si>
    <t>205</t>
  </si>
  <si>
    <t>30 4205</t>
  </si>
  <si>
    <t>REFERENCIA No.  4205</t>
  </si>
  <si>
    <t>206</t>
  </si>
  <si>
    <t>30 4206</t>
  </si>
  <si>
    <t>REFERENCIA No.  4206</t>
  </si>
  <si>
    <t>207</t>
  </si>
  <si>
    <t>30 4207</t>
  </si>
  <si>
    <t>REFERENCIA No.  4207</t>
  </si>
  <si>
    <t>208</t>
  </si>
  <si>
    <t>30 4208</t>
  </si>
  <si>
    <t>REFERENCIA No.  4208</t>
  </si>
  <si>
    <t>30 4301</t>
  </si>
  <si>
    <t>REFERENCIA No.  4301</t>
  </si>
  <si>
    <t>30 4302</t>
  </si>
  <si>
    <t>REFERENCIA No.  4302</t>
  </si>
  <si>
    <t>30 4303</t>
  </si>
  <si>
    <t>REFERENCIA No.  4303</t>
  </si>
  <si>
    <t>30 4304</t>
  </si>
  <si>
    <t>REFERENCIA No.  4304</t>
  </si>
  <si>
    <t>305</t>
  </si>
  <si>
    <t>30 4305</t>
  </si>
  <si>
    <t>REFERENCIA No.  4305</t>
  </si>
  <si>
    <t>306</t>
  </si>
  <si>
    <t>30 4306</t>
  </si>
  <si>
    <t>REFERENCIA No.  4306</t>
  </si>
  <si>
    <t>307</t>
  </si>
  <si>
    <t>30 4307</t>
  </si>
  <si>
    <t>REFERENCIA No.  4307</t>
  </si>
  <si>
    <t>308</t>
  </si>
  <si>
    <t>30 4308</t>
  </si>
  <si>
    <t>REFERENCIA No.  4308</t>
  </si>
  <si>
    <t>30 4401</t>
  </si>
  <si>
    <t>REFERENCIA No.  4401</t>
  </si>
  <si>
    <t>30 4402</t>
  </si>
  <si>
    <t>REFERENCIA No.  4402</t>
  </si>
  <si>
    <t>30 4403</t>
  </si>
  <si>
    <t>REFERENCIA No.  4403</t>
  </si>
  <si>
    <t>30 4404</t>
  </si>
  <si>
    <t>REFERENCIA No.  4404</t>
  </si>
  <si>
    <t>405</t>
  </si>
  <si>
    <t>30 4405</t>
  </si>
  <si>
    <t>406</t>
  </si>
  <si>
    <t>30 4406</t>
  </si>
  <si>
    <t>REFERENCIA No.  4406</t>
  </si>
  <si>
    <t>407</t>
  </si>
  <si>
    <t>30 4407</t>
  </si>
  <si>
    <t>REFERENCIA No.  4407</t>
  </si>
  <si>
    <t>408</t>
  </si>
  <si>
    <t>30 4408</t>
  </si>
  <si>
    <t>REFERENCIA No.  4408</t>
  </si>
  <si>
    <t>30 4501</t>
  </si>
  <si>
    <t>REFERENCIA No.  4501</t>
  </si>
  <si>
    <t>30 4502</t>
  </si>
  <si>
    <t>REFERENCIA No.  4502</t>
  </si>
  <si>
    <t>30 4503</t>
  </si>
  <si>
    <t>REFERENCIA No.  4503</t>
  </si>
  <si>
    <t>30 4504</t>
  </si>
  <si>
    <t>REFERENCIA No.  4504</t>
  </si>
  <si>
    <t>505</t>
  </si>
  <si>
    <t>30 4505</t>
  </si>
  <si>
    <t>REFERENCIA No.  4505</t>
  </si>
  <si>
    <t>506</t>
  </si>
  <si>
    <t>30 4506</t>
  </si>
  <si>
    <t>REFERENCIA No.  4506</t>
  </si>
  <si>
    <t>507</t>
  </si>
  <si>
    <t>30 4507</t>
  </si>
  <si>
    <t>REFERENCIA No.  4507</t>
  </si>
  <si>
    <t>508</t>
  </si>
  <si>
    <t>30 4508</t>
  </si>
  <si>
    <t>REFERENCIA No.  4508</t>
  </si>
  <si>
    <t>30P4502</t>
  </si>
  <si>
    <t>REFERENCIA No. P4502</t>
  </si>
  <si>
    <t>30B1301</t>
  </si>
  <si>
    <t>INQUILINO REFERENCIA No.B1301</t>
  </si>
  <si>
    <t>MARIA ELENA HOYOS TOBON</t>
  </si>
  <si>
    <t>30 1303</t>
  </si>
  <si>
    <t>Marta Elena Gomez Hernandez</t>
  </si>
  <si>
    <t>43.911.493</t>
  </si>
  <si>
    <t>Marcela Pelaez Mejia</t>
  </si>
  <si>
    <t>Tarcisio de Jesus Ruiz Brand</t>
  </si>
  <si>
    <t>Javier Restrepo Uribe</t>
  </si>
  <si>
    <t>71.692.999</t>
  </si>
  <si>
    <t>BICICLETA 1 C/U 4300 REF 3-403</t>
  </si>
  <si>
    <t>BICICLETA 1 C/U 4300 REF 4-405</t>
  </si>
  <si>
    <t>Nelson Escudero</t>
  </si>
  <si>
    <t>71.720.138</t>
  </si>
  <si>
    <t>BICICLETA 1  $4.300</t>
  </si>
  <si>
    <t>BICICLETA 4 C/U $4.250</t>
  </si>
  <si>
    <t>30B4302</t>
  </si>
  <si>
    <t>NATALIA CORDOBA</t>
  </si>
  <si>
    <t>INQUILINO REFERENCIA No.B4302</t>
  </si>
  <si>
    <t>BICICLETA 2  $8.500</t>
  </si>
  <si>
    <t>2017</t>
  </si>
  <si>
    <t>29</t>
  </si>
  <si>
    <t>5</t>
  </si>
  <si>
    <t>15</t>
  </si>
  <si>
    <t>6</t>
  </si>
  <si>
    <t>27</t>
  </si>
  <si>
    <t>28</t>
  </si>
  <si>
    <t>21</t>
  </si>
  <si>
    <t>13</t>
  </si>
  <si>
    <t>8</t>
  </si>
  <si>
    <t>Clara Ines Jaramillo Alvarez</t>
  </si>
  <si>
    <t>Javier Eduardo Reyes German</t>
  </si>
  <si>
    <t>7</t>
  </si>
  <si>
    <t>25</t>
  </si>
  <si>
    <t>24</t>
  </si>
  <si>
    <t>31</t>
  </si>
  <si>
    <t>11</t>
  </si>
  <si>
    <t>10</t>
  </si>
  <si>
    <t>19</t>
  </si>
  <si>
    <t>26</t>
  </si>
  <si>
    <t>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</si>
</sst>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0"/>
  </numFmts>
  <fonts count="6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3" fillId="0" borderId="0" xfId="1" applyFont="1"/>
    <xf numFmtId="0" fontId="1" fillId="0" borderId="0" xfId="1" applyFont="1"/>
    <xf numFmtId="1" fontId="4" fillId="0" borderId="0" xfId="1" applyNumberFormat="1" applyFont="1" applyAlignment="1">
      <alignment horizontal="center"/>
    </xf>
    <xf numFmtId="0" fontId="4" fillId="0" borderId="0" xfId="1" applyFont="1" applyAlignment="1">
      <alignment horizontal="center"/>
    </xf>
    <xf numFmtId="3" fontId="4" fillId="0" borderId="0" xfId="1" applyNumberFormat="1" applyFont="1" applyAlignment="1">
      <alignment horizontal="center"/>
    </xf>
    <xf numFmtId="1" fontId="5" fillId="0" borderId="0" xfId="1" applyNumberFormat="1" applyFont="1" applyAlignment="1">
      <alignment horizontal="center"/>
    </xf>
    <xf numFmtId="1" fontId="1" fillId="0" borderId="0" xfId="1" applyNumberFormat="1" applyAlignment="1">
      <alignment horizontal="center"/>
    </xf>
    <xf numFmtId="3" fontId="1" fillId="0" borderId="0" xfId="1" applyNumberFormat="1" applyAlignment="1">
      <alignment horizontal="right"/>
    </xf>
    <xf numFmtId="3" fontId="1" fillId="0" borderId="0" xfId="1" applyNumberFormat="1"/>
    <xf numFmtId="0" fontId="1" fillId="0" borderId="0" xfId="1"/>
    <xf numFmtId="1" fontId="5" fillId="0" borderId="0" xfId="1" quotePrefix="1" applyNumberFormat="1" applyFont="1" applyAlignment="1">
      <alignment horizontal="center"/>
    </xf>
    <xf numFmtId="1" fontId="1" fillId="0" borderId="0" xfId="1" applyNumberFormat="1" applyAlignment="1">
      <alignment horizontal="right"/>
    </xf>
    <xf numFmtId="3" fontId="1" fillId="0" borderId="0" xfId="1" applyNumberFormat="1" applyBorder="1" applyAlignment="1">
      <alignment horizontal="right"/>
    </xf>
    <xf numFmtId="3" fontId="1" fillId="0" borderId="0" xfId="1" applyNumberFormat="1" applyBorder="1"/>
    <xf numFmtId="0" fontId="1" fillId="0" borderId="0" xfId="1" applyBorder="1"/>
    <xf numFmtId="0" fontId="5" fillId="0" borderId="0" xfId="1" applyFont="1" applyAlignment="1">
      <alignment horizontal="center"/>
    </xf>
    <xf numFmtId="0" fontId="5" fillId="2" borderId="0" xfId="1" applyFont="1" applyFill="1" applyAlignment="1">
      <alignment horizontal="center" vertical="center"/>
    </xf>
    <xf numFmtId="3" fontId="5" fillId="0" borderId="0" xfId="1" applyNumberFormat="1" applyFont="1" applyAlignment="1">
      <alignment horizontal="right"/>
    </xf>
    <xf numFmtId="0" fontId="1" fillId="0" borderId="0" xfId="1" applyAlignment="1">
      <alignment horizontal="center"/>
    </xf>
    <xf numFmtId="0" fontId="5" fillId="0" borderId="0" xfId="1" applyFont="1"/>
    <xf numFmtId="0" fontId="5" fillId="2" borderId="0" xfId="1" quotePrefix="1" applyFont="1" applyFill="1" applyAlignment="1">
      <alignment vertical="center"/>
    </xf>
    <xf numFmtId="3" fontId="4" fillId="0" borderId="0" xfId="0" applyNumberFormat="1" applyFont="1" applyAlignment="1">
      <alignment horizontal="center"/>
    </xf>
    <xf numFmtId="0" fontId="2" fillId="0" borderId="0" xfId="1" quotePrefix="1" applyFont="1" applyAlignment="1" applyProtection="1">
      <alignment horizontal="center"/>
      <protection locked="0"/>
    </xf>
    <xf numFmtId="0" fontId="2" fillId="0" borderId="0" xfId="1" applyFont="1" applyAlignment="1" applyProtection="1">
      <alignment horizontal="center"/>
      <protection locked="0"/>
    </xf>
    <xf numFmtId="1" fontId="3" fillId="2" borderId="0" xfId="1" applyNumberFormat="1" applyFont="1" applyFill="1" applyAlignment="1">
      <alignment horizontal="center"/>
    </xf>
    <xf numFmtId="0" fontId="3" fillId="2" borderId="0" xfId="1" applyFont="1" applyFill="1" applyAlignment="1">
      <alignment horizontal="center"/>
    </xf>
    <xf numFmtId="0" fontId="1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Macros/FACTURAS%20Y%20LISTADOS/Macro%20para%20Creaci&#243;n%20de%20Factur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yectos"/>
      <sheetName val="Genérico"/>
    </sheetNames>
    <sheetDataSet>
      <sheetData sheetId="0">
        <row r="4">
          <cell r="E4" t="str">
            <v>Julio</v>
          </cell>
          <cell r="H4">
            <v>2017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R320"/>
  <sheetViews>
    <sheetView tabSelected="1" zoomScaleNormal="100" workbookViewId="0">
      <selection sqref="A1:XFD1048576"/>
    </sheetView>
  </sheetViews>
  <sheetFormatPr baseColWidth="10" defaultRowHeight="12.75" x14ac:dyDescent="0.2"/>
  <cols>
    <col min="1" max="1" width="4.7109375" style="1" customWidth="1"/>
    <col min="2" max="3" width="2.7109375" style="1" customWidth="1"/>
    <col min="4" max="4" width="4.7109375" style="1" customWidth="1"/>
    <col min="5" max="5" width="8.7109375" style="1" customWidth="1"/>
    <col min="6" max="6" width="4.7109375" style="1" customWidth="1"/>
    <col min="7" max="7" width="50.7109375" style="1" customWidth="1"/>
    <col min="8" max="8" width="45.7109375" style="1" customWidth="1"/>
    <col min="9" max="9" width="17.7109375" style="1" customWidth="1"/>
    <col min="10" max="10" width="12.7109375" style="1" customWidth="1"/>
    <col min="11" max="11" width="4.7109375" style="1" customWidth="1"/>
    <col min="12" max="14" width="30.7109375" style="1" customWidth="1"/>
    <col min="15" max="15" width="9.7109375" style="1" customWidth="1"/>
    <col min="16" max="16" width="8.7109375" style="3" customWidth="1"/>
    <col min="17" max="18" width="8.7109375" style="1" customWidth="1"/>
    <col min="19" max="27" width="9.7109375" style="2" customWidth="1"/>
    <col min="28" max="33" width="6.7109375" style="4" customWidth="1"/>
    <col min="34" max="35" width="9.7109375" style="1" customWidth="1"/>
    <col min="36" max="36" width="12.7109375" style="1" customWidth="1"/>
    <col min="37" max="37" width="9.7109375" style="1" customWidth="1"/>
    <col min="38" max="38" width="6.7109375" style="1" customWidth="1"/>
    <col min="39" max="39" width="9.7109375" style="1" customWidth="1"/>
    <col min="40" max="40" width="1.7109375" style="1" customWidth="1"/>
    <col min="41" max="44" width="60.7109375" style="1" customWidth="1"/>
  </cols>
  <sheetData>
    <row r="1" spans="1:44" x14ac:dyDescent="0.2">
      <c r="A1" s="1" t="s">
        <v>16</v>
      </c>
      <c r="B1" s="1" t="s">
        <v>17</v>
      </c>
      <c r="C1" s="1" t="s">
        <v>0</v>
      </c>
      <c r="D1" s="1" t="s">
        <v>1</v>
      </c>
      <c r="E1" s="1" t="s">
        <v>18</v>
      </c>
      <c r="F1" s="1" t="s">
        <v>19</v>
      </c>
      <c r="G1" s="1" t="s">
        <v>21</v>
      </c>
      <c r="H1" s="1" t="s">
        <v>22</v>
      </c>
      <c r="I1" s="1" t="s">
        <v>23</v>
      </c>
      <c r="J1" s="1" t="s">
        <v>24</v>
      </c>
      <c r="K1" s="1" t="s">
        <v>20</v>
      </c>
      <c r="L1" s="1" t="s">
        <v>25</v>
      </c>
      <c r="M1" s="1" t="s">
        <v>26</v>
      </c>
      <c r="N1" s="1" t="s">
        <v>27</v>
      </c>
      <c r="O1" s="1" t="s">
        <v>3</v>
      </c>
      <c r="P1" s="3" t="s">
        <v>28</v>
      </c>
      <c r="Q1" s="1" t="s">
        <v>52</v>
      </c>
      <c r="R1" s="1" t="s">
        <v>53</v>
      </c>
      <c r="S1" s="2" t="s">
        <v>5</v>
      </c>
      <c r="T1" s="2" t="s">
        <v>10</v>
      </c>
      <c r="U1" s="2" t="s">
        <v>11</v>
      </c>
      <c r="V1" s="2" t="s">
        <v>6</v>
      </c>
      <c r="W1" s="2" t="s">
        <v>29</v>
      </c>
      <c r="X1" s="2" t="s">
        <v>7</v>
      </c>
      <c r="Y1" s="2" t="s">
        <v>8</v>
      </c>
      <c r="Z1" s="2" t="s">
        <v>9</v>
      </c>
      <c r="AA1" s="2" t="s">
        <v>67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1" t="s">
        <v>4</v>
      </c>
      <c r="AI1" s="1" t="s">
        <v>36</v>
      </c>
      <c r="AJ1" s="1" t="s">
        <v>37</v>
      </c>
      <c r="AK1" s="1" t="s">
        <v>38</v>
      </c>
      <c r="AL1" s="1" t="s">
        <v>2</v>
      </c>
      <c r="AM1" s="1" t="s">
        <v>13</v>
      </c>
      <c r="AN1" s="1" t="s">
        <v>15</v>
      </c>
      <c r="AO1" s="1" t="s">
        <v>68</v>
      </c>
      <c r="AP1" s="1" t="s">
        <v>69</v>
      </c>
      <c r="AQ1" s="1" t="s">
        <v>70</v>
      </c>
      <c r="AR1" s="1" t="s">
        <v>71</v>
      </c>
    </row>
    <row r="2" spans="1:44" x14ac:dyDescent="0.2">
      <c r="A2" s="1" t="s">
        <v>76</v>
      </c>
      <c r="B2" s="1" t="s">
        <v>72</v>
      </c>
      <c r="C2" s="1" t="s">
        <v>51</v>
      </c>
      <c r="D2" s="1" t="s">
        <v>211</v>
      </c>
      <c r="E2" s="1" t="s">
        <v>212</v>
      </c>
      <c r="H2" s="1" t="s">
        <v>77</v>
      </c>
      <c r="J2" s="1">
        <v>0</v>
      </c>
      <c r="L2" s="1" t="s">
        <v>78</v>
      </c>
      <c r="M2" s="1" t="s">
        <v>79</v>
      </c>
      <c r="N2" s="1" t="s">
        <v>213</v>
      </c>
      <c r="O2" s="1">
        <v>176600</v>
      </c>
      <c r="P2" s="3">
        <v>2.4</v>
      </c>
      <c r="Q2" s="1">
        <v>0</v>
      </c>
      <c r="R2" s="1">
        <v>0</v>
      </c>
      <c r="S2" s="2">
        <v>1.083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1">
        <v>0</v>
      </c>
      <c r="AI2" s="1">
        <v>165000</v>
      </c>
      <c r="AK2" s="1">
        <v>0</v>
      </c>
      <c r="AL2" s="1">
        <v>0</v>
      </c>
      <c r="AM2" s="1">
        <v>1</v>
      </c>
    </row>
    <row r="3" spans="1:44" x14ac:dyDescent="0.2">
      <c r="A3" s="1" t="s">
        <v>76</v>
      </c>
      <c r="B3" s="1" t="s">
        <v>72</v>
      </c>
      <c r="C3" s="1" t="s">
        <v>51</v>
      </c>
      <c r="D3" s="1" t="s">
        <v>214</v>
      </c>
      <c r="E3" s="1" t="s">
        <v>215</v>
      </c>
      <c r="H3" s="1" t="s">
        <v>77</v>
      </c>
      <c r="J3" s="1">
        <v>0</v>
      </c>
      <c r="L3" s="1" t="s">
        <v>80</v>
      </c>
      <c r="M3" s="1" t="s">
        <v>81</v>
      </c>
      <c r="N3" s="1" t="s">
        <v>216</v>
      </c>
      <c r="O3" s="1">
        <v>191900</v>
      </c>
      <c r="P3" s="3">
        <v>2.4</v>
      </c>
      <c r="Q3" s="1">
        <v>0</v>
      </c>
      <c r="R3" s="1">
        <v>0</v>
      </c>
      <c r="S3" s="2">
        <v>1.1759999999999999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1">
        <v>0</v>
      </c>
      <c r="AI3" s="1">
        <v>179300</v>
      </c>
      <c r="AK3" s="1">
        <v>0</v>
      </c>
      <c r="AL3" s="1">
        <v>0</v>
      </c>
      <c r="AM3" s="1">
        <v>1</v>
      </c>
    </row>
    <row r="4" spans="1:44" x14ac:dyDescent="0.2">
      <c r="A4" s="1" t="s">
        <v>76</v>
      </c>
      <c r="B4" s="1" t="s">
        <v>72</v>
      </c>
      <c r="C4" s="1" t="s">
        <v>51</v>
      </c>
      <c r="D4" s="1" t="s">
        <v>217</v>
      </c>
      <c r="E4" s="1" t="s">
        <v>218</v>
      </c>
      <c r="H4" s="1" t="s">
        <v>77</v>
      </c>
      <c r="J4" s="1">
        <v>0</v>
      </c>
      <c r="L4" s="1" t="s">
        <v>82</v>
      </c>
      <c r="N4" s="1" t="s">
        <v>219</v>
      </c>
      <c r="O4" s="1">
        <v>140100</v>
      </c>
      <c r="P4" s="3">
        <v>2.4</v>
      </c>
      <c r="Q4" s="1">
        <v>0</v>
      </c>
      <c r="R4" s="1">
        <v>0</v>
      </c>
      <c r="S4" s="2">
        <v>0.85899999999999999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1">
        <v>0</v>
      </c>
      <c r="AI4" s="1">
        <v>130900</v>
      </c>
      <c r="AK4" s="1">
        <v>0</v>
      </c>
      <c r="AL4" s="1">
        <v>0</v>
      </c>
      <c r="AM4" s="1">
        <v>1</v>
      </c>
    </row>
    <row r="5" spans="1:44" x14ac:dyDescent="0.2">
      <c r="A5" s="1" t="s">
        <v>76</v>
      </c>
      <c r="B5" s="1" t="s">
        <v>72</v>
      </c>
      <c r="C5" s="1" t="s">
        <v>51</v>
      </c>
      <c r="D5" s="1" t="s">
        <v>220</v>
      </c>
      <c r="E5" s="1" t="s">
        <v>221</v>
      </c>
      <c r="H5" s="1" t="s">
        <v>77</v>
      </c>
      <c r="J5" s="1">
        <v>0</v>
      </c>
      <c r="L5" s="1" t="s">
        <v>83</v>
      </c>
      <c r="M5" s="1" t="s">
        <v>84</v>
      </c>
      <c r="N5" s="1" t="s">
        <v>222</v>
      </c>
      <c r="O5" s="1">
        <v>166500</v>
      </c>
      <c r="P5" s="3">
        <v>2.4</v>
      </c>
      <c r="Q5" s="1">
        <v>0</v>
      </c>
      <c r="R5" s="1">
        <v>0</v>
      </c>
      <c r="S5" s="2">
        <v>1.0209999999999999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1">
        <v>0</v>
      </c>
      <c r="AI5" s="1">
        <v>155600</v>
      </c>
      <c r="AK5" s="1">
        <v>0</v>
      </c>
      <c r="AL5" s="1">
        <v>0</v>
      </c>
      <c r="AM5" s="1">
        <v>1</v>
      </c>
    </row>
    <row r="6" spans="1:44" x14ac:dyDescent="0.2">
      <c r="A6" s="1" t="s">
        <v>76</v>
      </c>
      <c r="B6" s="1" t="s">
        <v>72</v>
      </c>
      <c r="C6" s="1" t="s">
        <v>51</v>
      </c>
      <c r="D6" s="1" t="s">
        <v>223</v>
      </c>
      <c r="E6" s="1" t="s">
        <v>224</v>
      </c>
      <c r="H6" s="1" t="s">
        <v>77</v>
      </c>
      <c r="J6" s="1">
        <v>0</v>
      </c>
      <c r="L6" s="1" t="s">
        <v>85</v>
      </c>
      <c r="M6" s="1" t="s">
        <v>86</v>
      </c>
      <c r="N6" s="1" t="s">
        <v>225</v>
      </c>
      <c r="O6" s="1">
        <v>176600</v>
      </c>
      <c r="P6" s="3">
        <v>2.4</v>
      </c>
      <c r="Q6" s="1">
        <v>0</v>
      </c>
      <c r="R6" s="1">
        <v>0</v>
      </c>
      <c r="S6" s="2">
        <v>1.083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1">
        <v>0</v>
      </c>
      <c r="AI6" s="1">
        <v>165000</v>
      </c>
      <c r="AK6" s="1">
        <v>0</v>
      </c>
      <c r="AL6" s="1">
        <v>0</v>
      </c>
      <c r="AM6" s="1">
        <v>1</v>
      </c>
    </row>
    <row r="7" spans="1:44" x14ac:dyDescent="0.2">
      <c r="A7" s="1" t="s">
        <v>76</v>
      </c>
      <c r="B7" s="1" t="s">
        <v>72</v>
      </c>
      <c r="C7" s="1" t="s">
        <v>51</v>
      </c>
      <c r="D7" s="1" t="s">
        <v>226</v>
      </c>
      <c r="E7" s="1" t="s">
        <v>227</v>
      </c>
      <c r="H7" s="1" t="s">
        <v>77</v>
      </c>
      <c r="J7" s="1">
        <v>0</v>
      </c>
      <c r="L7" s="1" t="s">
        <v>87</v>
      </c>
      <c r="M7" s="1" t="s">
        <v>88</v>
      </c>
      <c r="N7" s="1" t="s">
        <v>228</v>
      </c>
      <c r="O7" s="1">
        <v>191900</v>
      </c>
      <c r="P7" s="3">
        <v>2.4</v>
      </c>
      <c r="Q7" s="1">
        <v>0</v>
      </c>
      <c r="R7" s="1">
        <v>0</v>
      </c>
      <c r="S7" s="2">
        <v>1.383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1">
        <v>29500</v>
      </c>
      <c r="AI7" s="1">
        <v>179300</v>
      </c>
      <c r="AK7" s="1">
        <v>0</v>
      </c>
      <c r="AL7" s="1">
        <v>0</v>
      </c>
      <c r="AM7" s="1">
        <v>1</v>
      </c>
    </row>
    <row r="8" spans="1:44" x14ac:dyDescent="0.2">
      <c r="A8" s="1" t="s">
        <v>76</v>
      </c>
      <c r="B8" s="1" t="s">
        <v>72</v>
      </c>
      <c r="C8" s="1" t="s">
        <v>51</v>
      </c>
      <c r="D8" s="1" t="s">
        <v>229</v>
      </c>
      <c r="E8" s="1" t="s">
        <v>230</v>
      </c>
      <c r="H8" s="1" t="s">
        <v>77</v>
      </c>
      <c r="J8" s="1">
        <v>0</v>
      </c>
      <c r="L8" s="1" t="s">
        <v>89</v>
      </c>
      <c r="N8" s="1" t="s">
        <v>231</v>
      </c>
      <c r="O8" s="1">
        <v>140100</v>
      </c>
      <c r="P8" s="3">
        <v>2.4</v>
      </c>
      <c r="Q8" s="1">
        <v>0</v>
      </c>
      <c r="R8" s="1">
        <v>0</v>
      </c>
      <c r="S8" s="2">
        <v>1.0660000000000001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1">
        <v>29500</v>
      </c>
      <c r="AI8" s="1">
        <v>130900</v>
      </c>
      <c r="AK8" s="1">
        <v>0</v>
      </c>
      <c r="AL8" s="1">
        <v>0</v>
      </c>
      <c r="AM8" s="1">
        <v>1</v>
      </c>
    </row>
    <row r="9" spans="1:44" x14ac:dyDescent="0.2">
      <c r="A9" s="1" t="s">
        <v>76</v>
      </c>
      <c r="B9" s="1" t="s">
        <v>72</v>
      </c>
      <c r="C9" s="1" t="s">
        <v>51</v>
      </c>
      <c r="D9" s="1" t="s">
        <v>232</v>
      </c>
      <c r="E9" s="1" t="s">
        <v>233</v>
      </c>
      <c r="H9" s="1" t="s">
        <v>77</v>
      </c>
      <c r="J9" s="1">
        <v>0</v>
      </c>
      <c r="L9" s="1" t="s">
        <v>432</v>
      </c>
      <c r="M9" s="1" t="s">
        <v>209</v>
      </c>
      <c r="N9" s="1" t="s">
        <v>234</v>
      </c>
      <c r="O9" s="1">
        <v>166500</v>
      </c>
      <c r="P9" s="3">
        <v>2.4</v>
      </c>
      <c r="Q9" s="1">
        <v>0</v>
      </c>
      <c r="R9" s="1">
        <v>0</v>
      </c>
      <c r="S9" s="2">
        <v>1.0209999999999999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1">
        <v>0</v>
      </c>
      <c r="AI9" s="1">
        <v>155600</v>
      </c>
      <c r="AK9" s="1">
        <v>0</v>
      </c>
      <c r="AL9" s="1">
        <v>0</v>
      </c>
      <c r="AM9" s="1">
        <v>1</v>
      </c>
    </row>
    <row r="10" spans="1:44" x14ac:dyDescent="0.2">
      <c r="A10" s="1" t="s">
        <v>76</v>
      </c>
      <c r="B10" s="1" t="s">
        <v>72</v>
      </c>
      <c r="C10" s="1" t="s">
        <v>51</v>
      </c>
      <c r="D10" s="1" t="s">
        <v>235</v>
      </c>
      <c r="E10" s="1" t="s">
        <v>236</v>
      </c>
      <c r="H10" s="1" t="s">
        <v>77</v>
      </c>
      <c r="J10" s="1">
        <v>0</v>
      </c>
      <c r="L10" s="1" t="s">
        <v>90</v>
      </c>
      <c r="N10" s="1" t="s">
        <v>237</v>
      </c>
      <c r="O10" s="1">
        <v>176600</v>
      </c>
      <c r="P10" s="3">
        <v>2.4</v>
      </c>
      <c r="Q10" s="1">
        <v>0</v>
      </c>
      <c r="R10" s="1">
        <v>0</v>
      </c>
      <c r="S10" s="2">
        <v>1.083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1">
        <v>0</v>
      </c>
      <c r="AI10" s="1">
        <v>165000</v>
      </c>
      <c r="AK10" s="1">
        <v>0</v>
      </c>
      <c r="AL10" s="1">
        <v>0</v>
      </c>
      <c r="AM10" s="1">
        <v>1</v>
      </c>
    </row>
    <row r="11" spans="1:44" x14ac:dyDescent="0.2">
      <c r="A11" s="1" t="s">
        <v>76</v>
      </c>
      <c r="B11" s="1" t="s">
        <v>72</v>
      </c>
      <c r="C11" s="1" t="s">
        <v>51</v>
      </c>
      <c r="D11" s="1" t="s">
        <v>238</v>
      </c>
      <c r="E11" s="1" t="s">
        <v>239</v>
      </c>
      <c r="H11" s="1" t="s">
        <v>77</v>
      </c>
      <c r="J11" s="1">
        <v>0</v>
      </c>
      <c r="L11" s="1" t="s">
        <v>91</v>
      </c>
      <c r="M11" s="1" t="s">
        <v>92</v>
      </c>
      <c r="N11" s="1" t="s">
        <v>240</v>
      </c>
      <c r="O11" s="1">
        <v>191900</v>
      </c>
      <c r="P11" s="3">
        <v>2.4</v>
      </c>
      <c r="Q11" s="1">
        <v>0</v>
      </c>
      <c r="R11" s="1">
        <v>0</v>
      </c>
      <c r="S11" s="2">
        <v>1.383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1">
        <v>29500</v>
      </c>
      <c r="AI11" s="1">
        <v>179300</v>
      </c>
      <c r="AK11" s="1">
        <v>0</v>
      </c>
      <c r="AL11" s="1">
        <v>0</v>
      </c>
      <c r="AM11" s="1">
        <v>1</v>
      </c>
    </row>
    <row r="12" spans="1:44" x14ac:dyDescent="0.2">
      <c r="A12" s="1" t="s">
        <v>76</v>
      </c>
      <c r="B12" s="1" t="s">
        <v>72</v>
      </c>
      <c r="C12" s="1" t="s">
        <v>51</v>
      </c>
      <c r="D12" s="1" t="s">
        <v>309</v>
      </c>
      <c r="E12" s="1" t="s">
        <v>433</v>
      </c>
      <c r="H12" s="1" t="s">
        <v>77</v>
      </c>
      <c r="J12" s="1">
        <v>0</v>
      </c>
      <c r="L12" s="1" t="s">
        <v>434</v>
      </c>
      <c r="N12" s="1" t="s">
        <v>241</v>
      </c>
      <c r="O12" s="1">
        <v>140100</v>
      </c>
      <c r="P12" s="3">
        <v>2.4</v>
      </c>
      <c r="Q12" s="1">
        <v>0</v>
      </c>
      <c r="R12" s="1">
        <v>0</v>
      </c>
      <c r="S12" s="2">
        <v>0.85899999999999999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1">
        <v>0</v>
      </c>
      <c r="AI12" s="1">
        <v>130900</v>
      </c>
      <c r="AJ12" s="1" t="s">
        <v>435</v>
      </c>
      <c r="AK12" s="1">
        <v>0</v>
      </c>
      <c r="AL12" s="1">
        <v>0</v>
      </c>
      <c r="AM12" s="1">
        <v>1</v>
      </c>
    </row>
    <row r="13" spans="1:44" x14ac:dyDescent="0.2">
      <c r="A13" s="1" t="s">
        <v>76</v>
      </c>
      <c r="B13" s="1" t="s">
        <v>72</v>
      </c>
      <c r="C13" s="1" t="s">
        <v>51</v>
      </c>
      <c r="D13" s="1" t="s">
        <v>242</v>
      </c>
      <c r="E13" s="1" t="s">
        <v>243</v>
      </c>
      <c r="H13" s="1" t="s">
        <v>77</v>
      </c>
      <c r="J13" s="1">
        <v>0</v>
      </c>
      <c r="L13" s="1" t="s">
        <v>93</v>
      </c>
      <c r="M13" s="1" t="s">
        <v>94</v>
      </c>
      <c r="N13" s="1" t="s">
        <v>244</v>
      </c>
      <c r="O13" s="1">
        <v>166500</v>
      </c>
      <c r="P13" s="3">
        <v>2.4</v>
      </c>
      <c r="Q13" s="1">
        <v>0</v>
      </c>
      <c r="R13" s="1">
        <v>0</v>
      </c>
      <c r="S13" s="2">
        <v>1.0209999999999999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1">
        <v>0</v>
      </c>
      <c r="AI13" s="1">
        <v>155600</v>
      </c>
      <c r="AK13" s="1">
        <v>0</v>
      </c>
      <c r="AL13" s="1">
        <v>0</v>
      </c>
      <c r="AM13" s="1">
        <v>1</v>
      </c>
    </row>
    <row r="14" spans="1:44" x14ac:dyDescent="0.2">
      <c r="A14" s="1" t="s">
        <v>76</v>
      </c>
      <c r="B14" s="1" t="s">
        <v>72</v>
      </c>
      <c r="C14" s="1" t="s">
        <v>51</v>
      </c>
      <c r="D14" s="1" t="s">
        <v>245</v>
      </c>
      <c r="E14" s="1" t="s">
        <v>246</v>
      </c>
      <c r="H14" s="1" t="s">
        <v>77</v>
      </c>
      <c r="J14" s="1">
        <v>0</v>
      </c>
      <c r="L14" s="1" t="s">
        <v>95</v>
      </c>
      <c r="N14" s="1" t="s">
        <v>247</v>
      </c>
      <c r="O14" s="1">
        <v>176600</v>
      </c>
      <c r="P14" s="3">
        <v>2.4</v>
      </c>
      <c r="Q14" s="1">
        <v>0</v>
      </c>
      <c r="R14" s="1">
        <v>0</v>
      </c>
      <c r="S14" s="2">
        <v>1.083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1">
        <v>0</v>
      </c>
      <c r="AI14" s="1">
        <v>165000</v>
      </c>
      <c r="AK14" s="1">
        <v>0</v>
      </c>
      <c r="AL14" s="1">
        <v>0</v>
      </c>
      <c r="AM14" s="1">
        <v>1</v>
      </c>
    </row>
    <row r="15" spans="1:44" x14ac:dyDescent="0.2">
      <c r="A15" s="1" t="s">
        <v>76</v>
      </c>
      <c r="B15" s="1" t="s">
        <v>72</v>
      </c>
      <c r="C15" s="1" t="s">
        <v>51</v>
      </c>
      <c r="D15" s="1" t="s">
        <v>248</v>
      </c>
      <c r="E15" s="1" t="s">
        <v>249</v>
      </c>
      <c r="H15" s="1" t="s">
        <v>77</v>
      </c>
      <c r="J15" s="1">
        <v>0</v>
      </c>
      <c r="L15" s="1" t="s">
        <v>96</v>
      </c>
      <c r="M15" s="1" t="s">
        <v>97</v>
      </c>
      <c r="N15" s="1" t="s">
        <v>250</v>
      </c>
      <c r="O15" s="1">
        <v>191900</v>
      </c>
      <c r="P15" s="3">
        <v>2.4</v>
      </c>
      <c r="Q15" s="1">
        <v>0</v>
      </c>
      <c r="R15" s="1">
        <v>0</v>
      </c>
      <c r="S15" s="2">
        <v>1.1759999999999999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1">
        <v>0</v>
      </c>
      <c r="AI15" s="1">
        <v>179300</v>
      </c>
      <c r="AK15" s="1">
        <v>0</v>
      </c>
      <c r="AL15" s="1">
        <v>0</v>
      </c>
      <c r="AM15" s="1">
        <v>1</v>
      </c>
    </row>
    <row r="16" spans="1:44" x14ac:dyDescent="0.2">
      <c r="A16" s="1" t="s">
        <v>76</v>
      </c>
      <c r="B16" s="1" t="s">
        <v>72</v>
      </c>
      <c r="C16" s="1" t="s">
        <v>51</v>
      </c>
      <c r="D16" s="1" t="s">
        <v>251</v>
      </c>
      <c r="E16" s="1" t="s">
        <v>252</v>
      </c>
      <c r="H16" s="1" t="s">
        <v>77</v>
      </c>
      <c r="J16" s="1">
        <v>0</v>
      </c>
      <c r="L16" s="1" t="s">
        <v>98</v>
      </c>
      <c r="M16" s="1" t="s">
        <v>99</v>
      </c>
      <c r="N16" s="1" t="s">
        <v>253</v>
      </c>
      <c r="O16" s="1">
        <v>140100</v>
      </c>
      <c r="P16" s="3">
        <v>2.4</v>
      </c>
      <c r="Q16" s="1">
        <v>0</v>
      </c>
      <c r="R16" s="1">
        <v>0</v>
      </c>
      <c r="S16" s="2">
        <v>0.85899999999999999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1">
        <v>0</v>
      </c>
      <c r="AI16" s="1">
        <v>130900</v>
      </c>
      <c r="AK16" s="1">
        <v>0</v>
      </c>
      <c r="AL16" s="1">
        <v>0</v>
      </c>
      <c r="AM16" s="1">
        <v>1</v>
      </c>
    </row>
    <row r="17" spans="1:39" x14ac:dyDescent="0.2">
      <c r="A17" s="1" t="s">
        <v>76</v>
      </c>
      <c r="B17" s="1" t="s">
        <v>72</v>
      </c>
      <c r="C17" s="1" t="s">
        <v>51</v>
      </c>
      <c r="D17" s="1" t="s">
        <v>254</v>
      </c>
      <c r="E17" s="1" t="s">
        <v>255</v>
      </c>
      <c r="H17" s="1" t="s">
        <v>77</v>
      </c>
      <c r="J17" s="1">
        <v>0</v>
      </c>
      <c r="L17" s="1" t="s">
        <v>100</v>
      </c>
      <c r="N17" s="1" t="s">
        <v>256</v>
      </c>
      <c r="O17" s="1">
        <v>166500</v>
      </c>
      <c r="P17" s="3">
        <v>2.4</v>
      </c>
      <c r="Q17" s="1">
        <v>0</v>
      </c>
      <c r="R17" s="1">
        <v>0</v>
      </c>
      <c r="S17" s="2">
        <v>1.0209999999999999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1">
        <v>0</v>
      </c>
      <c r="AI17" s="1">
        <v>155600</v>
      </c>
      <c r="AK17" s="1">
        <v>0</v>
      </c>
      <c r="AL17" s="1">
        <v>0</v>
      </c>
      <c r="AM17" s="1">
        <v>1</v>
      </c>
    </row>
    <row r="18" spans="1:39" x14ac:dyDescent="0.2">
      <c r="A18" s="1" t="s">
        <v>76</v>
      </c>
      <c r="B18" s="1" t="s">
        <v>72</v>
      </c>
      <c r="C18" s="1" t="s">
        <v>51</v>
      </c>
      <c r="D18" s="1" t="s">
        <v>257</v>
      </c>
      <c r="E18" s="1" t="s">
        <v>258</v>
      </c>
      <c r="H18" s="1" t="s">
        <v>77</v>
      </c>
      <c r="J18" s="1">
        <v>0</v>
      </c>
      <c r="L18" s="1" t="s">
        <v>101</v>
      </c>
      <c r="N18" s="1" t="s">
        <v>259</v>
      </c>
      <c r="O18" s="1">
        <v>176600</v>
      </c>
      <c r="P18" s="3">
        <v>2.4</v>
      </c>
      <c r="Q18" s="1">
        <v>0</v>
      </c>
      <c r="R18" s="1">
        <v>0</v>
      </c>
      <c r="S18" s="2">
        <v>1.083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1">
        <v>0</v>
      </c>
      <c r="AI18" s="1">
        <v>165000</v>
      </c>
      <c r="AK18" s="1">
        <v>0</v>
      </c>
      <c r="AL18" s="1">
        <v>0</v>
      </c>
      <c r="AM18" s="1">
        <v>1</v>
      </c>
    </row>
    <row r="19" spans="1:39" x14ac:dyDescent="0.2">
      <c r="A19" s="1" t="s">
        <v>76</v>
      </c>
      <c r="B19" s="1" t="s">
        <v>72</v>
      </c>
      <c r="C19" s="1" t="s">
        <v>51</v>
      </c>
      <c r="D19" s="1" t="s">
        <v>260</v>
      </c>
      <c r="E19" s="1" t="s">
        <v>261</v>
      </c>
      <c r="H19" s="1" t="s">
        <v>77</v>
      </c>
      <c r="J19" s="1">
        <v>0</v>
      </c>
      <c r="L19" s="1" t="s">
        <v>102</v>
      </c>
      <c r="N19" s="1" t="s">
        <v>262</v>
      </c>
      <c r="O19" s="1">
        <v>191900</v>
      </c>
      <c r="P19" s="3">
        <v>2.4</v>
      </c>
      <c r="Q19" s="1">
        <v>0</v>
      </c>
      <c r="R19" s="1">
        <v>0</v>
      </c>
      <c r="S19" s="2">
        <v>1.1759999999999999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1">
        <v>0</v>
      </c>
      <c r="AI19" s="1">
        <v>179300</v>
      </c>
      <c r="AK19" s="1">
        <v>0</v>
      </c>
      <c r="AL19" s="1">
        <v>0</v>
      </c>
      <c r="AM19" s="1">
        <v>1</v>
      </c>
    </row>
    <row r="20" spans="1:39" x14ac:dyDescent="0.2">
      <c r="A20" s="1" t="s">
        <v>76</v>
      </c>
      <c r="B20" s="1" t="s">
        <v>72</v>
      </c>
      <c r="C20" s="1" t="s">
        <v>51</v>
      </c>
      <c r="D20" s="1" t="s">
        <v>263</v>
      </c>
      <c r="E20" s="1" t="s">
        <v>264</v>
      </c>
      <c r="H20" s="1" t="s">
        <v>77</v>
      </c>
      <c r="J20" s="1">
        <v>0</v>
      </c>
      <c r="L20" s="1" t="s">
        <v>103</v>
      </c>
      <c r="N20" s="1" t="s">
        <v>265</v>
      </c>
      <c r="O20" s="1">
        <v>140100</v>
      </c>
      <c r="P20" s="3">
        <v>2.4</v>
      </c>
      <c r="Q20" s="1">
        <v>0</v>
      </c>
      <c r="R20" s="1">
        <v>0</v>
      </c>
      <c r="S20" s="2">
        <v>0.85899999999999999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1">
        <v>0</v>
      </c>
      <c r="AI20" s="1">
        <v>130900</v>
      </c>
      <c r="AK20" s="1">
        <v>0</v>
      </c>
      <c r="AL20" s="1">
        <v>0</v>
      </c>
      <c r="AM20" s="1">
        <v>1</v>
      </c>
    </row>
    <row r="21" spans="1:39" x14ac:dyDescent="0.2">
      <c r="A21" s="1" t="s">
        <v>76</v>
      </c>
      <c r="B21" s="1" t="s">
        <v>72</v>
      </c>
      <c r="C21" s="1" t="s">
        <v>51</v>
      </c>
      <c r="D21" s="1" t="s">
        <v>266</v>
      </c>
      <c r="E21" s="1" t="s">
        <v>267</v>
      </c>
      <c r="H21" s="1" t="s">
        <v>77</v>
      </c>
      <c r="J21" s="1">
        <v>0</v>
      </c>
      <c r="L21" s="1" t="s">
        <v>104</v>
      </c>
      <c r="N21" s="1" t="s">
        <v>268</v>
      </c>
      <c r="O21" s="1">
        <v>166500</v>
      </c>
      <c r="P21" s="3">
        <v>2.4</v>
      </c>
      <c r="Q21" s="1">
        <v>0</v>
      </c>
      <c r="R21" s="1">
        <v>0</v>
      </c>
      <c r="S21" s="2">
        <v>1.228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1">
        <v>0</v>
      </c>
      <c r="AI21" s="1">
        <v>155600</v>
      </c>
      <c r="AK21" s="1">
        <v>0</v>
      </c>
      <c r="AL21" s="1">
        <v>0</v>
      </c>
      <c r="AM21" s="1">
        <v>1</v>
      </c>
    </row>
    <row r="22" spans="1:39" x14ac:dyDescent="0.2">
      <c r="A22" s="1" t="s">
        <v>76</v>
      </c>
      <c r="B22" s="1" t="s">
        <v>72</v>
      </c>
      <c r="C22" s="1" t="s">
        <v>207</v>
      </c>
      <c r="D22" s="1" t="s">
        <v>211</v>
      </c>
      <c r="E22" s="1" t="s">
        <v>269</v>
      </c>
      <c r="H22" s="1" t="s">
        <v>77</v>
      </c>
      <c r="J22" s="1">
        <v>0</v>
      </c>
      <c r="L22" s="1" t="s">
        <v>105</v>
      </c>
      <c r="N22" s="1" t="s">
        <v>270</v>
      </c>
      <c r="O22" s="1">
        <v>176600</v>
      </c>
      <c r="P22" s="3">
        <v>2.4</v>
      </c>
      <c r="Q22" s="1">
        <v>0</v>
      </c>
      <c r="R22" s="1">
        <v>0</v>
      </c>
      <c r="S22" s="2">
        <v>1.083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1">
        <v>0</v>
      </c>
      <c r="AI22" s="1">
        <v>165000</v>
      </c>
      <c r="AK22" s="1">
        <v>0</v>
      </c>
      <c r="AL22" s="1">
        <v>0</v>
      </c>
      <c r="AM22" s="1">
        <v>1</v>
      </c>
    </row>
    <row r="23" spans="1:39" x14ac:dyDescent="0.2">
      <c r="A23" s="1" t="s">
        <v>76</v>
      </c>
      <c r="B23" s="1" t="s">
        <v>72</v>
      </c>
      <c r="C23" s="1" t="s">
        <v>207</v>
      </c>
      <c r="D23" s="1" t="s">
        <v>214</v>
      </c>
      <c r="E23" s="1" t="s">
        <v>271</v>
      </c>
      <c r="H23" s="1" t="s">
        <v>77</v>
      </c>
      <c r="J23" s="1">
        <v>0</v>
      </c>
      <c r="L23" s="1" t="s">
        <v>80</v>
      </c>
      <c r="N23" s="1" t="s">
        <v>272</v>
      </c>
      <c r="O23" s="1">
        <v>191900</v>
      </c>
      <c r="P23" s="3">
        <v>2.4</v>
      </c>
      <c r="Q23" s="1">
        <v>0</v>
      </c>
      <c r="R23" s="1">
        <v>0</v>
      </c>
      <c r="S23" s="2">
        <v>1.383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1">
        <v>29500</v>
      </c>
      <c r="AI23" s="1">
        <v>179300</v>
      </c>
      <c r="AK23" s="1">
        <v>0</v>
      </c>
      <c r="AL23" s="1">
        <v>0</v>
      </c>
      <c r="AM23" s="1">
        <v>1</v>
      </c>
    </row>
    <row r="24" spans="1:39" x14ac:dyDescent="0.2">
      <c r="A24" s="1" t="s">
        <v>76</v>
      </c>
      <c r="B24" s="1" t="s">
        <v>72</v>
      </c>
      <c r="C24" s="1" t="s">
        <v>207</v>
      </c>
      <c r="D24" s="1" t="s">
        <v>223</v>
      </c>
      <c r="E24" s="1" t="s">
        <v>273</v>
      </c>
      <c r="H24" s="1" t="s">
        <v>77</v>
      </c>
      <c r="J24" s="1">
        <v>0</v>
      </c>
      <c r="L24" s="1" t="s">
        <v>106</v>
      </c>
      <c r="M24" s="1" t="s">
        <v>107</v>
      </c>
      <c r="N24" s="1" t="s">
        <v>274</v>
      </c>
      <c r="O24" s="1">
        <v>176600</v>
      </c>
      <c r="P24" s="3">
        <v>2.4</v>
      </c>
      <c r="Q24" s="1">
        <v>0</v>
      </c>
      <c r="R24" s="1">
        <v>0</v>
      </c>
      <c r="S24" s="2">
        <v>1.083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1">
        <v>0</v>
      </c>
      <c r="AI24" s="1">
        <v>165000</v>
      </c>
      <c r="AK24" s="1">
        <v>0</v>
      </c>
      <c r="AL24" s="1">
        <v>0</v>
      </c>
      <c r="AM24" s="1">
        <v>1</v>
      </c>
    </row>
    <row r="25" spans="1:39" x14ac:dyDescent="0.2">
      <c r="A25" s="1" t="s">
        <v>76</v>
      </c>
      <c r="B25" s="1" t="s">
        <v>72</v>
      </c>
      <c r="C25" s="1" t="s">
        <v>207</v>
      </c>
      <c r="D25" s="1" t="s">
        <v>226</v>
      </c>
      <c r="E25" s="1" t="s">
        <v>275</v>
      </c>
      <c r="H25" s="1" t="s">
        <v>77</v>
      </c>
      <c r="J25" s="1">
        <v>0</v>
      </c>
      <c r="L25" s="1" t="s">
        <v>108</v>
      </c>
      <c r="N25" s="1" t="s">
        <v>276</v>
      </c>
      <c r="O25" s="1">
        <v>191900</v>
      </c>
      <c r="P25" s="3">
        <v>2.4</v>
      </c>
      <c r="Q25" s="1">
        <v>0</v>
      </c>
      <c r="R25" s="1">
        <v>0</v>
      </c>
      <c r="S25" s="2">
        <v>1.1759999999999999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1">
        <v>0</v>
      </c>
      <c r="AI25" s="1">
        <v>179300</v>
      </c>
      <c r="AK25" s="1">
        <v>0</v>
      </c>
      <c r="AL25" s="1">
        <v>0</v>
      </c>
      <c r="AM25" s="1">
        <v>1</v>
      </c>
    </row>
    <row r="26" spans="1:39" x14ac:dyDescent="0.2">
      <c r="A26" s="1" t="s">
        <v>76</v>
      </c>
      <c r="B26" s="1" t="s">
        <v>72</v>
      </c>
      <c r="C26" s="1" t="s">
        <v>207</v>
      </c>
      <c r="D26" s="1" t="s">
        <v>235</v>
      </c>
      <c r="E26" s="1" t="s">
        <v>277</v>
      </c>
      <c r="H26" s="1" t="s">
        <v>77</v>
      </c>
      <c r="J26" s="1">
        <v>0</v>
      </c>
      <c r="L26" s="1" t="s">
        <v>109</v>
      </c>
      <c r="M26" s="1" t="s">
        <v>110</v>
      </c>
      <c r="N26" s="1" t="s">
        <v>278</v>
      </c>
      <c r="O26" s="1">
        <v>176600</v>
      </c>
      <c r="P26" s="3">
        <v>2.4</v>
      </c>
      <c r="Q26" s="1">
        <v>0</v>
      </c>
      <c r="R26" s="1">
        <v>0</v>
      </c>
      <c r="S26" s="2">
        <v>1.083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1">
        <v>0</v>
      </c>
      <c r="AI26" s="1">
        <v>165000</v>
      </c>
      <c r="AK26" s="1">
        <v>0</v>
      </c>
      <c r="AL26" s="1">
        <v>0</v>
      </c>
      <c r="AM26" s="1">
        <v>1</v>
      </c>
    </row>
    <row r="27" spans="1:39" x14ac:dyDescent="0.2">
      <c r="A27" s="1" t="s">
        <v>76</v>
      </c>
      <c r="B27" s="1" t="s">
        <v>72</v>
      </c>
      <c r="C27" s="1" t="s">
        <v>207</v>
      </c>
      <c r="D27" s="1" t="s">
        <v>238</v>
      </c>
      <c r="E27" s="1" t="s">
        <v>279</v>
      </c>
      <c r="H27" s="1" t="s">
        <v>77</v>
      </c>
      <c r="J27" s="1">
        <v>0</v>
      </c>
      <c r="L27" s="1" t="s">
        <v>111</v>
      </c>
      <c r="M27" s="1" t="s">
        <v>112</v>
      </c>
      <c r="N27" s="1" t="s">
        <v>280</v>
      </c>
      <c r="O27" s="1">
        <v>191900</v>
      </c>
      <c r="P27" s="3">
        <v>2.4</v>
      </c>
      <c r="Q27" s="1">
        <v>0</v>
      </c>
      <c r="R27" s="1">
        <v>0</v>
      </c>
      <c r="S27" s="2">
        <v>1.1759999999999999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1">
        <v>0</v>
      </c>
      <c r="AI27" s="1">
        <v>179300</v>
      </c>
      <c r="AK27" s="1">
        <v>0</v>
      </c>
      <c r="AL27" s="1">
        <v>0</v>
      </c>
      <c r="AM27" s="1">
        <v>1</v>
      </c>
    </row>
    <row r="28" spans="1:39" x14ac:dyDescent="0.2">
      <c r="A28" s="1" t="s">
        <v>76</v>
      </c>
      <c r="B28" s="1" t="s">
        <v>72</v>
      </c>
      <c r="C28" s="1" t="s">
        <v>207</v>
      </c>
      <c r="D28" s="1" t="s">
        <v>245</v>
      </c>
      <c r="E28" s="1" t="s">
        <v>281</v>
      </c>
      <c r="H28" s="1" t="s">
        <v>77</v>
      </c>
      <c r="J28" s="1">
        <v>0</v>
      </c>
      <c r="L28" s="1" t="s">
        <v>113</v>
      </c>
      <c r="M28" s="1" t="s">
        <v>114</v>
      </c>
      <c r="N28" s="1" t="s">
        <v>282</v>
      </c>
      <c r="O28" s="1">
        <v>176600</v>
      </c>
      <c r="P28" s="3">
        <v>2.4</v>
      </c>
      <c r="Q28" s="1">
        <v>0</v>
      </c>
      <c r="R28" s="1">
        <v>0</v>
      </c>
      <c r="S28" s="2">
        <v>1.083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1">
        <v>0</v>
      </c>
      <c r="AI28" s="1">
        <v>165000</v>
      </c>
      <c r="AK28" s="1">
        <v>0</v>
      </c>
      <c r="AL28" s="1">
        <v>0</v>
      </c>
      <c r="AM28" s="1">
        <v>1</v>
      </c>
    </row>
    <row r="29" spans="1:39" x14ac:dyDescent="0.2">
      <c r="A29" s="1" t="s">
        <v>76</v>
      </c>
      <c r="B29" s="1" t="s">
        <v>72</v>
      </c>
      <c r="C29" s="1" t="s">
        <v>207</v>
      </c>
      <c r="D29" s="1" t="s">
        <v>248</v>
      </c>
      <c r="E29" s="1" t="s">
        <v>283</v>
      </c>
      <c r="H29" s="1" t="s">
        <v>77</v>
      </c>
      <c r="J29" s="1">
        <v>0</v>
      </c>
      <c r="L29" s="1" t="s">
        <v>115</v>
      </c>
      <c r="M29" s="1" t="s">
        <v>116</v>
      </c>
      <c r="N29" s="1" t="s">
        <v>284</v>
      </c>
      <c r="O29" s="1">
        <v>191900</v>
      </c>
      <c r="P29" s="3">
        <v>2.4</v>
      </c>
      <c r="Q29" s="1">
        <v>0</v>
      </c>
      <c r="R29" s="1">
        <v>0</v>
      </c>
      <c r="S29" s="2">
        <v>1.1759999999999999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1">
        <v>0</v>
      </c>
      <c r="AI29" s="1">
        <v>179300</v>
      </c>
      <c r="AK29" s="1">
        <v>0</v>
      </c>
      <c r="AL29" s="1">
        <v>0</v>
      </c>
      <c r="AM29" s="1">
        <v>1</v>
      </c>
    </row>
    <row r="30" spans="1:39" x14ac:dyDescent="0.2">
      <c r="A30" s="1" t="s">
        <v>76</v>
      </c>
      <c r="B30" s="1" t="s">
        <v>72</v>
      </c>
      <c r="C30" s="1" t="s">
        <v>207</v>
      </c>
      <c r="D30" s="1" t="s">
        <v>257</v>
      </c>
      <c r="E30" s="1" t="s">
        <v>285</v>
      </c>
      <c r="H30" s="1" t="s">
        <v>77</v>
      </c>
      <c r="J30" s="1">
        <v>0</v>
      </c>
      <c r="L30" s="1" t="s">
        <v>117</v>
      </c>
      <c r="N30" s="1" t="s">
        <v>286</v>
      </c>
      <c r="O30" s="1">
        <v>176600</v>
      </c>
      <c r="P30" s="3">
        <v>2.4</v>
      </c>
      <c r="Q30" s="1">
        <v>0</v>
      </c>
      <c r="R30" s="1">
        <v>0</v>
      </c>
      <c r="S30" s="2">
        <v>1.083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1">
        <v>0</v>
      </c>
      <c r="AI30" s="1">
        <v>165000</v>
      </c>
      <c r="AK30" s="1">
        <v>0</v>
      </c>
      <c r="AL30" s="1">
        <v>0</v>
      </c>
      <c r="AM30" s="1">
        <v>1</v>
      </c>
    </row>
    <row r="31" spans="1:39" x14ac:dyDescent="0.2">
      <c r="A31" s="1" t="s">
        <v>76</v>
      </c>
      <c r="B31" s="1" t="s">
        <v>72</v>
      </c>
      <c r="C31" s="1" t="s">
        <v>207</v>
      </c>
      <c r="D31" s="1" t="s">
        <v>260</v>
      </c>
      <c r="E31" s="1" t="s">
        <v>287</v>
      </c>
      <c r="H31" s="1" t="s">
        <v>77</v>
      </c>
      <c r="J31" s="1">
        <v>0</v>
      </c>
      <c r="L31" s="1" t="s">
        <v>118</v>
      </c>
      <c r="N31" s="1" t="s">
        <v>288</v>
      </c>
      <c r="O31" s="1">
        <v>191900</v>
      </c>
      <c r="P31" s="3">
        <v>2.4</v>
      </c>
      <c r="Q31" s="1">
        <v>0</v>
      </c>
      <c r="R31" s="1">
        <v>0</v>
      </c>
      <c r="S31" s="2">
        <v>1.1759999999999999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1">
        <v>0</v>
      </c>
      <c r="AI31" s="1">
        <v>179300</v>
      </c>
      <c r="AK31" s="1">
        <v>0</v>
      </c>
      <c r="AL31" s="1">
        <v>0</v>
      </c>
      <c r="AM31" s="1">
        <v>1</v>
      </c>
    </row>
    <row r="32" spans="1:39" x14ac:dyDescent="0.2">
      <c r="A32" s="1" t="s">
        <v>76</v>
      </c>
      <c r="B32" s="1" t="s">
        <v>72</v>
      </c>
      <c r="C32" s="1" t="s">
        <v>208</v>
      </c>
      <c r="D32" s="1" t="s">
        <v>211</v>
      </c>
      <c r="E32" s="1" t="s">
        <v>289</v>
      </c>
      <c r="H32" s="1" t="s">
        <v>77</v>
      </c>
      <c r="J32" s="1">
        <v>0</v>
      </c>
      <c r="L32" s="1" t="s">
        <v>119</v>
      </c>
      <c r="N32" s="1" t="s">
        <v>290</v>
      </c>
      <c r="O32" s="1">
        <v>176600</v>
      </c>
      <c r="P32" s="3">
        <v>2.4</v>
      </c>
      <c r="Q32" s="1">
        <v>0</v>
      </c>
      <c r="R32" s="1">
        <v>0</v>
      </c>
      <c r="S32" s="2">
        <v>1.083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1">
        <v>0</v>
      </c>
      <c r="AI32" s="1">
        <v>165000</v>
      </c>
      <c r="AK32" s="1">
        <v>0</v>
      </c>
      <c r="AL32" s="1">
        <v>0</v>
      </c>
      <c r="AM32" s="1">
        <v>1</v>
      </c>
    </row>
    <row r="33" spans="1:39" x14ac:dyDescent="0.2">
      <c r="A33" s="1" t="s">
        <v>76</v>
      </c>
      <c r="B33" s="1" t="s">
        <v>72</v>
      </c>
      <c r="C33" s="1" t="s">
        <v>208</v>
      </c>
      <c r="D33" s="1" t="s">
        <v>214</v>
      </c>
      <c r="E33" s="1" t="s">
        <v>291</v>
      </c>
      <c r="H33" s="1" t="s">
        <v>77</v>
      </c>
      <c r="J33" s="1">
        <v>0</v>
      </c>
      <c r="L33" s="1" t="s">
        <v>120</v>
      </c>
      <c r="M33" s="1" t="s">
        <v>121</v>
      </c>
      <c r="N33" s="1" t="s">
        <v>292</v>
      </c>
      <c r="O33" s="1">
        <v>191900</v>
      </c>
      <c r="P33" s="3">
        <v>2.4</v>
      </c>
      <c r="Q33" s="1">
        <v>0</v>
      </c>
      <c r="R33" s="1">
        <v>0</v>
      </c>
      <c r="S33" s="2">
        <v>1.1759999999999999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1">
        <v>0</v>
      </c>
      <c r="AI33" s="1">
        <v>179300</v>
      </c>
      <c r="AK33" s="1">
        <v>0</v>
      </c>
      <c r="AL33" s="1">
        <v>0</v>
      </c>
      <c r="AM33" s="1">
        <v>1</v>
      </c>
    </row>
    <row r="34" spans="1:39" x14ac:dyDescent="0.2">
      <c r="A34" s="1" t="s">
        <v>76</v>
      </c>
      <c r="B34" s="1" t="s">
        <v>72</v>
      </c>
      <c r="C34" s="1" t="s">
        <v>208</v>
      </c>
      <c r="D34" s="1" t="s">
        <v>217</v>
      </c>
      <c r="E34" s="1" t="s">
        <v>293</v>
      </c>
      <c r="H34" s="1" t="s">
        <v>77</v>
      </c>
      <c r="J34" s="1">
        <v>0</v>
      </c>
      <c r="L34" s="1" t="s">
        <v>122</v>
      </c>
      <c r="N34" s="1" t="s">
        <v>294</v>
      </c>
      <c r="O34" s="1">
        <v>140100</v>
      </c>
      <c r="P34" s="3">
        <v>2.4</v>
      </c>
      <c r="Q34" s="1">
        <v>0</v>
      </c>
      <c r="R34" s="1">
        <v>0</v>
      </c>
      <c r="S34" s="2">
        <v>0.85899999999999999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1">
        <v>0</v>
      </c>
      <c r="AI34" s="1">
        <v>130900</v>
      </c>
      <c r="AK34" s="1">
        <v>0</v>
      </c>
      <c r="AL34" s="1">
        <v>0</v>
      </c>
      <c r="AM34" s="1">
        <v>1</v>
      </c>
    </row>
    <row r="35" spans="1:39" x14ac:dyDescent="0.2">
      <c r="A35" s="1" t="s">
        <v>76</v>
      </c>
      <c r="B35" s="1" t="s">
        <v>72</v>
      </c>
      <c r="C35" s="1" t="s">
        <v>208</v>
      </c>
      <c r="D35" s="1" t="s">
        <v>220</v>
      </c>
      <c r="E35" s="1" t="s">
        <v>295</v>
      </c>
      <c r="H35" s="1" t="s">
        <v>77</v>
      </c>
      <c r="J35" s="1">
        <v>0</v>
      </c>
      <c r="L35" s="1" t="s">
        <v>123</v>
      </c>
      <c r="M35" s="1" t="s">
        <v>124</v>
      </c>
      <c r="N35" s="1" t="s">
        <v>296</v>
      </c>
      <c r="O35" s="1">
        <v>166500</v>
      </c>
      <c r="P35" s="3">
        <v>2.4</v>
      </c>
      <c r="Q35" s="1">
        <v>0</v>
      </c>
      <c r="R35" s="1">
        <v>0</v>
      </c>
      <c r="S35" s="2">
        <v>1.228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1">
        <v>29500</v>
      </c>
      <c r="AI35" s="1">
        <v>155600</v>
      </c>
      <c r="AK35" s="1">
        <v>0</v>
      </c>
      <c r="AL35" s="1">
        <v>0</v>
      </c>
      <c r="AM35" s="1">
        <v>1</v>
      </c>
    </row>
    <row r="36" spans="1:39" x14ac:dyDescent="0.2">
      <c r="A36" s="1" t="s">
        <v>76</v>
      </c>
      <c r="B36" s="1" t="s">
        <v>72</v>
      </c>
      <c r="C36" s="1" t="s">
        <v>208</v>
      </c>
      <c r="D36" s="1" t="s">
        <v>223</v>
      </c>
      <c r="E36" s="1" t="s">
        <v>297</v>
      </c>
      <c r="H36" s="1" t="s">
        <v>77</v>
      </c>
      <c r="J36" s="1">
        <v>0</v>
      </c>
      <c r="L36" s="1" t="s">
        <v>438</v>
      </c>
      <c r="N36" s="1" t="s">
        <v>298</v>
      </c>
      <c r="O36" s="1">
        <v>176600</v>
      </c>
      <c r="P36" s="3">
        <v>2.4</v>
      </c>
      <c r="Q36" s="1">
        <v>0</v>
      </c>
      <c r="R36" s="1">
        <v>0</v>
      </c>
      <c r="S36" s="2">
        <v>1.083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1">
        <v>0</v>
      </c>
      <c r="AI36" s="1">
        <v>165000</v>
      </c>
      <c r="AJ36" s="1" t="s">
        <v>439</v>
      </c>
      <c r="AK36" s="1">
        <v>0</v>
      </c>
      <c r="AL36" s="1">
        <v>0</v>
      </c>
      <c r="AM36" s="1">
        <v>1</v>
      </c>
    </row>
    <row r="37" spans="1:39" x14ac:dyDescent="0.2">
      <c r="A37" s="1" t="s">
        <v>76</v>
      </c>
      <c r="B37" s="1" t="s">
        <v>72</v>
      </c>
      <c r="C37" s="1" t="s">
        <v>208</v>
      </c>
      <c r="D37" s="1" t="s">
        <v>226</v>
      </c>
      <c r="E37" s="1" t="s">
        <v>299</v>
      </c>
      <c r="H37" s="1" t="s">
        <v>77</v>
      </c>
      <c r="J37" s="1">
        <v>0</v>
      </c>
      <c r="L37" s="1" t="s">
        <v>125</v>
      </c>
      <c r="M37" s="1" t="s">
        <v>126</v>
      </c>
      <c r="N37" s="1" t="s">
        <v>300</v>
      </c>
      <c r="O37" s="1">
        <v>191900</v>
      </c>
      <c r="P37" s="3">
        <v>2.4</v>
      </c>
      <c r="Q37" s="1">
        <v>0</v>
      </c>
      <c r="R37" s="1">
        <v>0</v>
      </c>
      <c r="S37" s="2">
        <v>1.383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1">
        <v>29500</v>
      </c>
      <c r="AI37" s="1">
        <v>179300</v>
      </c>
      <c r="AK37" s="1">
        <v>0</v>
      </c>
      <c r="AL37" s="1">
        <v>0</v>
      </c>
      <c r="AM37" s="1">
        <v>1</v>
      </c>
    </row>
    <row r="38" spans="1:39" x14ac:dyDescent="0.2">
      <c r="A38" s="1" t="s">
        <v>76</v>
      </c>
      <c r="B38" s="1" t="s">
        <v>72</v>
      </c>
      <c r="C38" s="1" t="s">
        <v>208</v>
      </c>
      <c r="D38" s="1" t="s">
        <v>229</v>
      </c>
      <c r="E38" s="1" t="s">
        <v>301</v>
      </c>
      <c r="H38" s="1" t="s">
        <v>77</v>
      </c>
      <c r="J38" s="1">
        <v>0</v>
      </c>
      <c r="L38" s="1" t="s">
        <v>127</v>
      </c>
      <c r="N38" s="1" t="s">
        <v>302</v>
      </c>
      <c r="O38" s="1">
        <v>140100</v>
      </c>
      <c r="P38" s="3">
        <v>2.4</v>
      </c>
      <c r="Q38" s="1">
        <v>0</v>
      </c>
      <c r="R38" s="1">
        <v>0</v>
      </c>
      <c r="S38" s="2">
        <v>0.85899999999999999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1">
        <v>0</v>
      </c>
      <c r="AI38" s="1">
        <v>130900</v>
      </c>
      <c r="AK38" s="1">
        <v>0</v>
      </c>
      <c r="AL38" s="1">
        <v>0</v>
      </c>
      <c r="AM38" s="1">
        <v>1</v>
      </c>
    </row>
    <row r="39" spans="1:39" x14ac:dyDescent="0.2">
      <c r="A39" s="1" t="s">
        <v>76</v>
      </c>
      <c r="B39" s="1" t="s">
        <v>72</v>
      </c>
      <c r="C39" s="1" t="s">
        <v>208</v>
      </c>
      <c r="D39" s="1" t="s">
        <v>232</v>
      </c>
      <c r="E39" s="1" t="s">
        <v>303</v>
      </c>
      <c r="H39" s="1" t="s">
        <v>77</v>
      </c>
      <c r="J39" s="1">
        <v>0</v>
      </c>
      <c r="L39" s="1" t="s">
        <v>128</v>
      </c>
      <c r="N39" s="1" t="s">
        <v>304</v>
      </c>
      <c r="O39" s="1">
        <v>166500</v>
      </c>
      <c r="P39" s="3">
        <v>2.4</v>
      </c>
      <c r="Q39" s="1">
        <v>0</v>
      </c>
      <c r="R39" s="1">
        <v>0</v>
      </c>
      <c r="S39" s="2">
        <v>1.0209999999999999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1">
        <v>0</v>
      </c>
      <c r="AI39" s="1">
        <v>155600</v>
      </c>
      <c r="AK39" s="1">
        <v>0</v>
      </c>
      <c r="AL39" s="1">
        <v>0</v>
      </c>
      <c r="AM39" s="1">
        <v>1</v>
      </c>
    </row>
    <row r="40" spans="1:39" x14ac:dyDescent="0.2">
      <c r="A40" s="1" t="s">
        <v>76</v>
      </c>
      <c r="B40" s="1" t="s">
        <v>72</v>
      </c>
      <c r="C40" s="1" t="s">
        <v>208</v>
      </c>
      <c r="D40" s="1" t="s">
        <v>235</v>
      </c>
      <c r="E40" s="1" t="s">
        <v>305</v>
      </c>
      <c r="H40" s="1" t="s">
        <v>77</v>
      </c>
      <c r="J40" s="1">
        <v>0</v>
      </c>
      <c r="L40" s="1" t="s">
        <v>129</v>
      </c>
      <c r="M40" s="1" t="s">
        <v>130</v>
      </c>
      <c r="N40" s="1" t="s">
        <v>306</v>
      </c>
      <c r="O40" s="1">
        <v>176600</v>
      </c>
      <c r="P40" s="3">
        <v>2.4</v>
      </c>
      <c r="Q40" s="1">
        <v>0</v>
      </c>
      <c r="R40" s="1">
        <v>0</v>
      </c>
      <c r="S40" s="2">
        <v>1.083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1">
        <v>0</v>
      </c>
      <c r="AI40" s="1">
        <v>165000</v>
      </c>
      <c r="AK40" s="1">
        <v>0</v>
      </c>
      <c r="AL40" s="1">
        <v>0</v>
      </c>
      <c r="AM40" s="1">
        <v>1</v>
      </c>
    </row>
    <row r="41" spans="1:39" x14ac:dyDescent="0.2">
      <c r="A41" s="1" t="s">
        <v>76</v>
      </c>
      <c r="B41" s="1" t="s">
        <v>72</v>
      </c>
      <c r="C41" s="1" t="s">
        <v>208</v>
      </c>
      <c r="D41" s="1" t="s">
        <v>238</v>
      </c>
      <c r="E41" s="1" t="s">
        <v>307</v>
      </c>
      <c r="H41" s="1" t="s">
        <v>77</v>
      </c>
      <c r="J41" s="1">
        <v>0</v>
      </c>
      <c r="L41" s="1" t="s">
        <v>131</v>
      </c>
      <c r="M41" s="1" t="s">
        <v>132</v>
      </c>
      <c r="N41" s="1" t="s">
        <v>308</v>
      </c>
      <c r="O41" s="1">
        <v>191900</v>
      </c>
      <c r="P41" s="3">
        <v>2.4</v>
      </c>
      <c r="Q41" s="1">
        <v>0</v>
      </c>
      <c r="R41" s="1">
        <v>0</v>
      </c>
      <c r="S41" s="2">
        <v>1.383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1">
        <v>29500</v>
      </c>
      <c r="AI41" s="1">
        <v>179300</v>
      </c>
      <c r="AK41" s="1">
        <v>0</v>
      </c>
      <c r="AL41" s="1">
        <v>0</v>
      </c>
      <c r="AM41" s="1">
        <v>1</v>
      </c>
    </row>
    <row r="42" spans="1:39" x14ac:dyDescent="0.2">
      <c r="A42" s="1" t="s">
        <v>76</v>
      </c>
      <c r="B42" s="1" t="s">
        <v>72</v>
      </c>
      <c r="C42" s="1" t="s">
        <v>208</v>
      </c>
      <c r="D42" s="1" t="s">
        <v>309</v>
      </c>
      <c r="E42" s="1" t="s">
        <v>310</v>
      </c>
      <c r="H42" s="1" t="s">
        <v>77</v>
      </c>
      <c r="J42" s="1">
        <v>0</v>
      </c>
      <c r="L42" s="1" t="s">
        <v>133</v>
      </c>
      <c r="M42" s="1" t="s">
        <v>134</v>
      </c>
      <c r="N42" s="1" t="s">
        <v>311</v>
      </c>
      <c r="O42" s="1">
        <v>140100</v>
      </c>
      <c r="P42" s="3">
        <v>2.4</v>
      </c>
      <c r="Q42" s="1">
        <v>0</v>
      </c>
      <c r="R42" s="1">
        <v>0</v>
      </c>
      <c r="S42" s="2">
        <v>0.85899999999999999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1">
        <v>0</v>
      </c>
      <c r="AI42" s="1">
        <v>130900</v>
      </c>
      <c r="AK42" s="1">
        <v>0</v>
      </c>
      <c r="AL42" s="1">
        <v>0</v>
      </c>
      <c r="AM42" s="1">
        <v>1</v>
      </c>
    </row>
    <row r="43" spans="1:39" x14ac:dyDescent="0.2">
      <c r="A43" s="1" t="s">
        <v>76</v>
      </c>
      <c r="B43" s="1" t="s">
        <v>72</v>
      </c>
      <c r="C43" s="1" t="s">
        <v>208</v>
      </c>
      <c r="D43" s="1" t="s">
        <v>242</v>
      </c>
      <c r="E43" s="1" t="s">
        <v>312</v>
      </c>
      <c r="H43" s="1" t="s">
        <v>77</v>
      </c>
      <c r="J43" s="1">
        <v>0</v>
      </c>
      <c r="L43" s="1" t="s">
        <v>135</v>
      </c>
      <c r="M43" s="1" t="s">
        <v>136</v>
      </c>
      <c r="N43" s="1" t="s">
        <v>313</v>
      </c>
      <c r="O43" s="1">
        <v>166500</v>
      </c>
      <c r="P43" s="3">
        <v>2.4</v>
      </c>
      <c r="Q43" s="1">
        <v>0</v>
      </c>
      <c r="R43" s="1">
        <v>0</v>
      </c>
      <c r="S43" s="2">
        <v>1.228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1">
        <v>29500</v>
      </c>
      <c r="AI43" s="1">
        <v>155600</v>
      </c>
      <c r="AK43" s="1">
        <v>0</v>
      </c>
      <c r="AL43" s="1">
        <v>0</v>
      </c>
      <c r="AM43" s="1">
        <v>1</v>
      </c>
    </row>
    <row r="44" spans="1:39" x14ac:dyDescent="0.2">
      <c r="A44" s="1" t="s">
        <v>76</v>
      </c>
      <c r="B44" s="1" t="s">
        <v>72</v>
      </c>
      <c r="C44" s="1" t="s">
        <v>208</v>
      </c>
      <c r="D44" s="1" t="s">
        <v>245</v>
      </c>
      <c r="E44" s="1" t="s">
        <v>314</v>
      </c>
      <c r="H44" s="1" t="s">
        <v>77</v>
      </c>
      <c r="J44" s="1">
        <v>0</v>
      </c>
      <c r="L44" s="1" t="s">
        <v>137</v>
      </c>
      <c r="M44" s="1" t="s">
        <v>138</v>
      </c>
      <c r="N44" s="1" t="s">
        <v>315</v>
      </c>
      <c r="O44" s="1">
        <v>176600</v>
      </c>
      <c r="P44" s="3">
        <v>2.4</v>
      </c>
      <c r="Q44" s="1">
        <v>0</v>
      </c>
      <c r="R44" s="1">
        <v>0</v>
      </c>
      <c r="S44" s="2">
        <v>1.29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1">
        <v>29500</v>
      </c>
      <c r="AI44" s="1">
        <v>165000</v>
      </c>
      <c r="AK44" s="1">
        <v>0</v>
      </c>
      <c r="AL44" s="1">
        <v>0</v>
      </c>
      <c r="AM44" s="1">
        <v>1</v>
      </c>
    </row>
    <row r="45" spans="1:39" x14ac:dyDescent="0.2">
      <c r="A45" s="1" t="s">
        <v>76</v>
      </c>
      <c r="B45" s="1" t="s">
        <v>72</v>
      </c>
      <c r="C45" s="1" t="s">
        <v>208</v>
      </c>
      <c r="D45" s="1" t="s">
        <v>248</v>
      </c>
      <c r="E45" s="1" t="s">
        <v>316</v>
      </c>
      <c r="H45" s="1" t="s">
        <v>77</v>
      </c>
      <c r="J45" s="1">
        <v>0</v>
      </c>
      <c r="L45" s="1" t="s">
        <v>139</v>
      </c>
      <c r="N45" s="1" t="s">
        <v>317</v>
      </c>
      <c r="O45" s="1">
        <v>191900</v>
      </c>
      <c r="P45" s="3">
        <v>2.4</v>
      </c>
      <c r="Q45" s="1">
        <v>0</v>
      </c>
      <c r="R45" s="1">
        <v>0</v>
      </c>
      <c r="S45" s="2">
        <v>1.383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1">
        <v>29500</v>
      </c>
      <c r="AI45" s="1">
        <v>179300</v>
      </c>
      <c r="AK45" s="1">
        <v>0</v>
      </c>
      <c r="AL45" s="1">
        <v>0</v>
      </c>
      <c r="AM45" s="1">
        <v>1</v>
      </c>
    </row>
    <row r="46" spans="1:39" x14ac:dyDescent="0.2">
      <c r="A46" s="1" t="s">
        <v>76</v>
      </c>
      <c r="B46" s="1" t="s">
        <v>72</v>
      </c>
      <c r="C46" s="1" t="s">
        <v>208</v>
      </c>
      <c r="D46" s="1" t="s">
        <v>251</v>
      </c>
      <c r="E46" s="1" t="s">
        <v>318</v>
      </c>
      <c r="H46" s="1" t="s">
        <v>77</v>
      </c>
      <c r="J46" s="1">
        <v>0</v>
      </c>
      <c r="L46" s="1" t="s">
        <v>140</v>
      </c>
      <c r="M46" s="1" t="s">
        <v>141</v>
      </c>
      <c r="N46" s="1" t="s">
        <v>440</v>
      </c>
      <c r="O46" s="1">
        <v>140100</v>
      </c>
      <c r="P46" s="3">
        <v>2.4</v>
      </c>
      <c r="Q46" s="1">
        <v>0</v>
      </c>
      <c r="R46" s="1">
        <v>0</v>
      </c>
      <c r="S46" s="2">
        <v>0.85899999999999999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1">
        <v>0</v>
      </c>
      <c r="AI46" s="1">
        <v>130900</v>
      </c>
      <c r="AK46" s="1">
        <v>0</v>
      </c>
      <c r="AL46" s="1">
        <v>0</v>
      </c>
      <c r="AM46" s="1">
        <v>1</v>
      </c>
    </row>
    <row r="47" spans="1:39" x14ac:dyDescent="0.2">
      <c r="A47" s="1" t="s">
        <v>76</v>
      </c>
      <c r="B47" s="1" t="s">
        <v>72</v>
      </c>
      <c r="C47" s="1" t="s">
        <v>208</v>
      </c>
      <c r="D47" s="1" t="s">
        <v>254</v>
      </c>
      <c r="E47" s="1" t="s">
        <v>319</v>
      </c>
      <c r="H47" s="1" t="s">
        <v>77</v>
      </c>
      <c r="J47" s="1">
        <v>0</v>
      </c>
      <c r="L47" s="1" t="s">
        <v>142</v>
      </c>
      <c r="M47" s="1" t="s">
        <v>143</v>
      </c>
      <c r="N47" s="1" t="s">
        <v>320</v>
      </c>
      <c r="O47" s="1">
        <v>166500</v>
      </c>
      <c r="P47" s="3">
        <v>2.4</v>
      </c>
      <c r="Q47" s="1">
        <v>0</v>
      </c>
      <c r="R47" s="1">
        <v>0</v>
      </c>
      <c r="S47" s="2">
        <v>1.0209999999999999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1">
        <v>0</v>
      </c>
      <c r="AI47" s="1">
        <v>155600</v>
      </c>
      <c r="AK47" s="1">
        <v>0</v>
      </c>
      <c r="AL47" s="1">
        <v>0</v>
      </c>
      <c r="AM47" s="1">
        <v>1</v>
      </c>
    </row>
    <row r="48" spans="1:39" x14ac:dyDescent="0.2">
      <c r="A48" s="1" t="s">
        <v>76</v>
      </c>
      <c r="B48" s="1" t="s">
        <v>72</v>
      </c>
      <c r="C48" s="1" t="s">
        <v>208</v>
      </c>
      <c r="D48" s="1" t="s">
        <v>257</v>
      </c>
      <c r="E48" s="1" t="s">
        <v>321</v>
      </c>
      <c r="H48" s="1" t="s">
        <v>77</v>
      </c>
      <c r="J48" s="1">
        <v>0</v>
      </c>
      <c r="L48" s="1" t="s">
        <v>144</v>
      </c>
      <c r="N48" s="1" t="s">
        <v>322</v>
      </c>
      <c r="O48" s="1">
        <v>176600</v>
      </c>
      <c r="P48" s="3">
        <v>2.4</v>
      </c>
      <c r="Q48" s="1">
        <v>0</v>
      </c>
      <c r="R48" s="1">
        <v>0</v>
      </c>
      <c r="S48" s="2">
        <v>1.29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1">
        <v>29500</v>
      </c>
      <c r="AI48" s="1">
        <v>165000</v>
      </c>
      <c r="AK48" s="1">
        <v>0</v>
      </c>
      <c r="AL48" s="1">
        <v>0</v>
      </c>
      <c r="AM48" s="1">
        <v>1</v>
      </c>
    </row>
    <row r="49" spans="1:39" x14ac:dyDescent="0.2">
      <c r="A49" s="1" t="s">
        <v>76</v>
      </c>
      <c r="B49" s="1" t="s">
        <v>72</v>
      </c>
      <c r="C49" s="1" t="s">
        <v>208</v>
      </c>
      <c r="D49" s="1" t="s">
        <v>260</v>
      </c>
      <c r="E49" s="1" t="s">
        <v>323</v>
      </c>
      <c r="H49" s="1" t="s">
        <v>77</v>
      </c>
      <c r="J49" s="1">
        <v>0</v>
      </c>
      <c r="L49" s="1" t="s">
        <v>145</v>
      </c>
      <c r="N49" s="1" t="s">
        <v>324</v>
      </c>
      <c r="O49" s="1">
        <v>191900</v>
      </c>
      <c r="P49" s="3">
        <v>2.4</v>
      </c>
      <c r="Q49" s="1">
        <v>0</v>
      </c>
      <c r="R49" s="1">
        <v>0</v>
      </c>
      <c r="S49" s="2">
        <v>1.1759999999999999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1">
        <v>0</v>
      </c>
      <c r="AI49" s="1">
        <v>179300</v>
      </c>
      <c r="AK49" s="1">
        <v>0</v>
      </c>
      <c r="AL49" s="1">
        <v>0</v>
      </c>
      <c r="AM49" s="1">
        <v>1</v>
      </c>
    </row>
    <row r="50" spans="1:39" x14ac:dyDescent="0.2">
      <c r="A50" s="1" t="s">
        <v>76</v>
      </c>
      <c r="B50" s="1" t="s">
        <v>72</v>
      </c>
      <c r="C50" s="1" t="s">
        <v>208</v>
      </c>
      <c r="D50" s="1" t="s">
        <v>263</v>
      </c>
      <c r="E50" s="1" t="s">
        <v>325</v>
      </c>
      <c r="H50" s="1" t="s">
        <v>77</v>
      </c>
      <c r="J50" s="1">
        <v>0</v>
      </c>
      <c r="L50" s="1" t="s">
        <v>146</v>
      </c>
      <c r="N50" s="1" t="s">
        <v>326</v>
      </c>
      <c r="O50" s="1">
        <v>140100</v>
      </c>
      <c r="P50" s="3">
        <v>2.4</v>
      </c>
      <c r="Q50" s="1">
        <v>0</v>
      </c>
      <c r="R50" s="1">
        <v>0</v>
      </c>
      <c r="S50" s="2">
        <v>0.85899999999999999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1">
        <v>0</v>
      </c>
      <c r="AI50" s="1">
        <v>130900</v>
      </c>
      <c r="AK50" s="1">
        <v>0</v>
      </c>
      <c r="AL50" s="1">
        <v>0</v>
      </c>
      <c r="AM50" s="1">
        <v>1</v>
      </c>
    </row>
    <row r="51" spans="1:39" x14ac:dyDescent="0.2">
      <c r="A51" s="1" t="s">
        <v>76</v>
      </c>
      <c r="B51" s="1" t="s">
        <v>72</v>
      </c>
      <c r="C51" s="1" t="s">
        <v>208</v>
      </c>
      <c r="D51" s="1" t="s">
        <v>266</v>
      </c>
      <c r="E51" s="1" t="s">
        <v>327</v>
      </c>
      <c r="H51" s="1" t="s">
        <v>77</v>
      </c>
      <c r="J51" s="1">
        <v>0</v>
      </c>
      <c r="L51" s="1" t="s">
        <v>147</v>
      </c>
      <c r="N51" s="1" t="s">
        <v>328</v>
      </c>
      <c r="O51" s="1">
        <v>166500</v>
      </c>
      <c r="P51" s="3">
        <v>0</v>
      </c>
      <c r="Q51" s="1">
        <v>0</v>
      </c>
      <c r="R51" s="1">
        <v>0</v>
      </c>
      <c r="S51" s="2">
        <v>1.0209999999999999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1">
        <v>0</v>
      </c>
      <c r="AI51" s="1">
        <v>155600</v>
      </c>
      <c r="AK51" s="1">
        <v>0</v>
      </c>
      <c r="AL51" s="1">
        <v>0</v>
      </c>
      <c r="AM51" s="1">
        <v>1</v>
      </c>
    </row>
    <row r="52" spans="1:39" x14ac:dyDescent="0.2">
      <c r="A52" s="1" t="s">
        <v>76</v>
      </c>
      <c r="B52" s="1" t="s">
        <v>72</v>
      </c>
      <c r="C52" s="1" t="s">
        <v>206</v>
      </c>
      <c r="D52" s="1" t="s">
        <v>211</v>
      </c>
      <c r="E52" s="1" t="s">
        <v>329</v>
      </c>
      <c r="H52" s="1" t="s">
        <v>77</v>
      </c>
      <c r="J52" s="1">
        <v>0</v>
      </c>
      <c r="L52" s="1" t="s">
        <v>148</v>
      </c>
      <c r="N52" s="1" t="s">
        <v>330</v>
      </c>
      <c r="O52" s="1">
        <v>140100</v>
      </c>
      <c r="P52" s="3">
        <v>2.4</v>
      </c>
      <c r="Q52" s="1">
        <v>0</v>
      </c>
      <c r="R52" s="1">
        <v>0</v>
      </c>
      <c r="S52" s="2">
        <v>0.85899999999999999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1">
        <v>0</v>
      </c>
      <c r="AI52" s="1">
        <v>130900</v>
      </c>
      <c r="AK52" s="1">
        <v>0</v>
      </c>
      <c r="AL52" s="1">
        <v>0</v>
      </c>
      <c r="AM52" s="1">
        <v>1</v>
      </c>
    </row>
    <row r="53" spans="1:39" x14ac:dyDescent="0.2">
      <c r="A53" s="1" t="s">
        <v>76</v>
      </c>
      <c r="B53" s="1" t="s">
        <v>72</v>
      </c>
      <c r="C53" s="1" t="s">
        <v>206</v>
      </c>
      <c r="D53" s="1" t="s">
        <v>214</v>
      </c>
      <c r="E53" s="1" t="s">
        <v>331</v>
      </c>
      <c r="H53" s="1" t="s">
        <v>77</v>
      </c>
      <c r="J53" s="1">
        <v>0</v>
      </c>
      <c r="L53" s="1" t="s">
        <v>149</v>
      </c>
      <c r="M53" s="1" t="s">
        <v>150</v>
      </c>
      <c r="N53" s="1" t="s">
        <v>332</v>
      </c>
      <c r="O53" s="1">
        <v>166500</v>
      </c>
      <c r="P53" s="3">
        <v>2.4</v>
      </c>
      <c r="Q53" s="1">
        <v>0</v>
      </c>
      <c r="R53" s="1">
        <v>0</v>
      </c>
      <c r="S53" s="2">
        <v>1.0209999999999999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1">
        <v>0</v>
      </c>
      <c r="AI53" s="1">
        <v>155600</v>
      </c>
      <c r="AK53" s="1">
        <v>0</v>
      </c>
      <c r="AL53" s="1">
        <v>0</v>
      </c>
      <c r="AM53" s="1">
        <v>1</v>
      </c>
    </row>
    <row r="54" spans="1:39" x14ac:dyDescent="0.2">
      <c r="A54" s="1" t="s">
        <v>76</v>
      </c>
      <c r="B54" s="1" t="s">
        <v>72</v>
      </c>
      <c r="C54" s="1" t="s">
        <v>206</v>
      </c>
      <c r="D54" s="1" t="s">
        <v>217</v>
      </c>
      <c r="E54" s="1" t="s">
        <v>333</v>
      </c>
      <c r="H54" s="1" t="s">
        <v>77</v>
      </c>
      <c r="J54" s="1">
        <v>0</v>
      </c>
      <c r="L54" s="1" t="s">
        <v>151</v>
      </c>
      <c r="N54" s="1" t="s">
        <v>334</v>
      </c>
      <c r="O54" s="1">
        <v>196300</v>
      </c>
      <c r="P54" s="3">
        <v>2.4</v>
      </c>
      <c r="Q54" s="1">
        <v>0</v>
      </c>
      <c r="R54" s="1">
        <v>0</v>
      </c>
      <c r="S54" s="2">
        <v>1.41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1">
        <v>29500</v>
      </c>
      <c r="AI54" s="1">
        <v>183500</v>
      </c>
      <c r="AK54" s="1">
        <v>0</v>
      </c>
      <c r="AL54" s="1">
        <v>0</v>
      </c>
      <c r="AM54" s="1">
        <v>1</v>
      </c>
    </row>
    <row r="55" spans="1:39" x14ac:dyDescent="0.2">
      <c r="A55" s="1" t="s">
        <v>76</v>
      </c>
      <c r="B55" s="1" t="s">
        <v>72</v>
      </c>
      <c r="C55" s="1" t="s">
        <v>206</v>
      </c>
      <c r="D55" s="1" t="s">
        <v>220</v>
      </c>
      <c r="E55" s="1" t="s">
        <v>335</v>
      </c>
      <c r="H55" s="1" t="s">
        <v>77</v>
      </c>
      <c r="J55" s="1">
        <v>0</v>
      </c>
      <c r="L55" s="1" t="s">
        <v>152</v>
      </c>
      <c r="N55" s="1" t="s">
        <v>336</v>
      </c>
      <c r="O55" s="1">
        <v>216500</v>
      </c>
      <c r="P55" s="3">
        <v>2.4</v>
      </c>
      <c r="Q55" s="1">
        <v>0</v>
      </c>
      <c r="R55" s="1">
        <v>0</v>
      </c>
      <c r="S55" s="2">
        <v>1.5349999999999999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1">
        <v>29500</v>
      </c>
      <c r="AI55" s="1">
        <v>202300</v>
      </c>
      <c r="AK55" s="1">
        <v>0</v>
      </c>
      <c r="AL55" s="1">
        <v>0</v>
      </c>
      <c r="AM55" s="1">
        <v>1</v>
      </c>
    </row>
    <row r="56" spans="1:39" x14ac:dyDescent="0.2">
      <c r="A56" s="1" t="s">
        <v>76</v>
      </c>
      <c r="B56" s="1" t="s">
        <v>72</v>
      </c>
      <c r="C56" s="1" t="s">
        <v>206</v>
      </c>
      <c r="D56" s="1" t="s">
        <v>337</v>
      </c>
      <c r="E56" s="1" t="s">
        <v>338</v>
      </c>
      <c r="H56" s="1" t="s">
        <v>77</v>
      </c>
      <c r="J56" s="1">
        <v>0</v>
      </c>
      <c r="L56" s="1" t="s">
        <v>153</v>
      </c>
      <c r="M56" s="1" t="s">
        <v>154</v>
      </c>
      <c r="N56" s="1" t="s">
        <v>339</v>
      </c>
      <c r="O56" s="1">
        <v>196300</v>
      </c>
      <c r="P56" s="3">
        <v>2.4</v>
      </c>
      <c r="Q56" s="1">
        <v>0</v>
      </c>
      <c r="R56" s="1">
        <v>0</v>
      </c>
      <c r="S56" s="2">
        <v>1.2030000000000001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1">
        <v>0</v>
      </c>
      <c r="AI56" s="1">
        <v>183500</v>
      </c>
      <c r="AK56" s="1">
        <v>0</v>
      </c>
      <c r="AL56" s="1">
        <v>0</v>
      </c>
      <c r="AM56" s="1">
        <v>1</v>
      </c>
    </row>
    <row r="57" spans="1:39" x14ac:dyDescent="0.2">
      <c r="A57" s="1" t="s">
        <v>76</v>
      </c>
      <c r="B57" s="1" t="s">
        <v>72</v>
      </c>
      <c r="C57" s="1" t="s">
        <v>206</v>
      </c>
      <c r="D57" s="1" t="s">
        <v>340</v>
      </c>
      <c r="E57" s="1" t="s">
        <v>341</v>
      </c>
      <c r="H57" s="1" t="s">
        <v>77</v>
      </c>
      <c r="J57" s="1">
        <v>0</v>
      </c>
      <c r="L57" s="1" t="s">
        <v>436</v>
      </c>
      <c r="M57" s="1" t="s">
        <v>437</v>
      </c>
      <c r="N57" s="1" t="s">
        <v>342</v>
      </c>
      <c r="O57" s="1">
        <v>216500</v>
      </c>
      <c r="P57" s="3">
        <v>2.4</v>
      </c>
      <c r="Q57" s="1">
        <v>0</v>
      </c>
      <c r="R57" s="1">
        <v>0</v>
      </c>
      <c r="S57" s="2">
        <v>1.534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1">
        <v>29500</v>
      </c>
      <c r="AI57" s="1">
        <v>202300</v>
      </c>
      <c r="AK57" s="1">
        <v>0</v>
      </c>
      <c r="AL57" s="1">
        <v>0</v>
      </c>
      <c r="AM57" s="1">
        <v>1</v>
      </c>
    </row>
    <row r="58" spans="1:39" x14ac:dyDescent="0.2">
      <c r="A58" s="1" t="s">
        <v>76</v>
      </c>
      <c r="B58" s="1" t="s">
        <v>72</v>
      </c>
      <c r="C58" s="1" t="s">
        <v>206</v>
      </c>
      <c r="D58" s="1" t="s">
        <v>343</v>
      </c>
      <c r="E58" s="1" t="s">
        <v>344</v>
      </c>
      <c r="H58" s="1" t="s">
        <v>77</v>
      </c>
      <c r="J58" s="1">
        <v>0</v>
      </c>
      <c r="L58" s="1" t="s">
        <v>155</v>
      </c>
      <c r="M58" s="1" t="s">
        <v>156</v>
      </c>
      <c r="N58" s="1" t="s">
        <v>345</v>
      </c>
      <c r="O58" s="1">
        <v>140100</v>
      </c>
      <c r="P58" s="3">
        <v>2.4</v>
      </c>
      <c r="Q58" s="1">
        <v>0</v>
      </c>
      <c r="R58" s="1">
        <v>0</v>
      </c>
      <c r="S58" s="2">
        <v>0.85899999999999999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1">
        <v>0</v>
      </c>
      <c r="AI58" s="1">
        <v>130900</v>
      </c>
      <c r="AK58" s="1">
        <v>0</v>
      </c>
      <c r="AL58" s="1">
        <v>0</v>
      </c>
      <c r="AM58" s="1">
        <v>1</v>
      </c>
    </row>
    <row r="59" spans="1:39" x14ac:dyDescent="0.2">
      <c r="A59" s="1" t="s">
        <v>76</v>
      </c>
      <c r="B59" s="1" t="s">
        <v>72</v>
      </c>
      <c r="C59" s="1" t="s">
        <v>206</v>
      </c>
      <c r="D59" s="1" t="s">
        <v>346</v>
      </c>
      <c r="E59" s="1" t="s">
        <v>347</v>
      </c>
      <c r="H59" s="1" t="s">
        <v>77</v>
      </c>
      <c r="J59" s="1">
        <v>0</v>
      </c>
      <c r="L59" s="1" t="s">
        <v>157</v>
      </c>
      <c r="M59" s="1" t="s">
        <v>158</v>
      </c>
      <c r="N59" s="1" t="s">
        <v>348</v>
      </c>
      <c r="O59" s="1">
        <v>166500</v>
      </c>
      <c r="P59" s="3">
        <v>2.4</v>
      </c>
      <c r="Q59" s="1">
        <v>0</v>
      </c>
      <c r="R59" s="1">
        <v>0</v>
      </c>
      <c r="S59" s="2">
        <v>1.0209999999999999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1">
        <v>0</v>
      </c>
      <c r="AI59" s="1">
        <v>155600</v>
      </c>
      <c r="AK59" s="1">
        <v>0</v>
      </c>
      <c r="AL59" s="1">
        <v>0</v>
      </c>
      <c r="AM59" s="1">
        <v>1</v>
      </c>
    </row>
    <row r="60" spans="1:39" x14ac:dyDescent="0.2">
      <c r="A60" s="1" t="s">
        <v>76</v>
      </c>
      <c r="B60" s="1" t="s">
        <v>72</v>
      </c>
      <c r="C60" s="1" t="s">
        <v>206</v>
      </c>
      <c r="D60" s="1" t="s">
        <v>223</v>
      </c>
      <c r="E60" s="1" t="s">
        <v>349</v>
      </c>
      <c r="H60" s="1" t="s">
        <v>77</v>
      </c>
      <c r="J60" s="1">
        <v>0</v>
      </c>
      <c r="L60" s="1" t="s">
        <v>159</v>
      </c>
      <c r="M60" s="1" t="s">
        <v>160</v>
      </c>
      <c r="N60" s="1" t="s">
        <v>350</v>
      </c>
      <c r="O60" s="1">
        <v>140100</v>
      </c>
      <c r="P60" s="3">
        <v>2.4</v>
      </c>
      <c r="Q60" s="1">
        <v>0</v>
      </c>
      <c r="R60" s="1">
        <v>0</v>
      </c>
      <c r="S60" s="2">
        <v>0.85899999999999999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4">
        <v>0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1">
        <v>0</v>
      </c>
      <c r="AI60" s="1">
        <v>130900</v>
      </c>
      <c r="AK60" s="1">
        <v>0</v>
      </c>
      <c r="AL60" s="1">
        <v>0</v>
      </c>
      <c r="AM60" s="1">
        <v>1</v>
      </c>
    </row>
    <row r="61" spans="1:39" x14ac:dyDescent="0.2">
      <c r="A61" s="1" t="s">
        <v>76</v>
      </c>
      <c r="B61" s="1" t="s">
        <v>72</v>
      </c>
      <c r="C61" s="1" t="s">
        <v>206</v>
      </c>
      <c r="D61" s="1" t="s">
        <v>226</v>
      </c>
      <c r="E61" s="1" t="s">
        <v>351</v>
      </c>
      <c r="H61" s="1" t="s">
        <v>77</v>
      </c>
      <c r="J61" s="1">
        <v>0</v>
      </c>
      <c r="L61" s="1" t="s">
        <v>161</v>
      </c>
      <c r="N61" s="1" t="s">
        <v>352</v>
      </c>
      <c r="O61" s="1">
        <v>166500</v>
      </c>
      <c r="P61" s="3">
        <v>2.4</v>
      </c>
      <c r="Q61" s="1">
        <v>0</v>
      </c>
      <c r="R61" s="1">
        <v>0</v>
      </c>
      <c r="S61" s="2">
        <v>1.0209999999999999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1">
        <v>0</v>
      </c>
      <c r="AI61" s="1">
        <v>155600</v>
      </c>
      <c r="AK61" s="1">
        <v>0</v>
      </c>
      <c r="AL61" s="1">
        <v>0</v>
      </c>
      <c r="AM61" s="1">
        <v>1</v>
      </c>
    </row>
    <row r="62" spans="1:39" x14ac:dyDescent="0.2">
      <c r="A62" s="1" t="s">
        <v>76</v>
      </c>
      <c r="B62" s="1" t="s">
        <v>72</v>
      </c>
      <c r="C62" s="1" t="s">
        <v>206</v>
      </c>
      <c r="D62" s="1" t="s">
        <v>229</v>
      </c>
      <c r="E62" s="1" t="s">
        <v>353</v>
      </c>
      <c r="H62" s="1" t="s">
        <v>77</v>
      </c>
      <c r="J62" s="1">
        <v>0</v>
      </c>
      <c r="L62" s="1" t="s">
        <v>162</v>
      </c>
      <c r="M62" s="1" t="s">
        <v>163</v>
      </c>
      <c r="N62" s="1" t="s">
        <v>354</v>
      </c>
      <c r="O62" s="1">
        <v>176600</v>
      </c>
      <c r="P62" s="3">
        <v>2.4</v>
      </c>
      <c r="Q62" s="1">
        <v>0</v>
      </c>
      <c r="R62" s="1">
        <v>0</v>
      </c>
      <c r="S62" s="2">
        <v>1.083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1">
        <v>0</v>
      </c>
      <c r="AI62" s="1">
        <v>165000</v>
      </c>
      <c r="AK62" s="1">
        <v>0</v>
      </c>
      <c r="AL62" s="1">
        <v>0</v>
      </c>
      <c r="AM62" s="1">
        <v>1</v>
      </c>
    </row>
    <row r="63" spans="1:39" x14ac:dyDescent="0.2">
      <c r="A63" s="1" t="s">
        <v>76</v>
      </c>
      <c r="B63" s="1" t="s">
        <v>72</v>
      </c>
      <c r="C63" s="1" t="s">
        <v>206</v>
      </c>
      <c r="D63" s="1" t="s">
        <v>232</v>
      </c>
      <c r="E63" s="1" t="s">
        <v>355</v>
      </c>
      <c r="H63" s="1" t="s">
        <v>77</v>
      </c>
      <c r="J63" s="1">
        <v>0</v>
      </c>
      <c r="L63" s="1" t="s">
        <v>164</v>
      </c>
      <c r="M63" s="1" t="s">
        <v>165</v>
      </c>
      <c r="N63" s="1" t="s">
        <v>356</v>
      </c>
      <c r="O63" s="1">
        <v>191900</v>
      </c>
      <c r="P63" s="3">
        <v>2.4</v>
      </c>
      <c r="Q63" s="1">
        <v>0</v>
      </c>
      <c r="R63" s="1">
        <v>0</v>
      </c>
      <c r="S63" s="2">
        <v>1.1759999999999999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1">
        <v>0</v>
      </c>
      <c r="AI63" s="1">
        <v>179300</v>
      </c>
      <c r="AK63" s="1">
        <v>0</v>
      </c>
      <c r="AL63" s="1">
        <v>0</v>
      </c>
      <c r="AM63" s="1">
        <v>1</v>
      </c>
    </row>
    <row r="64" spans="1:39" x14ac:dyDescent="0.2">
      <c r="A64" s="1" t="s">
        <v>76</v>
      </c>
      <c r="B64" s="1" t="s">
        <v>72</v>
      </c>
      <c r="C64" s="1" t="s">
        <v>206</v>
      </c>
      <c r="D64" s="1" t="s">
        <v>357</v>
      </c>
      <c r="E64" s="1" t="s">
        <v>358</v>
      </c>
      <c r="H64" s="1" t="s">
        <v>77</v>
      </c>
      <c r="J64" s="1">
        <v>0</v>
      </c>
      <c r="L64" s="1" t="s">
        <v>166</v>
      </c>
      <c r="N64" s="1" t="s">
        <v>359</v>
      </c>
      <c r="O64" s="1">
        <v>176600</v>
      </c>
      <c r="P64" s="3">
        <v>2.4</v>
      </c>
      <c r="Q64" s="1">
        <v>0</v>
      </c>
      <c r="R64" s="1">
        <v>0</v>
      </c>
      <c r="S64" s="2">
        <v>1.29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1">
        <v>29500</v>
      </c>
      <c r="AI64" s="1">
        <v>165000</v>
      </c>
      <c r="AK64" s="1">
        <v>0</v>
      </c>
      <c r="AL64" s="1">
        <v>0</v>
      </c>
      <c r="AM64" s="1">
        <v>1</v>
      </c>
    </row>
    <row r="65" spans="1:39" x14ac:dyDescent="0.2">
      <c r="A65" s="1" t="s">
        <v>76</v>
      </c>
      <c r="B65" s="1" t="s">
        <v>72</v>
      </c>
      <c r="C65" s="1" t="s">
        <v>206</v>
      </c>
      <c r="D65" s="1" t="s">
        <v>360</v>
      </c>
      <c r="E65" s="1" t="s">
        <v>361</v>
      </c>
      <c r="H65" s="1" t="s">
        <v>77</v>
      </c>
      <c r="J65" s="1">
        <v>0</v>
      </c>
      <c r="L65" s="1" t="s">
        <v>167</v>
      </c>
      <c r="N65" s="1" t="s">
        <v>362</v>
      </c>
      <c r="O65" s="1">
        <v>191900</v>
      </c>
      <c r="P65" s="3">
        <v>2.4</v>
      </c>
      <c r="Q65" s="1">
        <v>0</v>
      </c>
      <c r="R65" s="1">
        <v>0</v>
      </c>
      <c r="S65" s="2">
        <v>1.383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1">
        <v>29500</v>
      </c>
      <c r="AI65" s="1">
        <v>179300</v>
      </c>
      <c r="AK65" s="1">
        <v>0</v>
      </c>
      <c r="AL65" s="1">
        <v>0</v>
      </c>
      <c r="AM65" s="1">
        <v>1</v>
      </c>
    </row>
    <row r="66" spans="1:39" x14ac:dyDescent="0.2">
      <c r="A66" s="1" t="s">
        <v>76</v>
      </c>
      <c r="B66" s="1" t="s">
        <v>72</v>
      </c>
      <c r="C66" s="1" t="s">
        <v>206</v>
      </c>
      <c r="D66" s="1" t="s">
        <v>363</v>
      </c>
      <c r="E66" s="1" t="s">
        <v>364</v>
      </c>
      <c r="H66" s="1" t="s">
        <v>77</v>
      </c>
      <c r="J66" s="1">
        <v>0</v>
      </c>
      <c r="L66" s="1" t="s">
        <v>168</v>
      </c>
      <c r="N66" s="1" t="s">
        <v>365</v>
      </c>
      <c r="O66" s="1">
        <v>140100</v>
      </c>
      <c r="P66" s="3">
        <v>2.4</v>
      </c>
      <c r="Q66" s="1">
        <v>0</v>
      </c>
      <c r="R66" s="1">
        <v>0</v>
      </c>
      <c r="S66" s="2">
        <v>0.85899999999999999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1">
        <v>0</v>
      </c>
      <c r="AI66" s="1">
        <v>130900</v>
      </c>
      <c r="AK66" s="1">
        <v>0</v>
      </c>
      <c r="AL66" s="1">
        <v>0</v>
      </c>
      <c r="AM66" s="1">
        <v>1</v>
      </c>
    </row>
    <row r="67" spans="1:39" x14ac:dyDescent="0.2">
      <c r="A67" s="1" t="s">
        <v>76</v>
      </c>
      <c r="B67" s="1" t="s">
        <v>72</v>
      </c>
      <c r="C67" s="1" t="s">
        <v>206</v>
      </c>
      <c r="D67" s="1" t="s">
        <v>366</v>
      </c>
      <c r="E67" s="1" t="s">
        <v>367</v>
      </c>
      <c r="H67" s="1" t="s">
        <v>77</v>
      </c>
      <c r="J67" s="1">
        <v>0</v>
      </c>
      <c r="L67" s="1" t="s">
        <v>169</v>
      </c>
      <c r="M67" s="1" t="s">
        <v>170</v>
      </c>
      <c r="N67" s="1" t="s">
        <v>368</v>
      </c>
      <c r="O67" s="1">
        <v>166500</v>
      </c>
      <c r="P67" s="3">
        <v>2.4</v>
      </c>
      <c r="Q67" s="1">
        <v>0</v>
      </c>
      <c r="R67" s="1">
        <v>0</v>
      </c>
      <c r="S67" s="2">
        <v>1.0209999999999999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4">
        <v>0</v>
      </c>
      <c r="AC67" s="4">
        <v>0</v>
      </c>
      <c r="AD67" s="4">
        <v>0</v>
      </c>
      <c r="AE67" s="4">
        <v>0</v>
      </c>
      <c r="AF67" s="4">
        <v>0</v>
      </c>
      <c r="AG67" s="4">
        <v>0</v>
      </c>
      <c r="AH67" s="1">
        <v>0</v>
      </c>
      <c r="AI67" s="1">
        <v>155600</v>
      </c>
      <c r="AK67" s="1">
        <v>0</v>
      </c>
      <c r="AL67" s="1">
        <v>0</v>
      </c>
      <c r="AM67" s="1">
        <v>1</v>
      </c>
    </row>
    <row r="68" spans="1:39" x14ac:dyDescent="0.2">
      <c r="A68" s="1" t="s">
        <v>76</v>
      </c>
      <c r="B68" s="1" t="s">
        <v>72</v>
      </c>
      <c r="C68" s="1" t="s">
        <v>206</v>
      </c>
      <c r="D68" s="1" t="s">
        <v>235</v>
      </c>
      <c r="E68" s="1" t="s">
        <v>369</v>
      </c>
      <c r="H68" s="1" t="s">
        <v>77</v>
      </c>
      <c r="J68" s="1">
        <v>0</v>
      </c>
      <c r="L68" s="1" t="s">
        <v>210</v>
      </c>
      <c r="N68" s="1" t="s">
        <v>370</v>
      </c>
      <c r="O68" s="1">
        <v>140100</v>
      </c>
      <c r="P68" s="3">
        <v>2.4</v>
      </c>
      <c r="Q68" s="1">
        <v>0</v>
      </c>
      <c r="R68" s="1">
        <v>0</v>
      </c>
      <c r="S68" s="2">
        <v>0.85899999999999999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1">
        <v>0</v>
      </c>
      <c r="AI68" s="1">
        <v>130900</v>
      </c>
      <c r="AK68" s="1">
        <v>0</v>
      </c>
      <c r="AL68" s="1">
        <v>0</v>
      </c>
      <c r="AM68" s="1">
        <v>1</v>
      </c>
    </row>
    <row r="69" spans="1:39" x14ac:dyDescent="0.2">
      <c r="A69" s="1" t="s">
        <v>76</v>
      </c>
      <c r="B69" s="1" t="s">
        <v>72</v>
      </c>
      <c r="C69" s="1" t="s">
        <v>206</v>
      </c>
      <c r="D69" s="1" t="s">
        <v>238</v>
      </c>
      <c r="E69" s="1" t="s">
        <v>371</v>
      </c>
      <c r="H69" s="1" t="s">
        <v>77</v>
      </c>
      <c r="J69" s="1">
        <v>0</v>
      </c>
      <c r="L69" s="1" t="s">
        <v>171</v>
      </c>
      <c r="M69" s="1" t="s">
        <v>172</v>
      </c>
      <c r="N69" s="1" t="s">
        <v>372</v>
      </c>
      <c r="O69" s="1">
        <v>166500</v>
      </c>
      <c r="P69" s="3">
        <v>2.4</v>
      </c>
      <c r="Q69" s="1">
        <v>0</v>
      </c>
      <c r="R69" s="1">
        <v>0</v>
      </c>
      <c r="S69" s="2">
        <v>1.0209999999999999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4">
        <v>0</v>
      </c>
      <c r="AC69" s="4">
        <v>0</v>
      </c>
      <c r="AD69" s="4">
        <v>0</v>
      </c>
      <c r="AE69" s="4">
        <v>0</v>
      </c>
      <c r="AF69" s="4">
        <v>0</v>
      </c>
      <c r="AG69" s="4">
        <v>0</v>
      </c>
      <c r="AH69" s="1">
        <v>0</v>
      </c>
      <c r="AI69" s="1">
        <v>155600</v>
      </c>
      <c r="AK69" s="1">
        <v>0</v>
      </c>
      <c r="AL69" s="1">
        <v>0</v>
      </c>
      <c r="AM69" s="1">
        <v>1</v>
      </c>
    </row>
    <row r="70" spans="1:39" x14ac:dyDescent="0.2">
      <c r="A70" s="1" t="s">
        <v>76</v>
      </c>
      <c r="B70" s="1" t="s">
        <v>72</v>
      </c>
      <c r="C70" s="1" t="s">
        <v>206</v>
      </c>
      <c r="D70" s="1" t="s">
        <v>309</v>
      </c>
      <c r="E70" s="1" t="s">
        <v>373</v>
      </c>
      <c r="H70" s="1" t="s">
        <v>77</v>
      </c>
      <c r="J70" s="1">
        <v>0</v>
      </c>
      <c r="L70" s="1" t="s">
        <v>173</v>
      </c>
      <c r="N70" s="1" t="s">
        <v>374</v>
      </c>
      <c r="O70" s="1">
        <v>176600</v>
      </c>
      <c r="P70" s="3">
        <v>2.4</v>
      </c>
      <c r="Q70" s="1">
        <v>0</v>
      </c>
      <c r="R70" s="1">
        <v>0</v>
      </c>
      <c r="S70" s="2">
        <v>1.29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1">
        <v>29500</v>
      </c>
      <c r="AI70" s="1">
        <v>165000</v>
      </c>
      <c r="AK70" s="1">
        <v>0</v>
      </c>
      <c r="AL70" s="1">
        <v>0</v>
      </c>
      <c r="AM70" s="1">
        <v>1</v>
      </c>
    </row>
    <row r="71" spans="1:39" x14ac:dyDescent="0.2">
      <c r="A71" s="1" t="s">
        <v>76</v>
      </c>
      <c r="B71" s="1" t="s">
        <v>72</v>
      </c>
      <c r="C71" s="1" t="s">
        <v>206</v>
      </c>
      <c r="D71" s="1" t="s">
        <v>242</v>
      </c>
      <c r="E71" s="1" t="s">
        <v>375</v>
      </c>
      <c r="H71" s="1" t="s">
        <v>77</v>
      </c>
      <c r="J71" s="1">
        <v>0</v>
      </c>
      <c r="L71" s="1" t="s">
        <v>174</v>
      </c>
      <c r="M71" s="1" t="s">
        <v>175</v>
      </c>
      <c r="N71" s="1" t="s">
        <v>376</v>
      </c>
      <c r="O71" s="1">
        <v>191900</v>
      </c>
      <c r="P71" s="3">
        <v>2.4</v>
      </c>
      <c r="Q71" s="1">
        <v>0</v>
      </c>
      <c r="R71" s="1">
        <v>0</v>
      </c>
      <c r="S71" s="2">
        <v>1.383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1">
        <v>29500</v>
      </c>
      <c r="AI71" s="1">
        <v>179300</v>
      </c>
      <c r="AK71" s="1">
        <v>0</v>
      </c>
      <c r="AL71" s="1">
        <v>0</v>
      </c>
      <c r="AM71" s="1">
        <v>1</v>
      </c>
    </row>
    <row r="72" spans="1:39" x14ac:dyDescent="0.2">
      <c r="A72" s="1" t="s">
        <v>76</v>
      </c>
      <c r="B72" s="1" t="s">
        <v>72</v>
      </c>
      <c r="C72" s="1" t="s">
        <v>206</v>
      </c>
      <c r="D72" s="1" t="s">
        <v>377</v>
      </c>
      <c r="E72" s="1" t="s">
        <v>378</v>
      </c>
      <c r="H72" s="1" t="s">
        <v>77</v>
      </c>
      <c r="J72" s="1">
        <v>0</v>
      </c>
      <c r="L72" s="1" t="s">
        <v>176</v>
      </c>
      <c r="M72" s="1" t="s">
        <v>177</v>
      </c>
      <c r="N72" s="1" t="s">
        <v>379</v>
      </c>
      <c r="O72" s="1">
        <v>176600</v>
      </c>
      <c r="P72" s="3">
        <v>2.4</v>
      </c>
      <c r="Q72" s="1">
        <v>0</v>
      </c>
      <c r="R72" s="1">
        <v>0</v>
      </c>
      <c r="S72" s="2">
        <v>1.29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1">
        <v>29500</v>
      </c>
      <c r="AI72" s="1">
        <v>165000</v>
      </c>
      <c r="AK72" s="1">
        <v>0</v>
      </c>
      <c r="AL72" s="1">
        <v>0</v>
      </c>
      <c r="AM72" s="1">
        <v>1</v>
      </c>
    </row>
    <row r="73" spans="1:39" x14ac:dyDescent="0.2">
      <c r="A73" s="1" t="s">
        <v>76</v>
      </c>
      <c r="B73" s="1" t="s">
        <v>72</v>
      </c>
      <c r="C73" s="1" t="s">
        <v>206</v>
      </c>
      <c r="D73" s="1" t="s">
        <v>380</v>
      </c>
      <c r="E73" s="1" t="s">
        <v>381</v>
      </c>
      <c r="H73" s="1" t="s">
        <v>77</v>
      </c>
      <c r="J73" s="1">
        <v>0</v>
      </c>
      <c r="L73" s="1" t="s">
        <v>178</v>
      </c>
      <c r="N73" s="1" t="s">
        <v>382</v>
      </c>
      <c r="O73" s="1">
        <v>191900</v>
      </c>
      <c r="P73" s="3">
        <v>2.4</v>
      </c>
      <c r="Q73" s="1">
        <v>0</v>
      </c>
      <c r="R73" s="1">
        <v>0</v>
      </c>
      <c r="S73" s="2">
        <v>1.383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1">
        <v>29500</v>
      </c>
      <c r="AI73" s="1">
        <v>179300</v>
      </c>
      <c r="AK73" s="1">
        <v>0</v>
      </c>
      <c r="AL73" s="1">
        <v>0</v>
      </c>
      <c r="AM73" s="1">
        <v>1</v>
      </c>
    </row>
    <row r="74" spans="1:39" x14ac:dyDescent="0.2">
      <c r="A74" s="1" t="s">
        <v>76</v>
      </c>
      <c r="B74" s="1" t="s">
        <v>72</v>
      </c>
      <c r="C74" s="1" t="s">
        <v>206</v>
      </c>
      <c r="D74" s="1" t="s">
        <v>383</v>
      </c>
      <c r="E74" s="1" t="s">
        <v>384</v>
      </c>
      <c r="H74" s="1" t="s">
        <v>77</v>
      </c>
      <c r="J74" s="1">
        <v>0</v>
      </c>
      <c r="L74" s="1" t="s">
        <v>179</v>
      </c>
      <c r="N74" s="1" t="s">
        <v>385</v>
      </c>
      <c r="O74" s="1">
        <v>140100</v>
      </c>
      <c r="P74" s="3">
        <v>2.4</v>
      </c>
      <c r="Q74" s="1">
        <v>0</v>
      </c>
      <c r="R74" s="1">
        <v>0</v>
      </c>
      <c r="S74" s="2">
        <v>1.0660000000000001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1">
        <v>29500</v>
      </c>
      <c r="AI74" s="1">
        <v>130900</v>
      </c>
      <c r="AK74" s="1">
        <v>0</v>
      </c>
      <c r="AL74" s="1">
        <v>0</v>
      </c>
      <c r="AM74" s="1">
        <v>1</v>
      </c>
    </row>
    <row r="75" spans="1:39" x14ac:dyDescent="0.2">
      <c r="A75" s="1" t="s">
        <v>76</v>
      </c>
      <c r="B75" s="1" t="s">
        <v>72</v>
      </c>
      <c r="C75" s="1" t="s">
        <v>206</v>
      </c>
      <c r="D75" s="1" t="s">
        <v>386</v>
      </c>
      <c r="E75" s="1" t="s">
        <v>387</v>
      </c>
      <c r="H75" s="1" t="s">
        <v>77</v>
      </c>
      <c r="J75" s="1">
        <v>0</v>
      </c>
      <c r="L75" s="1" t="s">
        <v>180</v>
      </c>
      <c r="N75" s="1" t="s">
        <v>388</v>
      </c>
      <c r="O75" s="1">
        <v>166500</v>
      </c>
      <c r="P75" s="3">
        <v>2.4</v>
      </c>
      <c r="Q75" s="1">
        <v>0</v>
      </c>
      <c r="R75" s="1">
        <v>0</v>
      </c>
      <c r="S75" s="2">
        <v>1.228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1">
        <v>29500</v>
      </c>
      <c r="AI75" s="1">
        <v>155600</v>
      </c>
      <c r="AK75" s="1">
        <v>0</v>
      </c>
      <c r="AL75" s="1">
        <v>0</v>
      </c>
      <c r="AM75" s="1">
        <v>1</v>
      </c>
    </row>
    <row r="76" spans="1:39" x14ac:dyDescent="0.2">
      <c r="A76" s="1" t="s">
        <v>76</v>
      </c>
      <c r="B76" s="1" t="s">
        <v>72</v>
      </c>
      <c r="C76" s="1" t="s">
        <v>206</v>
      </c>
      <c r="D76" s="1" t="s">
        <v>245</v>
      </c>
      <c r="E76" s="1" t="s">
        <v>389</v>
      </c>
      <c r="H76" s="1" t="s">
        <v>77</v>
      </c>
      <c r="J76" s="1">
        <v>0</v>
      </c>
      <c r="L76" s="1" t="s">
        <v>181</v>
      </c>
      <c r="N76" s="1" t="s">
        <v>390</v>
      </c>
      <c r="O76" s="1">
        <v>140100</v>
      </c>
      <c r="P76" s="3">
        <v>2.4</v>
      </c>
      <c r="Q76" s="1">
        <v>0</v>
      </c>
      <c r="R76" s="1">
        <v>0</v>
      </c>
      <c r="S76" s="2">
        <v>0.85899999999999999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1">
        <v>0</v>
      </c>
      <c r="AI76" s="1">
        <v>130900</v>
      </c>
      <c r="AK76" s="1">
        <v>0</v>
      </c>
      <c r="AL76" s="1">
        <v>0</v>
      </c>
      <c r="AM76" s="1">
        <v>1</v>
      </c>
    </row>
    <row r="77" spans="1:39" x14ac:dyDescent="0.2">
      <c r="A77" s="1" t="s">
        <v>76</v>
      </c>
      <c r="B77" s="1" t="s">
        <v>72</v>
      </c>
      <c r="C77" s="1" t="s">
        <v>206</v>
      </c>
      <c r="D77" s="1" t="s">
        <v>248</v>
      </c>
      <c r="E77" s="1" t="s">
        <v>391</v>
      </c>
      <c r="H77" s="1" t="s">
        <v>77</v>
      </c>
      <c r="J77" s="1">
        <v>0</v>
      </c>
      <c r="L77" s="1" t="s">
        <v>182</v>
      </c>
      <c r="N77" s="1" t="s">
        <v>392</v>
      </c>
      <c r="O77" s="1">
        <v>166500</v>
      </c>
      <c r="P77" s="3">
        <v>2.4</v>
      </c>
      <c r="Q77" s="1">
        <v>0</v>
      </c>
      <c r="R77" s="1">
        <v>0</v>
      </c>
      <c r="S77" s="2">
        <v>1.0209999999999999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1">
        <v>0</v>
      </c>
      <c r="AI77" s="1">
        <v>155600</v>
      </c>
      <c r="AK77" s="1">
        <v>0</v>
      </c>
      <c r="AL77" s="1">
        <v>0</v>
      </c>
      <c r="AM77" s="1">
        <v>1</v>
      </c>
    </row>
    <row r="78" spans="1:39" x14ac:dyDescent="0.2">
      <c r="A78" s="1" t="s">
        <v>76</v>
      </c>
      <c r="B78" s="1" t="s">
        <v>72</v>
      </c>
      <c r="C78" s="1" t="s">
        <v>206</v>
      </c>
      <c r="D78" s="1" t="s">
        <v>251</v>
      </c>
      <c r="E78" s="1" t="s">
        <v>393</v>
      </c>
      <c r="H78" s="1" t="s">
        <v>77</v>
      </c>
      <c r="J78" s="1">
        <v>0</v>
      </c>
      <c r="L78" s="1" t="s">
        <v>183</v>
      </c>
      <c r="M78" s="1" t="s">
        <v>184</v>
      </c>
      <c r="N78" s="1" t="s">
        <v>394</v>
      </c>
      <c r="O78" s="1">
        <v>176600</v>
      </c>
      <c r="P78" s="3">
        <v>2.4</v>
      </c>
      <c r="Q78" s="1">
        <v>0</v>
      </c>
      <c r="R78" s="1">
        <v>0</v>
      </c>
      <c r="S78" s="2">
        <v>1.083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1">
        <v>0</v>
      </c>
      <c r="AI78" s="1">
        <v>165000</v>
      </c>
      <c r="AK78" s="1">
        <v>0</v>
      </c>
      <c r="AL78" s="1">
        <v>0</v>
      </c>
      <c r="AM78" s="1">
        <v>1</v>
      </c>
    </row>
    <row r="79" spans="1:39" x14ac:dyDescent="0.2">
      <c r="A79" s="1" t="s">
        <v>76</v>
      </c>
      <c r="B79" s="1" t="s">
        <v>72</v>
      </c>
      <c r="C79" s="1" t="s">
        <v>206</v>
      </c>
      <c r="D79" s="1" t="s">
        <v>254</v>
      </c>
      <c r="E79" s="1" t="s">
        <v>395</v>
      </c>
      <c r="H79" s="1" t="s">
        <v>77</v>
      </c>
      <c r="J79" s="1">
        <v>0</v>
      </c>
      <c r="L79" s="1" t="s">
        <v>185</v>
      </c>
      <c r="M79" s="1" t="s">
        <v>186</v>
      </c>
      <c r="N79" s="1" t="s">
        <v>396</v>
      </c>
      <c r="O79" s="1">
        <v>191900</v>
      </c>
      <c r="P79" s="3">
        <v>2.4</v>
      </c>
      <c r="Q79" s="1">
        <v>0</v>
      </c>
      <c r="R79" s="1">
        <v>0</v>
      </c>
      <c r="S79" s="2">
        <v>1.1759999999999999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1">
        <v>0</v>
      </c>
      <c r="AI79" s="1">
        <v>179300</v>
      </c>
      <c r="AK79" s="1">
        <v>0</v>
      </c>
      <c r="AL79" s="1">
        <v>0</v>
      </c>
      <c r="AM79" s="1">
        <v>1</v>
      </c>
    </row>
    <row r="80" spans="1:39" x14ac:dyDescent="0.2">
      <c r="A80" s="1" t="s">
        <v>76</v>
      </c>
      <c r="B80" s="1" t="s">
        <v>72</v>
      </c>
      <c r="C80" s="1" t="s">
        <v>206</v>
      </c>
      <c r="D80" s="1" t="s">
        <v>397</v>
      </c>
      <c r="E80" s="1" t="s">
        <v>398</v>
      </c>
      <c r="H80" s="1" t="s">
        <v>77</v>
      </c>
      <c r="J80" s="1">
        <v>0</v>
      </c>
      <c r="L80" s="1" t="s">
        <v>187</v>
      </c>
      <c r="M80" s="1" t="s">
        <v>188</v>
      </c>
      <c r="N80" s="1" t="s">
        <v>441</v>
      </c>
      <c r="O80" s="1">
        <v>176600</v>
      </c>
      <c r="P80" s="3">
        <v>2.4</v>
      </c>
      <c r="Q80" s="1">
        <v>0</v>
      </c>
      <c r="R80" s="1">
        <v>0</v>
      </c>
      <c r="S80" s="2">
        <v>1.083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1">
        <v>0</v>
      </c>
      <c r="AI80" s="1">
        <v>165000</v>
      </c>
      <c r="AK80" s="1">
        <v>0</v>
      </c>
      <c r="AL80" s="1">
        <v>0</v>
      </c>
      <c r="AM80" s="1">
        <v>1</v>
      </c>
    </row>
    <row r="81" spans="1:39" x14ac:dyDescent="0.2">
      <c r="A81" s="1" t="s">
        <v>76</v>
      </c>
      <c r="B81" s="1" t="s">
        <v>72</v>
      </c>
      <c r="C81" s="1" t="s">
        <v>206</v>
      </c>
      <c r="D81" s="1" t="s">
        <v>399</v>
      </c>
      <c r="E81" s="1" t="s">
        <v>400</v>
      </c>
      <c r="H81" s="1" t="s">
        <v>77</v>
      </c>
      <c r="J81" s="1">
        <v>0</v>
      </c>
      <c r="L81" s="1" t="s">
        <v>189</v>
      </c>
      <c r="N81" s="1" t="s">
        <v>401</v>
      </c>
      <c r="O81" s="1">
        <v>191900</v>
      </c>
      <c r="P81" s="3">
        <v>2.4</v>
      </c>
      <c r="Q81" s="1">
        <v>0</v>
      </c>
      <c r="R81" s="1">
        <v>0</v>
      </c>
      <c r="S81" s="2">
        <v>1.383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1">
        <v>29500</v>
      </c>
      <c r="AI81" s="1">
        <v>179300</v>
      </c>
      <c r="AK81" s="1">
        <v>0</v>
      </c>
      <c r="AL81" s="1">
        <v>0</v>
      </c>
      <c r="AM81" s="1">
        <v>1</v>
      </c>
    </row>
    <row r="82" spans="1:39" x14ac:dyDescent="0.2">
      <c r="A82" s="1" t="s">
        <v>76</v>
      </c>
      <c r="B82" s="1" t="s">
        <v>72</v>
      </c>
      <c r="C82" s="1" t="s">
        <v>206</v>
      </c>
      <c r="D82" s="1" t="s">
        <v>402</v>
      </c>
      <c r="E82" s="1" t="s">
        <v>403</v>
      </c>
      <c r="H82" s="1" t="s">
        <v>77</v>
      </c>
      <c r="J82" s="1">
        <v>0</v>
      </c>
      <c r="L82" s="1" t="s">
        <v>190</v>
      </c>
      <c r="N82" s="1" t="s">
        <v>404</v>
      </c>
      <c r="O82" s="1">
        <v>140100</v>
      </c>
      <c r="P82" s="3">
        <v>2.4</v>
      </c>
      <c r="Q82" s="1">
        <v>0</v>
      </c>
      <c r="R82" s="1">
        <v>0</v>
      </c>
      <c r="S82" s="2">
        <v>0.85899999999999999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1">
        <v>0</v>
      </c>
      <c r="AI82" s="1">
        <v>130900</v>
      </c>
      <c r="AK82" s="1">
        <v>0</v>
      </c>
      <c r="AL82" s="1">
        <v>0</v>
      </c>
      <c r="AM82" s="1">
        <v>1</v>
      </c>
    </row>
    <row r="83" spans="1:39" x14ac:dyDescent="0.2">
      <c r="A83" s="1" t="s">
        <v>76</v>
      </c>
      <c r="B83" s="1" t="s">
        <v>72</v>
      </c>
      <c r="C83" s="1" t="s">
        <v>206</v>
      </c>
      <c r="D83" s="1" t="s">
        <v>405</v>
      </c>
      <c r="E83" s="1" t="s">
        <v>406</v>
      </c>
      <c r="H83" s="1" t="s">
        <v>77</v>
      </c>
      <c r="J83" s="1">
        <v>0</v>
      </c>
      <c r="L83" s="1" t="s">
        <v>191</v>
      </c>
      <c r="M83" s="1" t="s">
        <v>192</v>
      </c>
      <c r="N83" s="1" t="s">
        <v>407</v>
      </c>
      <c r="O83" s="1">
        <v>166500</v>
      </c>
      <c r="P83" s="3">
        <v>2.4</v>
      </c>
      <c r="Q83" s="1">
        <v>0</v>
      </c>
      <c r="R83" s="1">
        <v>0</v>
      </c>
      <c r="S83" s="2">
        <v>1.0209999999999999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1">
        <v>0</v>
      </c>
      <c r="AI83" s="1">
        <v>155600</v>
      </c>
      <c r="AK83" s="1">
        <v>0</v>
      </c>
      <c r="AL83" s="1">
        <v>0</v>
      </c>
      <c r="AM83" s="1">
        <v>1</v>
      </c>
    </row>
    <row r="84" spans="1:39" x14ac:dyDescent="0.2">
      <c r="A84" s="1" t="s">
        <v>76</v>
      </c>
      <c r="B84" s="1" t="s">
        <v>72</v>
      </c>
      <c r="C84" s="1" t="s">
        <v>206</v>
      </c>
      <c r="D84" s="1" t="s">
        <v>257</v>
      </c>
      <c r="E84" s="1" t="s">
        <v>408</v>
      </c>
      <c r="H84" s="1" t="s">
        <v>77</v>
      </c>
      <c r="J84" s="1">
        <v>0</v>
      </c>
      <c r="L84" s="1" t="s">
        <v>442</v>
      </c>
      <c r="N84" s="1" t="s">
        <v>409</v>
      </c>
      <c r="O84" s="1">
        <v>140100</v>
      </c>
      <c r="P84" s="3">
        <v>2.4</v>
      </c>
      <c r="Q84" s="1">
        <v>0</v>
      </c>
      <c r="R84" s="1">
        <v>0</v>
      </c>
      <c r="S84" s="2">
        <v>0.85899999999999999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1">
        <v>0</v>
      </c>
      <c r="AI84" s="1">
        <v>130900</v>
      </c>
      <c r="AJ84" s="1" t="s">
        <v>443</v>
      </c>
      <c r="AK84" s="1">
        <v>0</v>
      </c>
      <c r="AL84" s="1">
        <v>0</v>
      </c>
      <c r="AM84" s="1">
        <v>1</v>
      </c>
    </row>
    <row r="85" spans="1:39" x14ac:dyDescent="0.2">
      <c r="A85" s="1" t="s">
        <v>76</v>
      </c>
      <c r="B85" s="1" t="s">
        <v>72</v>
      </c>
      <c r="C85" s="1" t="s">
        <v>206</v>
      </c>
      <c r="D85" s="1" t="s">
        <v>260</v>
      </c>
      <c r="E85" s="1" t="s">
        <v>410</v>
      </c>
      <c r="H85" s="1" t="s">
        <v>77</v>
      </c>
      <c r="J85" s="1">
        <v>0</v>
      </c>
      <c r="L85" s="1" t="s">
        <v>193</v>
      </c>
      <c r="N85" s="1" t="s">
        <v>411</v>
      </c>
      <c r="O85" s="1">
        <v>166500</v>
      </c>
      <c r="P85" s="3">
        <v>2.4</v>
      </c>
      <c r="Q85" s="1">
        <v>0</v>
      </c>
      <c r="R85" s="1">
        <v>0</v>
      </c>
      <c r="S85" s="2">
        <v>1.0209999999999999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1">
        <v>0</v>
      </c>
      <c r="AI85" s="1">
        <v>155600</v>
      </c>
      <c r="AK85" s="1">
        <v>0</v>
      </c>
      <c r="AL85" s="1">
        <v>0</v>
      </c>
      <c r="AM85" s="1">
        <v>1</v>
      </c>
    </row>
    <row r="86" spans="1:39" x14ac:dyDescent="0.2">
      <c r="A86" s="1" t="s">
        <v>76</v>
      </c>
      <c r="B86" s="1" t="s">
        <v>72</v>
      </c>
      <c r="C86" s="1" t="s">
        <v>206</v>
      </c>
      <c r="D86" s="1" t="s">
        <v>263</v>
      </c>
      <c r="E86" s="1" t="s">
        <v>412</v>
      </c>
      <c r="H86" s="1" t="s">
        <v>77</v>
      </c>
      <c r="J86" s="1">
        <v>0</v>
      </c>
      <c r="L86" s="1" t="s">
        <v>194</v>
      </c>
      <c r="N86" s="1" t="s">
        <v>413</v>
      </c>
      <c r="O86" s="1">
        <v>176600</v>
      </c>
      <c r="P86" s="3">
        <v>2.4</v>
      </c>
      <c r="Q86" s="1">
        <v>0</v>
      </c>
      <c r="R86" s="1">
        <v>0</v>
      </c>
      <c r="S86" s="2">
        <v>1.083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1">
        <v>0</v>
      </c>
      <c r="AI86" s="1">
        <v>165000</v>
      </c>
      <c r="AK86" s="1">
        <v>0</v>
      </c>
      <c r="AL86" s="1">
        <v>0</v>
      </c>
      <c r="AM86" s="1">
        <v>1</v>
      </c>
    </row>
    <row r="87" spans="1:39" x14ac:dyDescent="0.2">
      <c r="A87" s="1" t="s">
        <v>76</v>
      </c>
      <c r="B87" s="1" t="s">
        <v>72</v>
      </c>
      <c r="C87" s="1" t="s">
        <v>206</v>
      </c>
      <c r="D87" s="1" t="s">
        <v>266</v>
      </c>
      <c r="E87" s="1" t="s">
        <v>414</v>
      </c>
      <c r="H87" s="1" t="s">
        <v>77</v>
      </c>
      <c r="J87" s="1">
        <v>0</v>
      </c>
      <c r="L87" s="1" t="s">
        <v>195</v>
      </c>
      <c r="M87" s="1" t="s">
        <v>196</v>
      </c>
      <c r="N87" s="1" t="s">
        <v>415</v>
      </c>
      <c r="O87" s="1">
        <v>191900</v>
      </c>
      <c r="P87" s="3">
        <v>2.4</v>
      </c>
      <c r="Q87" s="1">
        <v>0</v>
      </c>
      <c r="R87" s="1">
        <v>0</v>
      </c>
      <c r="S87" s="2">
        <v>1.383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4">
        <v>0</v>
      </c>
      <c r="AC87" s="4">
        <v>0</v>
      </c>
      <c r="AD87" s="4">
        <v>0</v>
      </c>
      <c r="AE87" s="4">
        <v>0</v>
      </c>
      <c r="AF87" s="4">
        <v>0</v>
      </c>
      <c r="AG87" s="4">
        <v>0</v>
      </c>
      <c r="AH87" s="1">
        <v>29500</v>
      </c>
      <c r="AI87" s="1">
        <v>179300</v>
      </c>
      <c r="AK87" s="1">
        <v>0</v>
      </c>
      <c r="AL87" s="1">
        <v>0</v>
      </c>
      <c r="AM87" s="1">
        <v>1</v>
      </c>
    </row>
    <row r="88" spans="1:39" x14ac:dyDescent="0.2">
      <c r="A88" s="1" t="s">
        <v>76</v>
      </c>
      <c r="B88" s="1" t="s">
        <v>72</v>
      </c>
      <c r="C88" s="1" t="s">
        <v>206</v>
      </c>
      <c r="D88" s="1" t="s">
        <v>416</v>
      </c>
      <c r="E88" s="1" t="s">
        <v>417</v>
      </c>
      <c r="H88" s="1" t="s">
        <v>77</v>
      </c>
      <c r="J88" s="1">
        <v>0</v>
      </c>
      <c r="L88" s="1" t="s">
        <v>145</v>
      </c>
      <c r="N88" s="1" t="s">
        <v>418</v>
      </c>
      <c r="O88" s="1">
        <v>176600</v>
      </c>
      <c r="P88" s="3">
        <v>2.4</v>
      </c>
      <c r="Q88" s="1">
        <v>0</v>
      </c>
      <c r="R88" s="1">
        <v>0</v>
      </c>
      <c r="S88" s="2">
        <v>1.083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4">
        <v>0</v>
      </c>
      <c r="AC88" s="4">
        <v>0</v>
      </c>
      <c r="AD88" s="4">
        <v>0</v>
      </c>
      <c r="AE88" s="4">
        <v>0</v>
      </c>
      <c r="AF88" s="4">
        <v>0</v>
      </c>
      <c r="AG88" s="4">
        <v>0</v>
      </c>
      <c r="AH88" s="1">
        <v>0</v>
      </c>
      <c r="AI88" s="1">
        <v>165000</v>
      </c>
      <c r="AK88" s="1">
        <v>0</v>
      </c>
      <c r="AL88" s="1">
        <v>0</v>
      </c>
      <c r="AM88" s="1">
        <v>1</v>
      </c>
    </row>
    <row r="89" spans="1:39" x14ac:dyDescent="0.2">
      <c r="A89" s="1" t="s">
        <v>76</v>
      </c>
      <c r="B89" s="1" t="s">
        <v>72</v>
      </c>
      <c r="C89" s="1" t="s">
        <v>206</v>
      </c>
      <c r="D89" s="1" t="s">
        <v>419</v>
      </c>
      <c r="E89" s="1" t="s">
        <v>420</v>
      </c>
      <c r="H89" s="1" t="s">
        <v>77</v>
      </c>
      <c r="J89" s="1">
        <v>0</v>
      </c>
      <c r="L89" s="1" t="s">
        <v>197</v>
      </c>
      <c r="M89" s="1" t="s">
        <v>198</v>
      </c>
      <c r="N89" s="1" t="s">
        <v>421</v>
      </c>
      <c r="O89" s="1">
        <v>191900</v>
      </c>
      <c r="P89" s="3">
        <v>2.4</v>
      </c>
      <c r="Q89" s="1">
        <v>0</v>
      </c>
      <c r="R89" s="1">
        <v>0</v>
      </c>
      <c r="S89" s="2">
        <v>1.1759999999999999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4">
        <v>0</v>
      </c>
      <c r="AC89" s="4">
        <v>0</v>
      </c>
      <c r="AD89" s="4">
        <v>0</v>
      </c>
      <c r="AE89" s="4">
        <v>0</v>
      </c>
      <c r="AF89" s="4">
        <v>0</v>
      </c>
      <c r="AG89" s="4">
        <v>0</v>
      </c>
      <c r="AH89" s="1">
        <v>0</v>
      </c>
      <c r="AI89" s="1">
        <v>179300</v>
      </c>
      <c r="AK89" s="1">
        <v>0</v>
      </c>
      <c r="AL89" s="1">
        <v>0</v>
      </c>
      <c r="AM89" s="1">
        <v>1</v>
      </c>
    </row>
    <row r="90" spans="1:39" x14ac:dyDescent="0.2">
      <c r="A90" s="1" t="s">
        <v>76</v>
      </c>
      <c r="B90" s="1" t="s">
        <v>72</v>
      </c>
      <c r="C90" s="1" t="s">
        <v>206</v>
      </c>
      <c r="D90" s="1" t="s">
        <v>422</v>
      </c>
      <c r="E90" s="1" t="s">
        <v>423</v>
      </c>
      <c r="H90" s="1" t="s">
        <v>77</v>
      </c>
      <c r="J90" s="1">
        <v>0</v>
      </c>
      <c r="L90" s="1" t="s">
        <v>460</v>
      </c>
      <c r="M90" s="1" t="s">
        <v>461</v>
      </c>
      <c r="N90" s="1" t="s">
        <v>424</v>
      </c>
      <c r="O90" s="1">
        <v>140100</v>
      </c>
      <c r="P90" s="3">
        <v>2.4</v>
      </c>
      <c r="Q90" s="1">
        <v>0</v>
      </c>
      <c r="R90" s="1">
        <v>0</v>
      </c>
      <c r="S90" s="2">
        <v>0.85899999999999999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4">
        <v>0</v>
      </c>
      <c r="AC90" s="4">
        <v>0</v>
      </c>
      <c r="AD90" s="4">
        <v>0</v>
      </c>
      <c r="AE90" s="4">
        <v>0</v>
      </c>
      <c r="AF90" s="4">
        <v>0</v>
      </c>
      <c r="AG90" s="4">
        <v>0</v>
      </c>
      <c r="AH90" s="1">
        <v>0</v>
      </c>
      <c r="AI90" s="1">
        <v>130900</v>
      </c>
      <c r="AK90" s="1">
        <v>0</v>
      </c>
      <c r="AL90" s="1">
        <v>0</v>
      </c>
      <c r="AM90" s="1">
        <v>1</v>
      </c>
    </row>
    <row r="91" spans="1:39" x14ac:dyDescent="0.2">
      <c r="A91" s="1" t="s">
        <v>76</v>
      </c>
      <c r="B91" s="1" t="s">
        <v>72</v>
      </c>
      <c r="C91" s="1" t="s">
        <v>206</v>
      </c>
      <c r="D91" s="1" t="s">
        <v>425</v>
      </c>
      <c r="E91" s="1" t="s">
        <v>426</v>
      </c>
      <c r="H91" s="1" t="s">
        <v>77</v>
      </c>
      <c r="J91" s="1">
        <v>0</v>
      </c>
      <c r="L91" s="1" t="s">
        <v>199</v>
      </c>
      <c r="M91" s="1" t="s">
        <v>200</v>
      </c>
      <c r="N91" s="1" t="s">
        <v>427</v>
      </c>
      <c r="O91" s="1">
        <v>166500</v>
      </c>
      <c r="P91" s="3">
        <v>2.4</v>
      </c>
      <c r="Q91" s="1">
        <v>0</v>
      </c>
      <c r="R91" s="1">
        <v>0</v>
      </c>
      <c r="S91" s="2">
        <v>1.228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4">
        <v>0</v>
      </c>
      <c r="AC91" s="4">
        <v>0</v>
      </c>
      <c r="AD91" s="4">
        <v>0</v>
      </c>
      <c r="AE91" s="4">
        <v>0</v>
      </c>
      <c r="AF91" s="4">
        <v>0</v>
      </c>
      <c r="AG91" s="4">
        <v>0</v>
      </c>
      <c r="AH91" s="1">
        <v>29500</v>
      </c>
      <c r="AI91" s="1">
        <v>155600</v>
      </c>
      <c r="AK91" s="1">
        <v>0</v>
      </c>
      <c r="AL91" s="1">
        <v>0</v>
      </c>
      <c r="AM91" s="1">
        <v>1</v>
      </c>
    </row>
    <row r="92" spans="1:39" x14ac:dyDescent="0.2">
      <c r="A92" s="1" t="s">
        <v>76</v>
      </c>
      <c r="B92" s="1" t="s">
        <v>72</v>
      </c>
      <c r="C92" s="1" t="s">
        <v>201</v>
      </c>
      <c r="D92" s="1" t="s">
        <v>260</v>
      </c>
      <c r="E92" s="1" t="s">
        <v>428</v>
      </c>
      <c r="H92" s="1" t="s">
        <v>77</v>
      </c>
      <c r="J92" s="1">
        <v>0</v>
      </c>
      <c r="L92" s="1" t="s">
        <v>202</v>
      </c>
      <c r="M92" s="1" t="s">
        <v>444</v>
      </c>
      <c r="N92" s="1" t="s">
        <v>429</v>
      </c>
      <c r="O92" s="1">
        <v>0</v>
      </c>
      <c r="P92" s="3">
        <v>0</v>
      </c>
      <c r="Q92" s="1">
        <v>0</v>
      </c>
      <c r="R92" s="1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4">
        <v>0</v>
      </c>
      <c r="AC92" s="4">
        <v>0</v>
      </c>
      <c r="AD92" s="4">
        <v>0</v>
      </c>
      <c r="AE92" s="4">
        <v>0</v>
      </c>
      <c r="AF92" s="4">
        <v>0</v>
      </c>
      <c r="AG92" s="4">
        <v>0</v>
      </c>
      <c r="AH92" s="1">
        <v>0</v>
      </c>
      <c r="AI92" s="1">
        <v>0</v>
      </c>
      <c r="AK92" s="1">
        <v>0</v>
      </c>
      <c r="AL92" s="1">
        <v>0</v>
      </c>
      <c r="AM92" s="1">
        <v>1</v>
      </c>
    </row>
    <row r="93" spans="1:39" x14ac:dyDescent="0.2">
      <c r="A93" s="1" t="s">
        <v>76</v>
      </c>
      <c r="B93" s="1" t="s">
        <v>72</v>
      </c>
      <c r="C93" s="1" t="s">
        <v>203</v>
      </c>
      <c r="D93" s="1" t="s">
        <v>235</v>
      </c>
      <c r="E93" s="1" t="s">
        <v>430</v>
      </c>
      <c r="H93" s="1" t="s">
        <v>77</v>
      </c>
      <c r="J93" s="1">
        <v>0</v>
      </c>
      <c r="L93" s="1" t="s">
        <v>204</v>
      </c>
      <c r="M93" s="1" t="s">
        <v>431</v>
      </c>
      <c r="N93" s="1" t="s">
        <v>445</v>
      </c>
      <c r="O93" s="1">
        <v>0</v>
      </c>
      <c r="P93" s="3">
        <v>0</v>
      </c>
      <c r="Q93" s="1">
        <v>0</v>
      </c>
      <c r="R93" s="1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4">
        <v>0</v>
      </c>
      <c r="AC93" s="4">
        <v>0</v>
      </c>
      <c r="AD93" s="4">
        <v>0</v>
      </c>
      <c r="AE93" s="4">
        <v>0</v>
      </c>
      <c r="AF93" s="4">
        <v>0</v>
      </c>
      <c r="AG93" s="4">
        <v>0</v>
      </c>
      <c r="AH93" s="1">
        <v>0</v>
      </c>
      <c r="AI93" s="1">
        <v>0</v>
      </c>
      <c r="AK93" s="1">
        <v>0</v>
      </c>
      <c r="AL93" s="1">
        <v>0</v>
      </c>
      <c r="AM93" s="1">
        <v>1</v>
      </c>
    </row>
    <row r="94" spans="1:39" x14ac:dyDescent="0.2">
      <c r="A94" s="1" t="s">
        <v>76</v>
      </c>
      <c r="B94" s="1" t="s">
        <v>72</v>
      </c>
      <c r="C94" s="1" t="s">
        <v>205</v>
      </c>
      <c r="D94" s="1" t="s">
        <v>238</v>
      </c>
      <c r="E94" s="1" t="s">
        <v>446</v>
      </c>
      <c r="H94" s="1" t="s">
        <v>77</v>
      </c>
      <c r="J94" s="1">
        <v>0</v>
      </c>
      <c r="L94" s="1" t="s">
        <v>447</v>
      </c>
      <c r="M94" s="1" t="s">
        <v>448</v>
      </c>
      <c r="N94" s="1" t="s">
        <v>449</v>
      </c>
      <c r="O94" s="1">
        <v>0</v>
      </c>
      <c r="P94" s="3">
        <v>0</v>
      </c>
      <c r="Q94" s="1">
        <v>0</v>
      </c>
      <c r="R94" s="1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4">
        <v>0</v>
      </c>
      <c r="AC94" s="4">
        <v>0</v>
      </c>
      <c r="AD94" s="4">
        <v>0</v>
      </c>
      <c r="AE94" s="4">
        <v>0</v>
      </c>
      <c r="AF94" s="4">
        <v>0</v>
      </c>
      <c r="AG94" s="4">
        <v>0</v>
      </c>
      <c r="AH94" s="1">
        <v>0</v>
      </c>
      <c r="AI94" s="1">
        <v>0</v>
      </c>
      <c r="AK94" s="1">
        <v>0</v>
      </c>
      <c r="AL94" s="1">
        <v>0</v>
      </c>
      <c r="AM94" s="1">
        <v>1</v>
      </c>
    </row>
    <row r="97" spans="1:39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</row>
    <row r="113" spans="1:39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</row>
    <row r="114" spans="1:39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</row>
    <row r="115" spans="1:39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</row>
    <row r="116" spans="1:39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</row>
    <row r="117" spans="1:39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</row>
    <row r="118" spans="1:39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</row>
    <row r="119" spans="1:39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</row>
    <row r="120" spans="1:39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</row>
    <row r="121" spans="1:39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</row>
    <row r="122" spans="1:39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</row>
    <row r="123" spans="1:39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</row>
    <row r="124" spans="1:39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</row>
    <row r="125" spans="1:39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</row>
    <row r="126" spans="1:39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</row>
    <row r="127" spans="1:39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</row>
    <row r="128" spans="1:39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</row>
    <row r="129" spans="1:39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</row>
    <row r="130" spans="1:39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</row>
    <row r="131" spans="1:39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</row>
    <row r="132" spans="1:39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</row>
    <row r="133" spans="1:39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</row>
    <row r="134" spans="1:39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</row>
    <row r="135" spans="1:39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</row>
    <row r="136" spans="1:39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</row>
    <row r="137" spans="1:39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</row>
    <row r="138" spans="1:39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</row>
    <row r="139" spans="1:39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</row>
    <row r="140" spans="1:39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</row>
    <row r="141" spans="1:39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</row>
    <row r="142" spans="1:39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</row>
    <row r="143" spans="1:39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</row>
    <row r="144" spans="1:39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</row>
    <row r="145" spans="1:39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</row>
    <row r="146" spans="1:39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</row>
    <row r="147" spans="1:39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</row>
    <row r="148" spans="1:39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</row>
    <row r="149" spans="1:39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</row>
    <row r="150" spans="1:39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</row>
    <row r="151" spans="1:39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</row>
    <row r="152" spans="1:39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</row>
    <row r="153" spans="1:39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</row>
    <row r="154" spans="1:39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</row>
    <row r="155" spans="1:39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</row>
    <row r="156" spans="1:39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</row>
    <row r="157" spans="1:39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</row>
    <row r="158" spans="1:39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</row>
    <row r="159" spans="1:39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</row>
    <row r="160" spans="1:39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</row>
    <row r="161" spans="1:39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</row>
    <row r="162" spans="1:39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</row>
    <row r="163" spans="1:39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</row>
    <row r="164" spans="1:39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</row>
    <row r="165" spans="1:39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</row>
    <row r="166" spans="1:39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</row>
    <row r="167" spans="1:39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</row>
    <row r="168" spans="1:39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</row>
    <row r="169" spans="1:39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</row>
    <row r="170" spans="1:39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</row>
    <row r="171" spans="1:39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</row>
    <row r="172" spans="1:39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</row>
    <row r="173" spans="1:39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</row>
    <row r="174" spans="1:39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</row>
    <row r="175" spans="1:39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</row>
    <row r="176" spans="1:39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</row>
    <row r="177" spans="1:39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</row>
    <row r="178" spans="1:39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</row>
    <row r="179" spans="1:39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</row>
    <row r="180" spans="1:39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</row>
    <row r="181" spans="1:39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</row>
    <row r="182" spans="1:39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</row>
    <row r="183" spans="1:39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</row>
    <row r="184" spans="1:39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</row>
    <row r="185" spans="1:39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</row>
    <row r="186" spans="1:39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</row>
    <row r="187" spans="1:39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</row>
    <row r="188" spans="1:39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</row>
    <row r="189" spans="1:39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</row>
    <row r="190" spans="1:39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</row>
    <row r="191" spans="1:39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</row>
    <row r="192" spans="1:39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</row>
    <row r="193" spans="1:39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</row>
    <row r="194" spans="1:39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</row>
    <row r="195" spans="1:39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</row>
    <row r="196" spans="1:39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</row>
    <row r="197" spans="1:39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</row>
    <row r="198" spans="1:39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</row>
    <row r="199" spans="1:39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</row>
    <row r="200" spans="1:39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</row>
    <row r="201" spans="1:39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</row>
    <row r="202" spans="1:39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</row>
    <row r="203" spans="1:39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</row>
    <row r="204" spans="1:39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</row>
    <row r="205" spans="1:39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</row>
    <row r="206" spans="1:39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</row>
    <row r="207" spans="1:39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</row>
    <row r="208" spans="1:39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</row>
    <row r="209" spans="1:39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</row>
    <row r="210" spans="1:39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</row>
    <row r="211" spans="1:39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</row>
    <row r="212" spans="1:39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</row>
    <row r="213" spans="1:39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</row>
    <row r="214" spans="1:39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</row>
    <row r="215" spans="1:39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</row>
    <row r="216" spans="1:39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</row>
    <row r="217" spans="1:39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</row>
    <row r="218" spans="1:39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</row>
    <row r="219" spans="1:39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</row>
    <row r="220" spans="1:39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</row>
    <row r="221" spans="1:39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</row>
    <row r="222" spans="1:39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</row>
    <row r="223" spans="1:39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</row>
    <row r="224" spans="1:39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</row>
    <row r="225" spans="1:39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</row>
    <row r="226" spans="1:39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</row>
    <row r="227" spans="1:39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</row>
    <row r="228" spans="1:39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</row>
    <row r="229" spans="1:39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</row>
    <row r="230" spans="1:39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</row>
    <row r="231" spans="1:39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</row>
    <row r="232" spans="1:39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</row>
    <row r="233" spans="1:39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</row>
    <row r="234" spans="1:39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</row>
    <row r="235" spans="1:39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</row>
    <row r="236" spans="1:39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</row>
    <row r="237" spans="1:39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</row>
    <row r="238" spans="1:39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</row>
    <row r="239" spans="1:39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</row>
    <row r="240" spans="1:39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</row>
    <row r="241" spans="1:39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</row>
    <row r="242" spans="1:39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</row>
    <row r="243" spans="1:39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</row>
    <row r="244" spans="1:39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</row>
    <row r="245" spans="1:39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</row>
    <row r="246" spans="1:39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</row>
    <row r="247" spans="1:39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</row>
    <row r="248" spans="1:39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</row>
    <row r="249" spans="1:39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</row>
    <row r="250" spans="1:39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</row>
    <row r="251" spans="1:39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</row>
    <row r="252" spans="1:39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</row>
    <row r="253" spans="1:39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</row>
    <row r="254" spans="1:39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</row>
    <row r="255" spans="1:39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</row>
    <row r="256" spans="1:39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</row>
    <row r="257" spans="1:39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</row>
    <row r="258" spans="1:39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</row>
    <row r="259" spans="1:39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</row>
    <row r="260" spans="1:39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</row>
    <row r="261" spans="1:39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</row>
    <row r="262" spans="1:39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</row>
    <row r="263" spans="1:39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</row>
    <row r="264" spans="1:39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</row>
    <row r="265" spans="1:39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</row>
    <row r="266" spans="1:39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</row>
    <row r="267" spans="1:39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</row>
    <row r="268" spans="1:39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</row>
    <row r="269" spans="1:39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</row>
    <row r="270" spans="1:39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</row>
    <row r="271" spans="1:39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</row>
    <row r="272" spans="1:39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</row>
    <row r="273" spans="1:39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</row>
    <row r="274" spans="1:39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</row>
    <row r="275" spans="1:39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</row>
    <row r="276" spans="1:39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</row>
    <row r="277" spans="1:39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</row>
    <row r="278" spans="1:39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</row>
    <row r="279" spans="1:39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</row>
    <row r="280" spans="1:39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</row>
    <row r="281" spans="1:39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</row>
    <row r="282" spans="1:39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</row>
    <row r="283" spans="1:39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</row>
    <row r="284" spans="1:39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</row>
    <row r="285" spans="1:39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</row>
    <row r="286" spans="1:39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</row>
    <row r="287" spans="1:39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</row>
    <row r="288" spans="1:39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</row>
    <row r="289" spans="1:39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</row>
    <row r="290" spans="1:39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</row>
    <row r="291" spans="1:39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</row>
    <row r="292" spans="1:39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</row>
    <row r="293" spans="1:39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</row>
    <row r="294" spans="1:39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</row>
    <row r="295" spans="1:39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</row>
    <row r="296" spans="1:39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</row>
    <row r="297" spans="1:39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</row>
    <row r="298" spans="1:39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</row>
    <row r="299" spans="1:39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</row>
    <row r="300" spans="1:39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</row>
    <row r="301" spans="1:39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</row>
    <row r="302" spans="1:39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</row>
    <row r="303" spans="1:39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</row>
    <row r="304" spans="1:39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</row>
    <row r="305" spans="1:39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</row>
    <row r="306" spans="1:39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</row>
    <row r="307" spans="1:39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</row>
    <row r="308" spans="1:39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</row>
    <row r="309" spans="1:39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</row>
    <row r="310" spans="1:39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</row>
    <row r="311" spans="1:39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</row>
    <row r="312" spans="1:39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</row>
    <row r="313" spans="1:39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</row>
    <row r="314" spans="1:39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</row>
    <row r="315" spans="1:39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</row>
    <row r="316" spans="1:39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</row>
    <row r="317" spans="1:39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</row>
    <row r="318" spans="1:39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</row>
    <row r="319" spans="1:39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</row>
    <row r="320" spans="1:39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</row>
  </sheetData>
  <phoneticPr fontId="0" type="noConversion"/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V230"/>
  <sheetViews>
    <sheetView zoomScaleNormal="100" workbookViewId="0">
      <selection sqref="A1:XFD1048576"/>
    </sheetView>
  </sheetViews>
  <sheetFormatPr baseColWidth="10" defaultRowHeight="12.75" x14ac:dyDescent="0.2"/>
  <cols>
    <col min="1" max="1" width="4.7109375" style="1" customWidth="1"/>
    <col min="2" max="3" width="2.7109375" style="1" customWidth="1"/>
    <col min="4" max="4" width="4.7109375" style="1" customWidth="1"/>
    <col min="5" max="5" width="8.7109375" style="1" customWidth="1"/>
    <col min="6" max="6" width="6.7109375" style="1" customWidth="1"/>
    <col min="7" max="7" width="4.7109375" style="1" customWidth="1"/>
    <col min="8" max="9" width="2.7109375" style="1" customWidth="1"/>
    <col min="10" max="11" width="10.7109375" style="1" customWidth="1"/>
    <col min="12" max="12" width="1.7109375" style="1" customWidth="1"/>
    <col min="13" max="20" width="10.7109375" style="1" customWidth="1"/>
    <col min="21" max="21" width="8.7109375" style="1" customWidth="1"/>
    <col min="22" max="22" width="3.7109375" style="1" customWidth="1"/>
  </cols>
  <sheetData>
    <row r="1" spans="1:22" x14ac:dyDescent="0.2">
      <c r="A1" s="1" t="s">
        <v>16</v>
      </c>
      <c r="B1" s="1" t="s">
        <v>17</v>
      </c>
      <c r="C1" s="1" t="s">
        <v>0</v>
      </c>
      <c r="D1" s="1" t="s">
        <v>1</v>
      </c>
      <c r="E1" s="1" t="s">
        <v>18</v>
      </c>
      <c r="F1" s="1" t="s">
        <v>2</v>
      </c>
      <c r="G1" s="1" t="s">
        <v>39</v>
      </c>
      <c r="H1" s="1" t="s">
        <v>40</v>
      </c>
      <c r="I1" s="1" t="s">
        <v>41</v>
      </c>
      <c r="J1" s="1" t="s">
        <v>13</v>
      </c>
      <c r="K1" s="1" t="s">
        <v>12</v>
      </c>
      <c r="L1" s="1" t="s">
        <v>15</v>
      </c>
      <c r="M1" s="1" t="s">
        <v>42</v>
      </c>
      <c r="N1" s="1" t="s">
        <v>43</v>
      </c>
      <c r="O1" s="1" t="s">
        <v>44</v>
      </c>
      <c r="P1" s="1" t="s">
        <v>45</v>
      </c>
      <c r="Q1" s="1" t="s">
        <v>46</v>
      </c>
      <c r="R1" s="1" t="s">
        <v>47</v>
      </c>
      <c r="S1" s="1" t="s">
        <v>48</v>
      </c>
      <c r="T1" s="1" t="s">
        <v>49</v>
      </c>
      <c r="U1" s="1" t="s">
        <v>14</v>
      </c>
      <c r="V1" s="1" t="s">
        <v>50</v>
      </c>
    </row>
    <row r="2" spans="1:22" x14ac:dyDescent="0.2">
      <c r="A2" s="1" t="s">
        <v>76</v>
      </c>
      <c r="B2" s="1" t="s">
        <v>72</v>
      </c>
      <c r="C2" s="1" t="s">
        <v>51</v>
      </c>
      <c r="D2" s="1" t="s">
        <v>211</v>
      </c>
      <c r="E2" s="1" t="s">
        <v>212</v>
      </c>
      <c r="F2" s="1">
        <v>2172</v>
      </c>
      <c r="G2" s="1" t="s">
        <v>450</v>
      </c>
      <c r="H2" s="1" t="s">
        <v>462</v>
      </c>
      <c r="I2" s="1" t="s">
        <v>463</v>
      </c>
      <c r="J2" s="1">
        <v>216600</v>
      </c>
      <c r="K2" s="1">
        <v>216600</v>
      </c>
      <c r="L2" s="1" t="s">
        <v>51</v>
      </c>
      <c r="M2" s="1">
        <v>176600</v>
      </c>
      <c r="N2" s="1">
        <v>0</v>
      </c>
      <c r="O2" s="1">
        <v>0</v>
      </c>
      <c r="P2" s="1">
        <v>40000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</row>
    <row r="3" spans="1:22" x14ac:dyDescent="0.2">
      <c r="A3" s="1" t="s">
        <v>76</v>
      </c>
      <c r="B3" s="1" t="s">
        <v>72</v>
      </c>
      <c r="C3" s="1" t="s">
        <v>51</v>
      </c>
      <c r="D3" s="1" t="s">
        <v>217</v>
      </c>
      <c r="E3" s="1" t="s">
        <v>218</v>
      </c>
      <c r="F3" s="1">
        <v>2174</v>
      </c>
      <c r="G3" s="1" t="s">
        <v>450</v>
      </c>
      <c r="H3" s="1" t="s">
        <v>462</v>
      </c>
      <c r="I3" s="1" t="s">
        <v>464</v>
      </c>
      <c r="J3" s="1">
        <v>213800</v>
      </c>
      <c r="K3" s="1">
        <v>213800</v>
      </c>
      <c r="L3" s="1" t="s">
        <v>51</v>
      </c>
      <c r="M3" s="1">
        <v>140100</v>
      </c>
      <c r="N3" s="1">
        <v>0</v>
      </c>
      <c r="O3" s="1">
        <v>33700</v>
      </c>
      <c r="P3" s="1">
        <v>40000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</row>
    <row r="4" spans="1:22" x14ac:dyDescent="0.2">
      <c r="A4" s="1" t="s">
        <v>76</v>
      </c>
      <c r="B4" s="1" t="s">
        <v>72</v>
      </c>
      <c r="C4" s="1" t="s">
        <v>51</v>
      </c>
      <c r="D4" s="1" t="s">
        <v>220</v>
      </c>
      <c r="E4" s="1" t="s">
        <v>221</v>
      </c>
      <c r="F4" s="1">
        <v>2175</v>
      </c>
      <c r="G4" s="1" t="s">
        <v>450</v>
      </c>
      <c r="H4" s="1" t="s">
        <v>462</v>
      </c>
      <c r="I4" s="1" t="s">
        <v>454</v>
      </c>
      <c r="J4" s="1">
        <v>206500</v>
      </c>
      <c r="K4" s="1">
        <v>206500</v>
      </c>
      <c r="L4" s="1" t="s">
        <v>51</v>
      </c>
      <c r="M4" s="1">
        <v>166500</v>
      </c>
      <c r="N4" s="1">
        <v>0</v>
      </c>
      <c r="O4" s="1">
        <v>0</v>
      </c>
      <c r="P4" s="1">
        <v>40000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</row>
    <row r="5" spans="1:22" x14ac:dyDescent="0.2">
      <c r="A5" s="1" t="s">
        <v>76</v>
      </c>
      <c r="B5" s="1" t="s">
        <v>72</v>
      </c>
      <c r="C5" s="1" t="s">
        <v>51</v>
      </c>
      <c r="D5" s="1" t="s">
        <v>223</v>
      </c>
      <c r="E5" s="1" t="s">
        <v>224</v>
      </c>
      <c r="F5" s="1">
        <v>2176</v>
      </c>
      <c r="G5" s="1" t="s">
        <v>450</v>
      </c>
      <c r="H5" s="1" t="s">
        <v>462</v>
      </c>
      <c r="I5" s="1" t="s">
        <v>72</v>
      </c>
      <c r="J5" s="1">
        <v>438700</v>
      </c>
      <c r="K5" s="1">
        <v>438700</v>
      </c>
      <c r="L5" s="1" t="s">
        <v>51</v>
      </c>
      <c r="M5" s="1">
        <v>354400</v>
      </c>
      <c r="N5" s="1">
        <v>4300</v>
      </c>
      <c r="O5" s="1">
        <v>0</v>
      </c>
      <c r="P5" s="1">
        <v>80000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</row>
    <row r="6" spans="1:22" x14ac:dyDescent="0.2">
      <c r="A6" s="1" t="s">
        <v>76</v>
      </c>
      <c r="B6" s="1" t="s">
        <v>72</v>
      </c>
      <c r="C6" s="1" t="s">
        <v>51</v>
      </c>
      <c r="D6" s="1" t="s">
        <v>232</v>
      </c>
      <c r="E6" s="1" t="s">
        <v>233</v>
      </c>
      <c r="F6" s="1">
        <v>2179</v>
      </c>
      <c r="G6" s="1" t="s">
        <v>450</v>
      </c>
      <c r="H6" s="1" t="s">
        <v>462</v>
      </c>
      <c r="I6" s="1" t="s">
        <v>206</v>
      </c>
      <c r="J6" s="1">
        <v>206500</v>
      </c>
      <c r="K6" s="1">
        <v>206500</v>
      </c>
      <c r="L6" s="1" t="s">
        <v>51</v>
      </c>
      <c r="M6" s="1">
        <v>166500</v>
      </c>
      <c r="N6" s="1">
        <v>0</v>
      </c>
      <c r="O6" s="1">
        <v>0</v>
      </c>
      <c r="P6" s="1">
        <v>40000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</row>
    <row r="7" spans="1:22" x14ac:dyDescent="0.2">
      <c r="A7" s="1" t="s">
        <v>76</v>
      </c>
      <c r="B7" s="1" t="s">
        <v>72</v>
      </c>
      <c r="C7" s="1" t="s">
        <v>51</v>
      </c>
      <c r="D7" s="1" t="s">
        <v>235</v>
      </c>
      <c r="E7" s="1" t="s">
        <v>236</v>
      </c>
      <c r="F7" s="1">
        <v>2180</v>
      </c>
      <c r="G7" s="1" t="s">
        <v>450</v>
      </c>
      <c r="H7" s="1" t="s">
        <v>462</v>
      </c>
      <c r="I7" s="1" t="s">
        <v>464</v>
      </c>
      <c r="J7" s="1">
        <v>216000</v>
      </c>
      <c r="K7" s="1">
        <v>216000</v>
      </c>
      <c r="L7" s="1" t="s">
        <v>51</v>
      </c>
      <c r="M7" s="1">
        <v>176000</v>
      </c>
      <c r="N7" s="1">
        <v>0</v>
      </c>
      <c r="O7" s="1">
        <v>0</v>
      </c>
      <c r="P7" s="1">
        <v>40000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</row>
    <row r="8" spans="1:22" x14ac:dyDescent="0.2">
      <c r="A8" s="1" t="s">
        <v>76</v>
      </c>
      <c r="B8" s="1" t="s">
        <v>72</v>
      </c>
      <c r="C8" s="1" t="s">
        <v>51</v>
      </c>
      <c r="D8" s="1" t="s">
        <v>238</v>
      </c>
      <c r="E8" s="1" t="s">
        <v>239</v>
      </c>
      <c r="F8" s="1">
        <v>2181</v>
      </c>
      <c r="G8" s="1" t="s">
        <v>450</v>
      </c>
      <c r="H8" s="1" t="s">
        <v>462</v>
      </c>
      <c r="I8" s="1" t="s">
        <v>457</v>
      </c>
      <c r="J8" s="1">
        <v>266000</v>
      </c>
      <c r="K8" s="1">
        <v>266000</v>
      </c>
      <c r="L8" s="1" t="s">
        <v>51</v>
      </c>
      <c r="M8" s="1">
        <v>192300</v>
      </c>
      <c r="N8" s="1">
        <v>0</v>
      </c>
      <c r="O8" s="1">
        <v>33700</v>
      </c>
      <c r="P8" s="1">
        <v>40000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</row>
    <row r="9" spans="1:22" x14ac:dyDescent="0.2">
      <c r="A9" s="1" t="s">
        <v>76</v>
      </c>
      <c r="B9" s="1" t="s">
        <v>72</v>
      </c>
      <c r="C9" s="1" t="s">
        <v>51</v>
      </c>
      <c r="D9" s="1" t="s">
        <v>309</v>
      </c>
      <c r="E9" s="1" t="s">
        <v>433</v>
      </c>
      <c r="F9" s="1">
        <v>2182</v>
      </c>
      <c r="G9" s="1" t="s">
        <v>450</v>
      </c>
      <c r="H9" s="1" t="s">
        <v>462</v>
      </c>
      <c r="I9" s="1" t="s">
        <v>455</v>
      </c>
      <c r="J9" s="1">
        <v>180100</v>
      </c>
      <c r="K9" s="1">
        <v>180100</v>
      </c>
      <c r="L9" s="1" t="s">
        <v>51</v>
      </c>
      <c r="M9" s="1">
        <v>140100</v>
      </c>
      <c r="N9" s="1">
        <v>0</v>
      </c>
      <c r="O9" s="1">
        <v>0</v>
      </c>
      <c r="P9" s="1">
        <v>40000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</row>
    <row r="10" spans="1:22" x14ac:dyDescent="0.2">
      <c r="A10" s="1" t="s">
        <v>76</v>
      </c>
      <c r="B10" s="1" t="s">
        <v>72</v>
      </c>
      <c r="C10" s="1" t="s">
        <v>51</v>
      </c>
      <c r="D10" s="1" t="s">
        <v>245</v>
      </c>
      <c r="E10" s="1" t="s">
        <v>246</v>
      </c>
      <c r="F10" s="1">
        <v>2184</v>
      </c>
      <c r="G10" s="1" t="s">
        <v>450</v>
      </c>
      <c r="H10" s="1" t="s">
        <v>462</v>
      </c>
      <c r="I10" s="1" t="s">
        <v>457</v>
      </c>
      <c r="J10" s="1">
        <v>216600</v>
      </c>
      <c r="K10" s="1">
        <v>216600</v>
      </c>
      <c r="L10" s="1" t="s">
        <v>51</v>
      </c>
      <c r="M10" s="1">
        <v>176600</v>
      </c>
      <c r="N10" s="1">
        <v>0</v>
      </c>
      <c r="O10" s="1">
        <v>0</v>
      </c>
      <c r="P10" s="1">
        <v>40000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</row>
    <row r="11" spans="1:22" x14ac:dyDescent="0.2">
      <c r="A11" s="1" t="s">
        <v>76</v>
      </c>
      <c r="B11" s="1" t="s">
        <v>72</v>
      </c>
      <c r="C11" s="1" t="s">
        <v>51</v>
      </c>
      <c r="D11" s="1" t="s">
        <v>251</v>
      </c>
      <c r="E11" s="1" t="s">
        <v>252</v>
      </c>
      <c r="F11" s="1">
        <v>2186</v>
      </c>
      <c r="G11" s="1" t="s">
        <v>450</v>
      </c>
      <c r="H11" s="1" t="s">
        <v>462</v>
      </c>
      <c r="I11" s="1" t="s">
        <v>465</v>
      </c>
      <c r="J11" s="1">
        <v>300000</v>
      </c>
      <c r="K11" s="1">
        <v>300000</v>
      </c>
      <c r="L11" s="1" t="s">
        <v>51</v>
      </c>
      <c r="M11" s="1">
        <v>243650</v>
      </c>
      <c r="N11" s="1">
        <v>16350</v>
      </c>
      <c r="O11" s="1">
        <v>0</v>
      </c>
      <c r="P11" s="1">
        <v>40000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</row>
    <row r="12" spans="1:22" x14ac:dyDescent="0.2">
      <c r="A12" s="1" t="s">
        <v>76</v>
      </c>
      <c r="B12" s="1" t="s">
        <v>72</v>
      </c>
      <c r="C12" s="1" t="s">
        <v>51</v>
      </c>
      <c r="D12" s="1" t="s">
        <v>254</v>
      </c>
      <c r="E12" s="1" t="s">
        <v>255</v>
      </c>
      <c r="F12" s="1">
        <v>2187</v>
      </c>
      <c r="G12" s="1" t="s">
        <v>450</v>
      </c>
      <c r="H12" s="1" t="s">
        <v>462</v>
      </c>
      <c r="I12" s="1" t="s">
        <v>72</v>
      </c>
      <c r="J12" s="1">
        <v>1200000</v>
      </c>
      <c r="K12" s="1">
        <v>1200000</v>
      </c>
      <c r="L12" s="1" t="s">
        <v>51</v>
      </c>
      <c r="M12" s="1">
        <v>1029990</v>
      </c>
      <c r="N12" s="1">
        <v>50010</v>
      </c>
      <c r="O12" s="1">
        <v>0</v>
      </c>
      <c r="P12" s="1">
        <v>120000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</row>
    <row r="13" spans="1:22" x14ac:dyDescent="0.2">
      <c r="A13" s="1" t="s">
        <v>76</v>
      </c>
      <c r="B13" s="1" t="s">
        <v>72</v>
      </c>
      <c r="C13" s="1" t="s">
        <v>51</v>
      </c>
      <c r="D13" s="1" t="s">
        <v>257</v>
      </c>
      <c r="E13" s="1" t="s">
        <v>258</v>
      </c>
      <c r="F13" s="1">
        <v>2188</v>
      </c>
      <c r="G13" s="1" t="s">
        <v>450</v>
      </c>
      <c r="H13" s="1" t="s">
        <v>462</v>
      </c>
      <c r="I13" s="1" t="s">
        <v>466</v>
      </c>
      <c r="J13" s="1">
        <v>215000</v>
      </c>
      <c r="K13" s="1">
        <v>215000</v>
      </c>
      <c r="L13" s="1" t="s">
        <v>51</v>
      </c>
      <c r="M13" s="1">
        <v>174830</v>
      </c>
      <c r="N13" s="1">
        <v>170</v>
      </c>
      <c r="O13" s="1">
        <v>0</v>
      </c>
      <c r="P13" s="1">
        <v>40000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</row>
    <row r="14" spans="1:22" x14ac:dyDescent="0.2">
      <c r="A14" s="1" t="s">
        <v>76</v>
      </c>
      <c r="B14" s="1" t="s">
        <v>72</v>
      </c>
      <c r="C14" s="1" t="s">
        <v>51</v>
      </c>
      <c r="D14" s="1" t="s">
        <v>263</v>
      </c>
      <c r="E14" s="1" t="s">
        <v>264</v>
      </c>
      <c r="F14" s="1">
        <v>2190</v>
      </c>
      <c r="G14" s="1" t="s">
        <v>450</v>
      </c>
      <c r="H14" s="1" t="s">
        <v>462</v>
      </c>
      <c r="I14" s="1" t="s">
        <v>465</v>
      </c>
      <c r="J14" s="1">
        <v>181000</v>
      </c>
      <c r="K14" s="1">
        <v>181000</v>
      </c>
      <c r="L14" s="1" t="s">
        <v>51</v>
      </c>
      <c r="M14" s="1">
        <v>141000</v>
      </c>
      <c r="N14" s="1">
        <v>0</v>
      </c>
      <c r="O14" s="1">
        <v>0</v>
      </c>
      <c r="P14" s="1">
        <v>40000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</row>
    <row r="15" spans="1:22" x14ac:dyDescent="0.2">
      <c r="A15" s="1" t="s">
        <v>76</v>
      </c>
      <c r="B15" s="1" t="s">
        <v>72</v>
      </c>
      <c r="C15" s="1" t="s">
        <v>51</v>
      </c>
      <c r="D15" s="1" t="s">
        <v>266</v>
      </c>
      <c r="E15" s="1" t="s">
        <v>267</v>
      </c>
      <c r="F15" s="1">
        <v>2191</v>
      </c>
      <c r="G15" s="1" t="s">
        <v>450</v>
      </c>
      <c r="H15" s="1" t="s">
        <v>462</v>
      </c>
      <c r="I15" s="1" t="s">
        <v>455</v>
      </c>
      <c r="J15" s="1">
        <v>240000</v>
      </c>
      <c r="K15" s="1">
        <v>240000</v>
      </c>
      <c r="L15" s="1" t="s">
        <v>51</v>
      </c>
      <c r="M15" s="1">
        <v>87910</v>
      </c>
      <c r="N15" s="1">
        <v>4690</v>
      </c>
      <c r="O15" s="1">
        <v>67400</v>
      </c>
      <c r="P15" s="1">
        <v>80000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</row>
    <row r="16" spans="1:22" x14ac:dyDescent="0.2">
      <c r="A16" s="1" t="s">
        <v>76</v>
      </c>
      <c r="B16" s="1" t="s">
        <v>72</v>
      </c>
      <c r="C16" s="1" t="s">
        <v>207</v>
      </c>
      <c r="D16" s="1" t="s">
        <v>211</v>
      </c>
      <c r="E16" s="1" t="s">
        <v>269</v>
      </c>
      <c r="F16" s="1">
        <v>2192</v>
      </c>
      <c r="G16" s="1" t="s">
        <v>450</v>
      </c>
      <c r="H16" s="1" t="s">
        <v>462</v>
      </c>
      <c r="I16" s="1" t="s">
        <v>456</v>
      </c>
      <c r="J16" s="1">
        <v>279800</v>
      </c>
      <c r="K16" s="1">
        <v>279800</v>
      </c>
      <c r="L16" s="1" t="s">
        <v>51</v>
      </c>
      <c r="M16" s="1">
        <v>176890</v>
      </c>
      <c r="N16" s="1">
        <v>10</v>
      </c>
      <c r="O16" s="1">
        <v>0</v>
      </c>
      <c r="P16" s="1">
        <v>40000</v>
      </c>
      <c r="Q16" s="1">
        <v>0</v>
      </c>
      <c r="R16" s="1">
        <v>62900</v>
      </c>
      <c r="S16" s="1">
        <v>0</v>
      </c>
      <c r="T16" s="1">
        <v>0</v>
      </c>
      <c r="U16" s="1">
        <v>0</v>
      </c>
      <c r="V16" s="1">
        <v>0</v>
      </c>
    </row>
    <row r="17" spans="1:22" x14ac:dyDescent="0.2">
      <c r="A17" s="1" t="s">
        <v>76</v>
      </c>
      <c r="B17" s="1" t="s">
        <v>72</v>
      </c>
      <c r="C17" s="1" t="s">
        <v>207</v>
      </c>
      <c r="D17" s="1" t="s">
        <v>214</v>
      </c>
      <c r="E17" s="1" t="s">
        <v>271</v>
      </c>
      <c r="F17" s="1">
        <v>2193</v>
      </c>
      <c r="G17" s="1" t="s">
        <v>450</v>
      </c>
      <c r="H17" s="1" t="s">
        <v>462</v>
      </c>
      <c r="I17" s="1" t="s">
        <v>455</v>
      </c>
      <c r="J17" s="1">
        <v>265600</v>
      </c>
      <c r="K17" s="1">
        <v>265600</v>
      </c>
      <c r="L17" s="1" t="s">
        <v>51</v>
      </c>
      <c r="M17" s="1">
        <v>191900</v>
      </c>
      <c r="N17" s="1">
        <v>0</v>
      </c>
      <c r="O17" s="1">
        <v>33700</v>
      </c>
      <c r="P17" s="1">
        <v>40000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</row>
    <row r="18" spans="1:22" x14ac:dyDescent="0.2">
      <c r="A18" s="1" t="s">
        <v>76</v>
      </c>
      <c r="B18" s="1" t="s">
        <v>72</v>
      </c>
      <c r="C18" s="1" t="s">
        <v>207</v>
      </c>
      <c r="D18" s="1" t="s">
        <v>223</v>
      </c>
      <c r="E18" s="1" t="s">
        <v>273</v>
      </c>
      <c r="F18" s="1">
        <v>2194</v>
      </c>
      <c r="G18" s="1" t="s">
        <v>450</v>
      </c>
      <c r="H18" s="1" t="s">
        <v>462</v>
      </c>
      <c r="I18" s="1" t="s">
        <v>465</v>
      </c>
      <c r="J18" s="1">
        <v>270000</v>
      </c>
      <c r="K18" s="1">
        <v>270000</v>
      </c>
      <c r="L18" s="1" t="s">
        <v>51</v>
      </c>
      <c r="M18" s="1">
        <v>166640</v>
      </c>
      <c r="N18" s="1">
        <v>460</v>
      </c>
      <c r="O18" s="1">
        <v>0</v>
      </c>
      <c r="P18" s="1">
        <v>40000</v>
      </c>
      <c r="Q18" s="1">
        <v>0</v>
      </c>
      <c r="R18" s="1">
        <v>62900</v>
      </c>
      <c r="S18" s="1">
        <v>0</v>
      </c>
      <c r="T18" s="1">
        <v>0</v>
      </c>
      <c r="U18" s="1">
        <v>0</v>
      </c>
      <c r="V18" s="1">
        <v>0</v>
      </c>
    </row>
    <row r="19" spans="1:22" x14ac:dyDescent="0.2">
      <c r="A19" s="1" t="s">
        <v>76</v>
      </c>
      <c r="B19" s="1" t="s">
        <v>72</v>
      </c>
      <c r="C19" s="1" t="s">
        <v>207</v>
      </c>
      <c r="D19" s="1" t="s">
        <v>226</v>
      </c>
      <c r="E19" s="1" t="s">
        <v>275</v>
      </c>
      <c r="F19" s="1">
        <v>2195</v>
      </c>
      <c r="G19" s="1" t="s">
        <v>450</v>
      </c>
      <c r="H19" s="1" t="s">
        <v>462</v>
      </c>
      <c r="I19" s="1" t="s">
        <v>465</v>
      </c>
      <c r="J19" s="1">
        <v>231900</v>
      </c>
      <c r="K19" s="1">
        <v>231900</v>
      </c>
      <c r="L19" s="1" t="s">
        <v>51</v>
      </c>
      <c r="M19" s="1">
        <v>191900</v>
      </c>
      <c r="N19" s="1">
        <v>0</v>
      </c>
      <c r="O19" s="1">
        <v>0</v>
      </c>
      <c r="P19" s="1">
        <v>40000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</row>
    <row r="20" spans="1:22" x14ac:dyDescent="0.2">
      <c r="A20" s="1" t="s">
        <v>76</v>
      </c>
      <c r="B20" s="1" t="s">
        <v>72</v>
      </c>
      <c r="C20" s="1" t="s">
        <v>207</v>
      </c>
      <c r="D20" s="1" t="s">
        <v>235</v>
      </c>
      <c r="E20" s="1" t="s">
        <v>277</v>
      </c>
      <c r="F20" s="1">
        <v>2196</v>
      </c>
      <c r="G20" s="1" t="s">
        <v>450</v>
      </c>
      <c r="H20" s="1" t="s">
        <v>462</v>
      </c>
      <c r="I20" s="1" t="s">
        <v>467</v>
      </c>
      <c r="J20" s="1">
        <v>279500</v>
      </c>
      <c r="K20" s="1">
        <v>279500</v>
      </c>
      <c r="L20" s="1" t="s">
        <v>51</v>
      </c>
      <c r="M20" s="1">
        <v>176600</v>
      </c>
      <c r="N20" s="1">
        <v>0</v>
      </c>
      <c r="O20" s="1">
        <v>0</v>
      </c>
      <c r="P20" s="1">
        <v>40000</v>
      </c>
      <c r="Q20" s="1">
        <v>0</v>
      </c>
      <c r="R20" s="1">
        <v>62900</v>
      </c>
      <c r="S20" s="1">
        <v>0</v>
      </c>
      <c r="T20" s="1">
        <v>0</v>
      </c>
      <c r="U20" s="1">
        <v>0</v>
      </c>
      <c r="V20" s="1">
        <v>0</v>
      </c>
    </row>
    <row r="21" spans="1:22" x14ac:dyDescent="0.2">
      <c r="A21" s="1" t="s">
        <v>76</v>
      </c>
      <c r="B21" s="1" t="s">
        <v>72</v>
      </c>
      <c r="C21" s="1" t="s">
        <v>207</v>
      </c>
      <c r="D21" s="1" t="s">
        <v>238</v>
      </c>
      <c r="E21" s="1" t="s">
        <v>279</v>
      </c>
      <c r="F21" s="1">
        <v>2197</v>
      </c>
      <c r="G21" s="1" t="s">
        <v>450</v>
      </c>
      <c r="H21" s="1" t="s">
        <v>462</v>
      </c>
      <c r="I21" s="1" t="s">
        <v>451</v>
      </c>
      <c r="J21" s="1">
        <v>294800</v>
      </c>
      <c r="K21" s="1">
        <v>294800</v>
      </c>
      <c r="L21" s="1" t="s">
        <v>51</v>
      </c>
      <c r="M21" s="1">
        <v>191900</v>
      </c>
      <c r="N21" s="1">
        <v>0</v>
      </c>
      <c r="O21" s="1">
        <v>0</v>
      </c>
      <c r="P21" s="1">
        <v>40000</v>
      </c>
      <c r="Q21" s="1">
        <v>0</v>
      </c>
      <c r="R21" s="1">
        <v>62900</v>
      </c>
      <c r="S21" s="1">
        <v>0</v>
      </c>
      <c r="T21" s="1">
        <v>0</v>
      </c>
      <c r="U21" s="1">
        <v>0</v>
      </c>
      <c r="V21" s="1">
        <v>0</v>
      </c>
    </row>
    <row r="22" spans="1:22" x14ac:dyDescent="0.2">
      <c r="A22" s="1" t="s">
        <v>76</v>
      </c>
      <c r="B22" s="1" t="s">
        <v>72</v>
      </c>
      <c r="C22" s="1" t="s">
        <v>207</v>
      </c>
      <c r="D22" s="1" t="s">
        <v>245</v>
      </c>
      <c r="E22" s="1" t="s">
        <v>281</v>
      </c>
      <c r="F22" s="1">
        <v>2198</v>
      </c>
      <c r="G22" s="1" t="s">
        <v>450</v>
      </c>
      <c r="H22" s="1" t="s">
        <v>462</v>
      </c>
      <c r="I22" s="1" t="s">
        <v>206</v>
      </c>
      <c r="J22" s="1">
        <v>280000</v>
      </c>
      <c r="K22" s="1">
        <v>280000</v>
      </c>
      <c r="L22" s="1" t="s">
        <v>51</v>
      </c>
      <c r="M22" s="1">
        <v>173750</v>
      </c>
      <c r="N22" s="1">
        <v>26250</v>
      </c>
      <c r="O22" s="1">
        <v>0</v>
      </c>
      <c r="P22" s="1">
        <v>80000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</row>
    <row r="23" spans="1:22" x14ac:dyDescent="0.2">
      <c r="A23" s="1" t="s">
        <v>76</v>
      </c>
      <c r="B23" s="1" t="s">
        <v>72</v>
      </c>
      <c r="C23" s="1" t="s">
        <v>207</v>
      </c>
      <c r="D23" s="1" t="s">
        <v>248</v>
      </c>
      <c r="E23" s="1" t="s">
        <v>283</v>
      </c>
      <c r="F23" s="1">
        <v>2199</v>
      </c>
      <c r="G23" s="1" t="s">
        <v>450</v>
      </c>
      <c r="H23" s="1" t="s">
        <v>462</v>
      </c>
      <c r="I23" s="1" t="s">
        <v>465</v>
      </c>
      <c r="J23" s="1">
        <v>150000</v>
      </c>
      <c r="K23" s="1">
        <v>150000</v>
      </c>
      <c r="L23" s="1" t="s">
        <v>51</v>
      </c>
      <c r="M23" s="1">
        <v>110000</v>
      </c>
      <c r="N23" s="1">
        <v>0</v>
      </c>
      <c r="O23" s="1">
        <v>0</v>
      </c>
      <c r="P23" s="1">
        <v>40000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</row>
    <row r="24" spans="1:22" x14ac:dyDescent="0.2">
      <c r="A24" s="1" t="s">
        <v>76</v>
      </c>
      <c r="B24" s="1" t="s">
        <v>72</v>
      </c>
      <c r="C24" s="1" t="s">
        <v>207</v>
      </c>
      <c r="D24" s="1" t="s">
        <v>257</v>
      </c>
      <c r="E24" s="1" t="s">
        <v>285</v>
      </c>
      <c r="F24" s="1">
        <v>2200</v>
      </c>
      <c r="G24" s="1" t="s">
        <v>450</v>
      </c>
      <c r="H24" s="1" t="s">
        <v>462</v>
      </c>
      <c r="I24" s="1" t="s">
        <v>453</v>
      </c>
      <c r="J24" s="1">
        <v>216600</v>
      </c>
      <c r="K24" s="1">
        <v>216600</v>
      </c>
      <c r="L24" s="1" t="s">
        <v>51</v>
      </c>
      <c r="M24" s="1">
        <v>176600</v>
      </c>
      <c r="N24" s="1">
        <v>0</v>
      </c>
      <c r="O24" s="1">
        <v>0</v>
      </c>
      <c r="P24" s="1">
        <v>40000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</row>
    <row r="25" spans="1:22" x14ac:dyDescent="0.2">
      <c r="A25" s="1" t="s">
        <v>76</v>
      </c>
      <c r="B25" s="1" t="s">
        <v>72</v>
      </c>
      <c r="C25" s="1" t="s">
        <v>207</v>
      </c>
      <c r="D25" s="1" t="s">
        <v>260</v>
      </c>
      <c r="E25" s="1" t="s">
        <v>287</v>
      </c>
      <c r="F25" s="1">
        <v>2201</v>
      </c>
      <c r="G25" s="1" t="s">
        <v>450</v>
      </c>
      <c r="H25" s="1" t="s">
        <v>462</v>
      </c>
      <c r="I25" s="1" t="s">
        <v>463</v>
      </c>
      <c r="J25" s="1">
        <v>231900</v>
      </c>
      <c r="K25" s="1">
        <v>231900</v>
      </c>
      <c r="L25" s="1" t="s">
        <v>51</v>
      </c>
      <c r="M25" s="1">
        <v>191900</v>
      </c>
      <c r="N25" s="1">
        <v>0</v>
      </c>
      <c r="O25" s="1">
        <v>0</v>
      </c>
      <c r="P25" s="1">
        <v>40000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</row>
    <row r="26" spans="1:22" x14ac:dyDescent="0.2">
      <c r="A26" s="1" t="s">
        <v>76</v>
      </c>
      <c r="B26" s="1" t="s">
        <v>72</v>
      </c>
      <c r="C26" s="1" t="s">
        <v>208</v>
      </c>
      <c r="D26" s="1" t="s">
        <v>214</v>
      </c>
      <c r="E26" s="1" t="s">
        <v>291</v>
      </c>
      <c r="F26" s="1">
        <v>2203</v>
      </c>
      <c r="G26" s="1" t="s">
        <v>450</v>
      </c>
      <c r="H26" s="1" t="s">
        <v>462</v>
      </c>
      <c r="I26" s="1" t="s">
        <v>465</v>
      </c>
      <c r="J26" s="1">
        <v>294460</v>
      </c>
      <c r="K26" s="1">
        <v>294460</v>
      </c>
      <c r="L26" s="1" t="s">
        <v>51</v>
      </c>
      <c r="M26" s="1">
        <v>191560</v>
      </c>
      <c r="N26" s="1">
        <v>0</v>
      </c>
      <c r="O26" s="1">
        <v>0</v>
      </c>
      <c r="P26" s="1">
        <v>40000</v>
      </c>
      <c r="Q26" s="1">
        <v>0</v>
      </c>
      <c r="R26" s="1">
        <v>62900</v>
      </c>
      <c r="S26" s="1">
        <v>0</v>
      </c>
      <c r="T26" s="1">
        <v>0</v>
      </c>
      <c r="U26" s="1">
        <v>0</v>
      </c>
      <c r="V26" s="1">
        <v>0</v>
      </c>
    </row>
    <row r="27" spans="1:22" x14ac:dyDescent="0.2">
      <c r="A27" s="1" t="s">
        <v>76</v>
      </c>
      <c r="B27" s="1" t="s">
        <v>72</v>
      </c>
      <c r="C27" s="1" t="s">
        <v>208</v>
      </c>
      <c r="D27" s="1" t="s">
        <v>217</v>
      </c>
      <c r="E27" s="1" t="s">
        <v>293</v>
      </c>
      <c r="F27" s="1">
        <v>2204</v>
      </c>
      <c r="G27" s="1" t="s">
        <v>450</v>
      </c>
      <c r="H27" s="1" t="s">
        <v>462</v>
      </c>
      <c r="I27" s="1" t="s">
        <v>455</v>
      </c>
      <c r="J27" s="1">
        <v>180100</v>
      </c>
      <c r="K27" s="1">
        <v>180100</v>
      </c>
      <c r="L27" s="1" t="s">
        <v>51</v>
      </c>
      <c r="M27" s="1">
        <v>140100</v>
      </c>
      <c r="N27" s="1">
        <v>0</v>
      </c>
      <c r="O27" s="1">
        <v>0</v>
      </c>
      <c r="P27" s="1">
        <v>40000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</row>
    <row r="28" spans="1:22" x14ac:dyDescent="0.2">
      <c r="A28" s="1" t="s">
        <v>76</v>
      </c>
      <c r="B28" s="1" t="s">
        <v>72</v>
      </c>
      <c r="C28" s="1" t="s">
        <v>208</v>
      </c>
      <c r="D28" s="1" t="s">
        <v>220</v>
      </c>
      <c r="E28" s="1" t="s">
        <v>295</v>
      </c>
      <c r="F28" s="1">
        <v>2205</v>
      </c>
      <c r="G28" s="1" t="s">
        <v>450</v>
      </c>
      <c r="H28" s="1" t="s">
        <v>462</v>
      </c>
      <c r="I28" s="1" t="s">
        <v>468</v>
      </c>
      <c r="J28" s="1">
        <v>303100</v>
      </c>
      <c r="K28" s="1">
        <v>303100</v>
      </c>
      <c r="L28" s="1" t="s">
        <v>51</v>
      </c>
      <c r="M28" s="1">
        <v>166500</v>
      </c>
      <c r="N28" s="1">
        <v>0</v>
      </c>
      <c r="O28" s="1">
        <v>33700</v>
      </c>
      <c r="P28" s="1">
        <v>40000</v>
      </c>
      <c r="Q28" s="1">
        <v>0</v>
      </c>
      <c r="R28" s="1">
        <v>62900</v>
      </c>
      <c r="S28" s="1">
        <v>0</v>
      </c>
      <c r="T28" s="1">
        <v>0</v>
      </c>
      <c r="U28" s="1">
        <v>0</v>
      </c>
      <c r="V28" s="1">
        <v>0</v>
      </c>
    </row>
    <row r="29" spans="1:22" x14ac:dyDescent="0.2">
      <c r="A29" s="1" t="s">
        <v>76</v>
      </c>
      <c r="B29" s="1" t="s">
        <v>72</v>
      </c>
      <c r="C29" s="1" t="s">
        <v>208</v>
      </c>
      <c r="D29" s="1" t="s">
        <v>223</v>
      </c>
      <c r="E29" s="1" t="s">
        <v>297</v>
      </c>
      <c r="F29" s="1">
        <v>2206</v>
      </c>
      <c r="G29" s="1" t="s">
        <v>450</v>
      </c>
      <c r="H29" s="1" t="s">
        <v>462</v>
      </c>
      <c r="I29" s="1" t="s">
        <v>465</v>
      </c>
      <c r="J29" s="1">
        <v>216600</v>
      </c>
      <c r="K29" s="1">
        <v>216600</v>
      </c>
      <c r="L29" s="1" t="s">
        <v>51</v>
      </c>
      <c r="M29" s="1">
        <v>176600</v>
      </c>
      <c r="N29" s="1">
        <v>0</v>
      </c>
      <c r="O29" s="1">
        <v>0</v>
      </c>
      <c r="P29" s="1">
        <v>40000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</row>
    <row r="30" spans="1:22" x14ac:dyDescent="0.2">
      <c r="A30" s="1" t="s">
        <v>76</v>
      </c>
      <c r="B30" s="1" t="s">
        <v>72</v>
      </c>
      <c r="C30" s="1" t="s">
        <v>208</v>
      </c>
      <c r="D30" s="1" t="s">
        <v>226</v>
      </c>
      <c r="E30" s="1" t="s">
        <v>299</v>
      </c>
      <c r="F30" s="1">
        <v>2207</v>
      </c>
      <c r="G30" s="1" t="s">
        <v>450</v>
      </c>
      <c r="H30" s="1" t="s">
        <v>462</v>
      </c>
      <c r="I30" s="1" t="s">
        <v>456</v>
      </c>
      <c r="J30" s="1">
        <v>1120000</v>
      </c>
      <c r="K30" s="1">
        <v>1120000</v>
      </c>
      <c r="L30" s="1" t="s">
        <v>51</v>
      </c>
      <c r="M30" s="1">
        <v>719660</v>
      </c>
      <c r="N30" s="1">
        <v>27240</v>
      </c>
      <c r="O30" s="1">
        <v>134800</v>
      </c>
      <c r="P30" s="1">
        <v>120000</v>
      </c>
      <c r="Q30" s="1">
        <v>118300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</row>
    <row r="31" spans="1:22" x14ac:dyDescent="0.2">
      <c r="A31" s="1" t="s">
        <v>76</v>
      </c>
      <c r="B31" s="1" t="s">
        <v>72</v>
      </c>
      <c r="C31" s="1" t="s">
        <v>208</v>
      </c>
      <c r="D31" s="1" t="s">
        <v>229</v>
      </c>
      <c r="E31" s="1" t="s">
        <v>301</v>
      </c>
      <c r="F31" s="1">
        <v>2208</v>
      </c>
      <c r="G31" s="1" t="s">
        <v>450</v>
      </c>
      <c r="H31" s="1" t="s">
        <v>462</v>
      </c>
      <c r="I31" s="1" t="s">
        <v>72</v>
      </c>
      <c r="J31" s="1">
        <v>180100</v>
      </c>
      <c r="K31" s="1">
        <v>180100</v>
      </c>
      <c r="L31" s="1" t="s">
        <v>51</v>
      </c>
      <c r="M31" s="1">
        <v>140100</v>
      </c>
      <c r="N31" s="1">
        <v>0</v>
      </c>
      <c r="O31" s="1">
        <v>0</v>
      </c>
      <c r="P31" s="1">
        <v>40000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</row>
    <row r="32" spans="1:22" x14ac:dyDescent="0.2">
      <c r="A32" s="1" t="s">
        <v>76</v>
      </c>
      <c r="B32" s="1" t="s">
        <v>72</v>
      </c>
      <c r="C32" s="1" t="s">
        <v>208</v>
      </c>
      <c r="D32" s="1" t="s">
        <v>232</v>
      </c>
      <c r="E32" s="1" t="s">
        <v>303</v>
      </c>
      <c r="F32" s="1">
        <v>2209</v>
      </c>
      <c r="G32" s="1" t="s">
        <v>450</v>
      </c>
      <c r="H32" s="1" t="s">
        <v>462</v>
      </c>
      <c r="I32" s="1" t="s">
        <v>464</v>
      </c>
      <c r="J32" s="1">
        <v>206500</v>
      </c>
      <c r="K32" s="1">
        <v>206500</v>
      </c>
      <c r="L32" s="1" t="s">
        <v>51</v>
      </c>
      <c r="M32" s="1">
        <v>166500</v>
      </c>
      <c r="N32" s="1">
        <v>0</v>
      </c>
      <c r="O32" s="1">
        <v>0</v>
      </c>
      <c r="P32" s="1">
        <v>40000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</row>
    <row r="33" spans="1:22" x14ac:dyDescent="0.2">
      <c r="A33" s="1" t="s">
        <v>76</v>
      </c>
      <c r="B33" s="1" t="s">
        <v>72</v>
      </c>
      <c r="C33" s="1" t="s">
        <v>208</v>
      </c>
      <c r="D33" s="1" t="s">
        <v>309</v>
      </c>
      <c r="E33" s="1" t="s">
        <v>310</v>
      </c>
      <c r="F33" s="1">
        <v>2212</v>
      </c>
      <c r="G33" s="1" t="s">
        <v>450</v>
      </c>
      <c r="H33" s="1" t="s">
        <v>462</v>
      </c>
      <c r="I33" s="1" t="s">
        <v>451</v>
      </c>
      <c r="J33" s="1">
        <v>243000</v>
      </c>
      <c r="K33" s="1">
        <v>243000</v>
      </c>
      <c r="L33" s="1" t="s">
        <v>51</v>
      </c>
      <c r="M33" s="1">
        <v>140100</v>
      </c>
      <c r="N33" s="1">
        <v>0</v>
      </c>
      <c r="O33" s="1">
        <v>0</v>
      </c>
      <c r="P33" s="1">
        <v>40000</v>
      </c>
      <c r="Q33" s="1">
        <v>0</v>
      </c>
      <c r="R33" s="1">
        <v>62900</v>
      </c>
      <c r="S33" s="1">
        <v>0</v>
      </c>
      <c r="T33" s="1">
        <v>0</v>
      </c>
      <c r="U33" s="1">
        <v>0</v>
      </c>
      <c r="V33" s="1">
        <v>0</v>
      </c>
    </row>
    <row r="34" spans="1:22" x14ac:dyDescent="0.2">
      <c r="A34" s="1" t="s">
        <v>76</v>
      </c>
      <c r="B34" s="1" t="s">
        <v>72</v>
      </c>
      <c r="C34" s="1" t="s">
        <v>208</v>
      </c>
      <c r="D34" s="1" t="s">
        <v>242</v>
      </c>
      <c r="E34" s="1" t="s">
        <v>312</v>
      </c>
      <c r="F34" s="1">
        <v>2213</v>
      </c>
      <c r="G34" s="1" t="s">
        <v>450</v>
      </c>
      <c r="H34" s="1" t="s">
        <v>462</v>
      </c>
      <c r="I34" s="1" t="s">
        <v>456</v>
      </c>
      <c r="J34" s="1">
        <v>240200</v>
      </c>
      <c r="K34" s="1">
        <v>240200</v>
      </c>
      <c r="L34" s="1" t="s">
        <v>51</v>
      </c>
      <c r="M34" s="1">
        <v>166500</v>
      </c>
      <c r="N34" s="1">
        <v>0</v>
      </c>
      <c r="O34" s="1">
        <v>33700</v>
      </c>
      <c r="P34" s="1">
        <v>40000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</row>
    <row r="35" spans="1:22" x14ac:dyDescent="0.2">
      <c r="A35" s="1" t="s">
        <v>76</v>
      </c>
      <c r="B35" s="1" t="s">
        <v>72</v>
      </c>
      <c r="C35" s="1" t="s">
        <v>208</v>
      </c>
      <c r="D35" s="1" t="s">
        <v>245</v>
      </c>
      <c r="E35" s="1" t="s">
        <v>314</v>
      </c>
      <c r="F35" s="1">
        <v>2214</v>
      </c>
      <c r="G35" s="1" t="s">
        <v>450</v>
      </c>
      <c r="H35" s="1" t="s">
        <v>462</v>
      </c>
      <c r="I35" s="1" t="s">
        <v>469</v>
      </c>
      <c r="J35" s="1">
        <v>540600</v>
      </c>
      <c r="K35" s="1">
        <v>540600</v>
      </c>
      <c r="L35" s="1" t="s">
        <v>51</v>
      </c>
      <c r="M35" s="1">
        <v>385970</v>
      </c>
      <c r="N35" s="1">
        <v>7230</v>
      </c>
      <c r="O35" s="1">
        <v>67400</v>
      </c>
      <c r="P35" s="1">
        <v>80000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</row>
    <row r="36" spans="1:22" x14ac:dyDescent="0.2">
      <c r="A36" s="1" t="s">
        <v>76</v>
      </c>
      <c r="B36" s="1" t="s">
        <v>72</v>
      </c>
      <c r="C36" s="1" t="s">
        <v>208</v>
      </c>
      <c r="D36" s="1" t="s">
        <v>248</v>
      </c>
      <c r="E36" s="1" t="s">
        <v>316</v>
      </c>
      <c r="F36" s="1">
        <v>2215</v>
      </c>
      <c r="G36" s="1" t="s">
        <v>450</v>
      </c>
      <c r="H36" s="1" t="s">
        <v>462</v>
      </c>
      <c r="I36" s="1" t="s">
        <v>465</v>
      </c>
      <c r="J36" s="1">
        <v>300000</v>
      </c>
      <c r="K36" s="1">
        <v>300000</v>
      </c>
      <c r="L36" s="1" t="s">
        <v>51</v>
      </c>
      <c r="M36" s="1">
        <v>122890</v>
      </c>
      <c r="N36" s="1">
        <v>29710</v>
      </c>
      <c r="O36" s="1">
        <v>67400</v>
      </c>
      <c r="P36" s="1">
        <v>80000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</row>
    <row r="37" spans="1:22" x14ac:dyDescent="0.2">
      <c r="A37" s="1" t="s">
        <v>76</v>
      </c>
      <c r="B37" s="1" t="s">
        <v>72</v>
      </c>
      <c r="C37" s="1" t="s">
        <v>208</v>
      </c>
      <c r="D37" s="1" t="s">
        <v>251</v>
      </c>
      <c r="E37" s="1" t="s">
        <v>318</v>
      </c>
      <c r="F37" s="1">
        <v>2216</v>
      </c>
      <c r="G37" s="1" t="s">
        <v>450</v>
      </c>
      <c r="H37" s="1" t="s">
        <v>462</v>
      </c>
      <c r="I37" s="1" t="s">
        <v>455</v>
      </c>
      <c r="J37" s="1">
        <v>184000</v>
      </c>
      <c r="K37" s="1">
        <v>184000</v>
      </c>
      <c r="L37" s="1" t="s">
        <v>51</v>
      </c>
      <c r="M37" s="1">
        <v>139700</v>
      </c>
      <c r="N37" s="1">
        <v>0</v>
      </c>
      <c r="O37" s="1">
        <v>0</v>
      </c>
      <c r="P37" s="1">
        <v>40000</v>
      </c>
      <c r="Q37" s="1">
        <v>0</v>
      </c>
      <c r="R37" s="1">
        <v>0</v>
      </c>
      <c r="S37" s="1">
        <v>4300</v>
      </c>
      <c r="T37" s="1">
        <v>0</v>
      </c>
      <c r="U37" s="1">
        <v>0</v>
      </c>
      <c r="V37" s="1">
        <v>0</v>
      </c>
    </row>
    <row r="38" spans="1:22" x14ac:dyDescent="0.2">
      <c r="A38" s="1" t="s">
        <v>76</v>
      </c>
      <c r="B38" s="1" t="s">
        <v>72</v>
      </c>
      <c r="C38" s="1" t="s">
        <v>208</v>
      </c>
      <c r="D38" s="1" t="s">
        <v>254</v>
      </c>
      <c r="E38" s="1" t="s">
        <v>319</v>
      </c>
      <c r="F38" s="1">
        <v>2217</v>
      </c>
      <c r="G38" s="1" t="s">
        <v>450</v>
      </c>
      <c r="H38" s="1" t="s">
        <v>462</v>
      </c>
      <c r="I38" s="1" t="s">
        <v>455</v>
      </c>
      <c r="J38" s="1">
        <v>113000</v>
      </c>
      <c r="K38" s="1">
        <v>113000</v>
      </c>
      <c r="L38" s="1" t="s">
        <v>51</v>
      </c>
      <c r="M38" s="1">
        <v>33000</v>
      </c>
      <c r="N38" s="1">
        <v>0</v>
      </c>
      <c r="O38" s="1">
        <v>0</v>
      </c>
      <c r="P38" s="1">
        <v>80000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</row>
    <row r="39" spans="1:22" x14ac:dyDescent="0.2">
      <c r="A39" s="1" t="s">
        <v>76</v>
      </c>
      <c r="B39" s="1" t="s">
        <v>72</v>
      </c>
      <c r="C39" s="1" t="s">
        <v>206</v>
      </c>
      <c r="D39" s="1" t="s">
        <v>217</v>
      </c>
      <c r="E39" s="1" t="s">
        <v>333</v>
      </c>
      <c r="F39" s="1">
        <v>2224</v>
      </c>
      <c r="G39" s="1" t="s">
        <v>450</v>
      </c>
      <c r="H39" s="1" t="s">
        <v>462</v>
      </c>
      <c r="I39" s="1" t="s">
        <v>457</v>
      </c>
      <c r="J39" s="1">
        <v>230000</v>
      </c>
      <c r="K39" s="1">
        <v>230000</v>
      </c>
      <c r="L39" s="1" t="s">
        <v>51</v>
      </c>
      <c r="M39" s="1">
        <v>154360</v>
      </c>
      <c r="N39" s="1">
        <v>1940</v>
      </c>
      <c r="O39" s="1">
        <v>33700</v>
      </c>
      <c r="P39" s="1">
        <v>40000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</row>
    <row r="40" spans="1:22" x14ac:dyDescent="0.2">
      <c r="A40" s="1" t="s">
        <v>76</v>
      </c>
      <c r="B40" s="1" t="s">
        <v>72</v>
      </c>
      <c r="C40" s="1" t="s">
        <v>206</v>
      </c>
      <c r="D40" s="1" t="s">
        <v>220</v>
      </c>
      <c r="E40" s="1" t="s">
        <v>335</v>
      </c>
      <c r="F40" s="1">
        <v>2225</v>
      </c>
      <c r="G40" s="1" t="s">
        <v>450</v>
      </c>
      <c r="H40" s="1" t="s">
        <v>462</v>
      </c>
      <c r="I40" s="1" t="s">
        <v>465</v>
      </c>
      <c r="J40" s="1">
        <v>353100</v>
      </c>
      <c r="K40" s="1">
        <v>353100</v>
      </c>
      <c r="L40" s="1" t="s">
        <v>51</v>
      </c>
      <c r="M40" s="1">
        <v>216500</v>
      </c>
      <c r="N40" s="1">
        <v>0</v>
      </c>
      <c r="O40" s="1">
        <v>33700</v>
      </c>
      <c r="P40" s="1">
        <v>40000</v>
      </c>
      <c r="Q40" s="1">
        <v>0</v>
      </c>
      <c r="R40" s="1">
        <v>62900</v>
      </c>
      <c r="S40" s="1">
        <v>0</v>
      </c>
      <c r="T40" s="1">
        <v>0</v>
      </c>
      <c r="U40" s="1">
        <v>0</v>
      </c>
      <c r="V40" s="1">
        <v>0</v>
      </c>
    </row>
    <row r="41" spans="1:22" x14ac:dyDescent="0.2">
      <c r="A41" s="1" t="s">
        <v>76</v>
      </c>
      <c r="B41" s="1" t="s">
        <v>72</v>
      </c>
      <c r="C41" s="1" t="s">
        <v>206</v>
      </c>
      <c r="D41" s="1" t="s">
        <v>337</v>
      </c>
      <c r="E41" s="1" t="s">
        <v>338</v>
      </c>
      <c r="F41" s="1">
        <v>2226</v>
      </c>
      <c r="G41" s="1" t="s">
        <v>450</v>
      </c>
      <c r="H41" s="1" t="s">
        <v>462</v>
      </c>
      <c r="I41" s="1" t="s">
        <v>465</v>
      </c>
      <c r="J41" s="1">
        <v>299200</v>
      </c>
      <c r="K41" s="1">
        <v>299200</v>
      </c>
      <c r="L41" s="1" t="s">
        <v>51</v>
      </c>
      <c r="M41" s="1">
        <v>196300</v>
      </c>
      <c r="N41" s="1">
        <v>0</v>
      </c>
      <c r="O41" s="1">
        <v>0</v>
      </c>
      <c r="P41" s="1">
        <v>40000</v>
      </c>
      <c r="Q41" s="1">
        <v>0</v>
      </c>
      <c r="R41" s="1">
        <v>62900</v>
      </c>
      <c r="S41" s="1">
        <v>0</v>
      </c>
      <c r="T41" s="1">
        <v>0</v>
      </c>
      <c r="U41" s="1">
        <v>0</v>
      </c>
      <c r="V41" s="1">
        <v>0</v>
      </c>
    </row>
    <row r="42" spans="1:22" x14ac:dyDescent="0.2">
      <c r="A42" s="1" t="s">
        <v>76</v>
      </c>
      <c r="B42" s="1" t="s">
        <v>72</v>
      </c>
      <c r="C42" s="1" t="s">
        <v>206</v>
      </c>
      <c r="D42" s="1" t="s">
        <v>343</v>
      </c>
      <c r="E42" s="1" t="s">
        <v>344</v>
      </c>
      <c r="F42" s="1">
        <v>2228</v>
      </c>
      <c r="G42" s="1" t="s">
        <v>450</v>
      </c>
      <c r="H42" s="1" t="s">
        <v>462</v>
      </c>
      <c r="I42" s="1" t="s">
        <v>457</v>
      </c>
      <c r="J42" s="1">
        <v>243000</v>
      </c>
      <c r="K42" s="1">
        <v>243000</v>
      </c>
      <c r="L42" s="1" t="s">
        <v>51</v>
      </c>
      <c r="M42" s="1">
        <v>140100</v>
      </c>
      <c r="N42" s="1">
        <v>0</v>
      </c>
      <c r="O42" s="1">
        <v>0</v>
      </c>
      <c r="P42" s="1">
        <v>40000</v>
      </c>
      <c r="Q42" s="1">
        <v>0</v>
      </c>
      <c r="R42" s="1">
        <v>62900</v>
      </c>
      <c r="S42" s="1">
        <v>0</v>
      </c>
      <c r="T42" s="1">
        <v>0</v>
      </c>
      <c r="U42" s="1">
        <v>0</v>
      </c>
      <c r="V42" s="1">
        <v>0</v>
      </c>
    </row>
    <row r="43" spans="1:22" x14ac:dyDescent="0.2">
      <c r="A43" s="1" t="s">
        <v>76</v>
      </c>
      <c r="B43" s="1" t="s">
        <v>72</v>
      </c>
      <c r="C43" s="1" t="s">
        <v>206</v>
      </c>
      <c r="D43" s="1" t="s">
        <v>346</v>
      </c>
      <c r="E43" s="1" t="s">
        <v>347</v>
      </c>
      <c r="F43" s="1">
        <v>2229</v>
      </c>
      <c r="G43" s="1" t="s">
        <v>450</v>
      </c>
      <c r="H43" s="1" t="s">
        <v>462</v>
      </c>
      <c r="I43" s="1" t="s">
        <v>464</v>
      </c>
      <c r="J43" s="1">
        <v>269400</v>
      </c>
      <c r="K43" s="1">
        <v>269400</v>
      </c>
      <c r="L43" s="1" t="s">
        <v>51</v>
      </c>
      <c r="M43" s="1">
        <v>166500</v>
      </c>
      <c r="N43" s="1">
        <v>0</v>
      </c>
      <c r="O43" s="1">
        <v>0</v>
      </c>
      <c r="P43" s="1">
        <v>40000</v>
      </c>
      <c r="Q43" s="1">
        <v>0</v>
      </c>
      <c r="R43" s="1">
        <v>62900</v>
      </c>
      <c r="S43" s="1">
        <v>0</v>
      </c>
      <c r="T43" s="1">
        <v>0</v>
      </c>
      <c r="U43" s="1">
        <v>0</v>
      </c>
      <c r="V43" s="1">
        <v>0</v>
      </c>
    </row>
    <row r="44" spans="1:22" x14ac:dyDescent="0.2">
      <c r="A44" s="1" t="s">
        <v>76</v>
      </c>
      <c r="B44" s="1" t="s">
        <v>72</v>
      </c>
      <c r="C44" s="1" t="s">
        <v>206</v>
      </c>
      <c r="D44" s="1" t="s">
        <v>223</v>
      </c>
      <c r="E44" s="1" t="s">
        <v>349</v>
      </c>
      <c r="F44" s="1">
        <v>2230</v>
      </c>
      <c r="G44" s="1" t="s">
        <v>450</v>
      </c>
      <c r="H44" s="1" t="s">
        <v>462</v>
      </c>
      <c r="I44" s="1" t="s">
        <v>455</v>
      </c>
      <c r="J44" s="1">
        <v>180100</v>
      </c>
      <c r="K44" s="1">
        <v>180100</v>
      </c>
      <c r="L44" s="1" t="s">
        <v>51</v>
      </c>
      <c r="M44" s="1">
        <v>140100</v>
      </c>
      <c r="N44" s="1">
        <v>0</v>
      </c>
      <c r="O44" s="1">
        <v>0</v>
      </c>
      <c r="P44" s="1">
        <v>40000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</row>
    <row r="45" spans="1:22" x14ac:dyDescent="0.2">
      <c r="A45" s="1" t="s">
        <v>76</v>
      </c>
      <c r="B45" s="1" t="s">
        <v>72</v>
      </c>
      <c r="C45" s="1" t="s">
        <v>206</v>
      </c>
      <c r="D45" s="1" t="s">
        <v>226</v>
      </c>
      <c r="E45" s="1" t="s">
        <v>351</v>
      </c>
      <c r="F45" s="1">
        <v>2231</v>
      </c>
      <c r="G45" s="1" t="s">
        <v>450</v>
      </c>
      <c r="H45" s="1" t="s">
        <v>462</v>
      </c>
      <c r="I45" s="1" t="s">
        <v>206</v>
      </c>
      <c r="J45" s="1">
        <v>206500</v>
      </c>
      <c r="K45" s="1">
        <v>206500</v>
      </c>
      <c r="L45" s="1" t="s">
        <v>51</v>
      </c>
      <c r="M45" s="1">
        <v>166500</v>
      </c>
      <c r="N45" s="1">
        <v>0</v>
      </c>
      <c r="O45" s="1">
        <v>0</v>
      </c>
      <c r="P45" s="1">
        <v>40000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</row>
    <row r="46" spans="1:22" x14ac:dyDescent="0.2">
      <c r="A46" s="1" t="s">
        <v>76</v>
      </c>
      <c r="B46" s="1" t="s">
        <v>72</v>
      </c>
      <c r="C46" s="1" t="s">
        <v>206</v>
      </c>
      <c r="D46" s="1" t="s">
        <v>357</v>
      </c>
      <c r="E46" s="1" t="s">
        <v>358</v>
      </c>
      <c r="F46" s="1">
        <v>2234</v>
      </c>
      <c r="G46" s="1" t="s">
        <v>450</v>
      </c>
      <c r="H46" s="1" t="s">
        <v>462</v>
      </c>
      <c r="I46" s="1" t="s">
        <v>458</v>
      </c>
      <c r="J46" s="1">
        <v>333220</v>
      </c>
      <c r="K46" s="1">
        <v>333220</v>
      </c>
      <c r="L46" s="1" t="s">
        <v>51</v>
      </c>
      <c r="M46" s="1">
        <v>257580</v>
      </c>
      <c r="N46" s="1">
        <v>1940</v>
      </c>
      <c r="O46" s="1">
        <v>33700</v>
      </c>
      <c r="P46" s="1">
        <v>40000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</row>
    <row r="47" spans="1:22" x14ac:dyDescent="0.2">
      <c r="A47" s="1" t="s">
        <v>76</v>
      </c>
      <c r="B47" s="1" t="s">
        <v>72</v>
      </c>
      <c r="C47" s="1" t="s">
        <v>206</v>
      </c>
      <c r="D47" s="1" t="s">
        <v>360</v>
      </c>
      <c r="E47" s="1" t="s">
        <v>361</v>
      </c>
      <c r="F47" s="1">
        <v>2235</v>
      </c>
      <c r="G47" s="1" t="s">
        <v>450</v>
      </c>
      <c r="H47" s="1" t="s">
        <v>462</v>
      </c>
      <c r="I47" s="1" t="s">
        <v>463</v>
      </c>
      <c r="J47" s="1">
        <v>265600</v>
      </c>
      <c r="K47" s="1">
        <v>265600</v>
      </c>
      <c r="L47" s="1" t="s">
        <v>51</v>
      </c>
      <c r="M47" s="1">
        <v>191900</v>
      </c>
      <c r="N47" s="1">
        <v>0</v>
      </c>
      <c r="O47" s="1">
        <v>33700</v>
      </c>
      <c r="P47" s="1">
        <v>40000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</row>
    <row r="48" spans="1:22" x14ac:dyDescent="0.2">
      <c r="A48" s="1" t="s">
        <v>76</v>
      </c>
      <c r="B48" s="1" t="s">
        <v>72</v>
      </c>
      <c r="C48" s="1" t="s">
        <v>206</v>
      </c>
      <c r="D48" s="1" t="s">
        <v>363</v>
      </c>
      <c r="E48" s="1" t="s">
        <v>364</v>
      </c>
      <c r="F48" s="1">
        <v>2236</v>
      </c>
      <c r="G48" s="1" t="s">
        <v>450</v>
      </c>
      <c r="H48" s="1" t="s">
        <v>462</v>
      </c>
      <c r="I48" s="1" t="s">
        <v>463</v>
      </c>
      <c r="J48" s="1">
        <v>180100</v>
      </c>
      <c r="K48" s="1">
        <v>180100</v>
      </c>
      <c r="L48" s="1" t="s">
        <v>51</v>
      </c>
      <c r="M48" s="1">
        <v>140100</v>
      </c>
      <c r="N48" s="1">
        <v>0</v>
      </c>
      <c r="O48" s="1">
        <v>0</v>
      </c>
      <c r="P48" s="1">
        <v>40000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</row>
    <row r="49" spans="1:22" x14ac:dyDescent="0.2">
      <c r="A49" s="1" t="s">
        <v>76</v>
      </c>
      <c r="B49" s="1" t="s">
        <v>72</v>
      </c>
      <c r="C49" s="1" t="s">
        <v>206</v>
      </c>
      <c r="D49" s="1" t="s">
        <v>366</v>
      </c>
      <c r="E49" s="1" t="s">
        <v>367</v>
      </c>
      <c r="F49" s="1">
        <v>2237</v>
      </c>
      <c r="G49" s="1" t="s">
        <v>450</v>
      </c>
      <c r="H49" s="1" t="s">
        <v>462</v>
      </c>
      <c r="I49" s="1" t="s">
        <v>456</v>
      </c>
      <c r="J49" s="1">
        <v>206500</v>
      </c>
      <c r="K49" s="1">
        <v>206500</v>
      </c>
      <c r="L49" s="1" t="s">
        <v>51</v>
      </c>
      <c r="M49" s="1">
        <v>166500</v>
      </c>
      <c r="N49" s="1">
        <v>0</v>
      </c>
      <c r="O49" s="1">
        <v>0</v>
      </c>
      <c r="P49" s="1">
        <v>40000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</row>
    <row r="50" spans="1:22" x14ac:dyDescent="0.2">
      <c r="A50" s="1" t="s">
        <v>76</v>
      </c>
      <c r="B50" s="1" t="s">
        <v>72</v>
      </c>
      <c r="C50" s="1" t="s">
        <v>206</v>
      </c>
      <c r="D50" s="1" t="s">
        <v>235</v>
      </c>
      <c r="E50" s="1" t="s">
        <v>369</v>
      </c>
      <c r="F50" s="1">
        <v>2238</v>
      </c>
      <c r="G50" s="1" t="s">
        <v>450</v>
      </c>
      <c r="H50" s="1" t="s">
        <v>462</v>
      </c>
      <c r="I50" s="1" t="s">
        <v>452</v>
      </c>
      <c r="J50" s="1">
        <v>188190</v>
      </c>
      <c r="K50" s="1">
        <v>188190</v>
      </c>
      <c r="L50" s="1" t="s">
        <v>51</v>
      </c>
      <c r="M50" s="1">
        <v>148140</v>
      </c>
      <c r="N50" s="1">
        <v>50</v>
      </c>
      <c r="O50" s="1">
        <v>0</v>
      </c>
      <c r="P50" s="1">
        <v>40000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</row>
    <row r="51" spans="1:22" x14ac:dyDescent="0.2">
      <c r="A51" s="1" t="s">
        <v>76</v>
      </c>
      <c r="B51" s="1" t="s">
        <v>72</v>
      </c>
      <c r="C51" s="1" t="s">
        <v>206</v>
      </c>
      <c r="D51" s="1" t="s">
        <v>238</v>
      </c>
      <c r="E51" s="1" t="s">
        <v>371</v>
      </c>
      <c r="F51" s="1">
        <v>2239</v>
      </c>
      <c r="G51" s="1" t="s">
        <v>450</v>
      </c>
      <c r="H51" s="1" t="s">
        <v>462</v>
      </c>
      <c r="I51" s="1" t="s">
        <v>469</v>
      </c>
      <c r="J51" s="1">
        <v>206500</v>
      </c>
      <c r="K51" s="1">
        <v>206500</v>
      </c>
      <c r="L51" s="1" t="s">
        <v>51</v>
      </c>
      <c r="M51" s="1">
        <v>166500</v>
      </c>
      <c r="N51" s="1">
        <v>0</v>
      </c>
      <c r="O51" s="1">
        <v>0</v>
      </c>
      <c r="P51" s="1">
        <v>40000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</row>
    <row r="52" spans="1:22" x14ac:dyDescent="0.2">
      <c r="A52" s="1" t="s">
        <v>76</v>
      </c>
      <c r="B52" s="1" t="s">
        <v>72</v>
      </c>
      <c r="C52" s="1" t="s">
        <v>206</v>
      </c>
      <c r="D52" s="1" t="s">
        <v>309</v>
      </c>
      <c r="E52" s="1" t="s">
        <v>373</v>
      </c>
      <c r="F52" s="1">
        <v>2240</v>
      </c>
      <c r="G52" s="1" t="s">
        <v>450</v>
      </c>
      <c r="H52" s="1" t="s">
        <v>462</v>
      </c>
      <c r="I52" s="1" t="s">
        <v>456</v>
      </c>
      <c r="J52" s="1">
        <v>250300</v>
      </c>
      <c r="K52" s="1">
        <v>250300</v>
      </c>
      <c r="L52" s="1" t="s">
        <v>51</v>
      </c>
      <c r="M52" s="1">
        <v>176600</v>
      </c>
      <c r="N52" s="1">
        <v>0</v>
      </c>
      <c r="O52" s="1">
        <v>33700</v>
      </c>
      <c r="P52" s="1">
        <v>40000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</row>
    <row r="53" spans="1:22" x14ac:dyDescent="0.2">
      <c r="A53" s="1" t="s">
        <v>76</v>
      </c>
      <c r="B53" s="1" t="s">
        <v>72</v>
      </c>
      <c r="C53" s="1" t="s">
        <v>206</v>
      </c>
      <c r="D53" s="1" t="s">
        <v>242</v>
      </c>
      <c r="E53" s="1" t="s">
        <v>375</v>
      </c>
      <c r="F53" s="1">
        <v>2241</v>
      </c>
      <c r="G53" s="1" t="s">
        <v>450</v>
      </c>
      <c r="H53" s="1" t="s">
        <v>462</v>
      </c>
      <c r="I53" s="1" t="s">
        <v>465</v>
      </c>
      <c r="J53" s="1">
        <v>265600</v>
      </c>
      <c r="K53" s="1">
        <v>265600</v>
      </c>
      <c r="L53" s="1" t="s">
        <v>51</v>
      </c>
      <c r="M53" s="1">
        <v>191900</v>
      </c>
      <c r="N53" s="1">
        <v>0</v>
      </c>
      <c r="O53" s="1">
        <v>33700</v>
      </c>
      <c r="P53" s="1">
        <v>40000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</row>
    <row r="54" spans="1:22" x14ac:dyDescent="0.2">
      <c r="A54" s="1" t="s">
        <v>76</v>
      </c>
      <c r="B54" s="1" t="s">
        <v>72</v>
      </c>
      <c r="C54" s="1" t="s">
        <v>206</v>
      </c>
      <c r="D54" s="1" t="s">
        <v>377</v>
      </c>
      <c r="E54" s="1" t="s">
        <v>378</v>
      </c>
      <c r="F54" s="1">
        <v>2242</v>
      </c>
      <c r="G54" s="1" t="s">
        <v>450</v>
      </c>
      <c r="H54" s="1" t="s">
        <v>462</v>
      </c>
      <c r="I54" s="1" t="s">
        <v>72</v>
      </c>
      <c r="J54" s="1">
        <v>250300</v>
      </c>
      <c r="K54" s="1">
        <v>250300</v>
      </c>
      <c r="L54" s="1" t="s">
        <v>51</v>
      </c>
      <c r="M54" s="1">
        <v>176600</v>
      </c>
      <c r="N54" s="1">
        <v>0</v>
      </c>
      <c r="O54" s="1">
        <v>33700</v>
      </c>
      <c r="P54" s="1">
        <v>40000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</row>
    <row r="55" spans="1:22" x14ac:dyDescent="0.2">
      <c r="A55" s="1" t="s">
        <v>76</v>
      </c>
      <c r="B55" s="1" t="s">
        <v>72</v>
      </c>
      <c r="C55" s="1" t="s">
        <v>206</v>
      </c>
      <c r="D55" s="1" t="s">
        <v>380</v>
      </c>
      <c r="E55" s="1" t="s">
        <v>381</v>
      </c>
      <c r="F55" s="1">
        <v>2243</v>
      </c>
      <c r="G55" s="1" t="s">
        <v>450</v>
      </c>
      <c r="H55" s="1" t="s">
        <v>462</v>
      </c>
      <c r="I55" s="1" t="s">
        <v>465</v>
      </c>
      <c r="J55" s="1">
        <v>265600</v>
      </c>
      <c r="K55" s="1">
        <v>265600</v>
      </c>
      <c r="L55" s="1" t="s">
        <v>51</v>
      </c>
      <c r="M55" s="1">
        <v>191900</v>
      </c>
      <c r="N55" s="1">
        <v>0</v>
      </c>
      <c r="O55" s="1">
        <v>33700</v>
      </c>
      <c r="P55" s="1">
        <v>40000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</row>
    <row r="56" spans="1:22" x14ac:dyDescent="0.2">
      <c r="A56" s="1" t="s">
        <v>76</v>
      </c>
      <c r="B56" s="1" t="s">
        <v>72</v>
      </c>
      <c r="C56" s="1" t="s">
        <v>206</v>
      </c>
      <c r="D56" s="1" t="s">
        <v>383</v>
      </c>
      <c r="E56" s="1" t="s">
        <v>384</v>
      </c>
      <c r="F56" s="1">
        <v>2244</v>
      </c>
      <c r="G56" s="1" t="s">
        <v>450</v>
      </c>
      <c r="H56" s="1" t="s">
        <v>462</v>
      </c>
      <c r="I56" s="1" t="s">
        <v>459</v>
      </c>
      <c r="J56" s="1">
        <v>1022650</v>
      </c>
      <c r="K56" s="1">
        <v>1022650</v>
      </c>
      <c r="L56" s="1" t="s">
        <v>51</v>
      </c>
      <c r="M56" s="1">
        <v>759070</v>
      </c>
      <c r="N56" s="1">
        <v>37950</v>
      </c>
      <c r="O56" s="1">
        <v>0</v>
      </c>
      <c r="P56" s="1">
        <v>120000</v>
      </c>
      <c r="Q56" s="1">
        <v>105630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</row>
    <row r="57" spans="1:22" x14ac:dyDescent="0.2">
      <c r="A57" s="1" t="s">
        <v>76</v>
      </c>
      <c r="B57" s="1" t="s">
        <v>72</v>
      </c>
      <c r="C57" s="1" t="s">
        <v>206</v>
      </c>
      <c r="D57" s="1" t="s">
        <v>386</v>
      </c>
      <c r="E57" s="1" t="s">
        <v>387</v>
      </c>
      <c r="F57" s="1">
        <v>2245</v>
      </c>
      <c r="G57" s="1" t="s">
        <v>450</v>
      </c>
      <c r="H57" s="1" t="s">
        <v>462</v>
      </c>
      <c r="I57" s="1" t="s">
        <v>455</v>
      </c>
      <c r="J57" s="1">
        <v>314980</v>
      </c>
      <c r="K57" s="1">
        <v>314980</v>
      </c>
      <c r="L57" s="1" t="s">
        <v>51</v>
      </c>
      <c r="M57" s="1">
        <v>239530</v>
      </c>
      <c r="N57" s="1">
        <v>1750</v>
      </c>
      <c r="O57" s="1">
        <v>33700</v>
      </c>
      <c r="P57" s="1">
        <v>40000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</row>
    <row r="58" spans="1:22" x14ac:dyDescent="0.2">
      <c r="A58" s="1" t="s">
        <v>76</v>
      </c>
      <c r="B58" s="1" t="s">
        <v>72</v>
      </c>
      <c r="C58" s="1" t="s">
        <v>206</v>
      </c>
      <c r="D58" s="1" t="s">
        <v>245</v>
      </c>
      <c r="E58" s="1" t="s">
        <v>389</v>
      </c>
      <c r="F58" s="1">
        <v>2246</v>
      </c>
      <c r="G58" s="1" t="s">
        <v>450</v>
      </c>
      <c r="H58" s="1" t="s">
        <v>462</v>
      </c>
      <c r="I58" s="1" t="s">
        <v>456</v>
      </c>
      <c r="J58" s="1">
        <v>243000</v>
      </c>
      <c r="K58" s="1">
        <v>243000</v>
      </c>
      <c r="L58" s="1" t="s">
        <v>51</v>
      </c>
      <c r="M58" s="1">
        <v>140100</v>
      </c>
      <c r="N58" s="1">
        <v>0</v>
      </c>
      <c r="O58" s="1">
        <v>0</v>
      </c>
      <c r="P58" s="1">
        <v>40000</v>
      </c>
      <c r="Q58" s="1">
        <v>0</v>
      </c>
      <c r="R58" s="1">
        <v>62900</v>
      </c>
      <c r="S58" s="1">
        <v>0</v>
      </c>
      <c r="T58" s="1">
        <v>0</v>
      </c>
      <c r="U58" s="1">
        <v>0</v>
      </c>
      <c r="V58" s="1">
        <v>0</v>
      </c>
    </row>
    <row r="59" spans="1:22" x14ac:dyDescent="0.2">
      <c r="A59" s="1" t="s">
        <v>76</v>
      </c>
      <c r="B59" s="1" t="s">
        <v>72</v>
      </c>
      <c r="C59" s="1" t="s">
        <v>206</v>
      </c>
      <c r="D59" s="1" t="s">
        <v>248</v>
      </c>
      <c r="E59" s="1" t="s">
        <v>391</v>
      </c>
      <c r="F59" s="1">
        <v>2247</v>
      </c>
      <c r="G59" s="1" t="s">
        <v>450</v>
      </c>
      <c r="H59" s="1" t="s">
        <v>462</v>
      </c>
      <c r="I59" s="1" t="s">
        <v>455</v>
      </c>
      <c r="J59" s="1">
        <v>206500</v>
      </c>
      <c r="K59" s="1">
        <v>206500</v>
      </c>
      <c r="L59" s="1" t="s">
        <v>51</v>
      </c>
      <c r="M59" s="1">
        <v>166500</v>
      </c>
      <c r="N59" s="1">
        <v>0</v>
      </c>
      <c r="O59" s="1">
        <v>0</v>
      </c>
      <c r="P59" s="1">
        <v>40000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</row>
    <row r="60" spans="1:22" x14ac:dyDescent="0.2">
      <c r="A60" s="1" t="s">
        <v>76</v>
      </c>
      <c r="B60" s="1" t="s">
        <v>72</v>
      </c>
      <c r="C60" s="1" t="s">
        <v>206</v>
      </c>
      <c r="D60" s="1" t="s">
        <v>251</v>
      </c>
      <c r="E60" s="1" t="s">
        <v>393</v>
      </c>
      <c r="F60" s="1">
        <v>2248</v>
      </c>
      <c r="G60" s="1" t="s">
        <v>450</v>
      </c>
      <c r="H60" s="1" t="s">
        <v>462</v>
      </c>
      <c r="I60" s="1" t="s">
        <v>469</v>
      </c>
      <c r="J60" s="1">
        <v>216600</v>
      </c>
      <c r="K60" s="1">
        <v>216600</v>
      </c>
      <c r="L60" s="1" t="s">
        <v>51</v>
      </c>
      <c r="M60" s="1">
        <v>176600</v>
      </c>
      <c r="N60" s="1">
        <v>0</v>
      </c>
      <c r="O60" s="1">
        <v>0</v>
      </c>
      <c r="P60" s="1">
        <v>40000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</row>
    <row r="61" spans="1:22" x14ac:dyDescent="0.2">
      <c r="A61" s="1" t="s">
        <v>76</v>
      </c>
      <c r="B61" s="1" t="s">
        <v>72</v>
      </c>
      <c r="C61" s="1" t="s">
        <v>206</v>
      </c>
      <c r="D61" s="1" t="s">
        <v>399</v>
      </c>
      <c r="E61" s="1" t="s">
        <v>400</v>
      </c>
      <c r="F61" s="1">
        <v>2251</v>
      </c>
      <c r="G61" s="1" t="s">
        <v>450</v>
      </c>
      <c r="H61" s="1" t="s">
        <v>462</v>
      </c>
      <c r="I61" s="1" t="s">
        <v>469</v>
      </c>
      <c r="J61" s="1">
        <v>265600</v>
      </c>
      <c r="K61" s="1">
        <v>265600</v>
      </c>
      <c r="L61" s="1" t="s">
        <v>51</v>
      </c>
      <c r="M61" s="1">
        <v>191900</v>
      </c>
      <c r="N61" s="1">
        <v>0</v>
      </c>
      <c r="O61" s="1">
        <v>33700</v>
      </c>
      <c r="P61" s="1">
        <v>40000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</row>
    <row r="62" spans="1:22" x14ac:dyDescent="0.2">
      <c r="A62" s="1" t="s">
        <v>76</v>
      </c>
      <c r="B62" s="1" t="s">
        <v>72</v>
      </c>
      <c r="C62" s="1" t="s">
        <v>206</v>
      </c>
      <c r="D62" s="1" t="s">
        <v>402</v>
      </c>
      <c r="E62" s="1" t="s">
        <v>403</v>
      </c>
      <c r="F62" s="1">
        <v>2252</v>
      </c>
      <c r="G62" s="1" t="s">
        <v>450</v>
      </c>
      <c r="H62" s="1" t="s">
        <v>462</v>
      </c>
      <c r="I62" s="1" t="s">
        <v>464</v>
      </c>
      <c r="J62" s="1">
        <v>180100</v>
      </c>
      <c r="K62" s="1">
        <v>180100</v>
      </c>
      <c r="L62" s="1" t="s">
        <v>51</v>
      </c>
      <c r="M62" s="1">
        <v>140100</v>
      </c>
      <c r="N62" s="1">
        <v>0</v>
      </c>
      <c r="O62" s="1">
        <v>0</v>
      </c>
      <c r="P62" s="1">
        <v>40000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</row>
    <row r="63" spans="1:22" x14ac:dyDescent="0.2">
      <c r="A63" s="1" t="s">
        <v>76</v>
      </c>
      <c r="B63" s="1" t="s">
        <v>72</v>
      </c>
      <c r="C63" s="1" t="s">
        <v>206</v>
      </c>
      <c r="D63" s="1" t="s">
        <v>405</v>
      </c>
      <c r="E63" s="1" t="s">
        <v>406</v>
      </c>
      <c r="F63" s="1">
        <v>2253</v>
      </c>
      <c r="G63" s="1" t="s">
        <v>450</v>
      </c>
      <c r="H63" s="1" t="s">
        <v>462</v>
      </c>
      <c r="I63" s="1" t="s">
        <v>456</v>
      </c>
      <c r="J63" s="1">
        <v>269400</v>
      </c>
      <c r="K63" s="1">
        <v>269400</v>
      </c>
      <c r="L63" s="1" t="s">
        <v>51</v>
      </c>
      <c r="M63" s="1">
        <v>166500</v>
      </c>
      <c r="N63" s="1">
        <v>0</v>
      </c>
      <c r="O63" s="1">
        <v>0</v>
      </c>
      <c r="P63" s="1">
        <v>40000</v>
      </c>
      <c r="Q63" s="1">
        <v>0</v>
      </c>
      <c r="R63" s="1">
        <v>62900</v>
      </c>
      <c r="S63" s="1">
        <v>0</v>
      </c>
      <c r="T63" s="1">
        <v>0</v>
      </c>
      <c r="U63" s="1">
        <v>0</v>
      </c>
      <c r="V63" s="1">
        <v>0</v>
      </c>
    </row>
    <row r="64" spans="1:22" x14ac:dyDescent="0.2">
      <c r="A64" s="1" t="s">
        <v>76</v>
      </c>
      <c r="B64" s="1" t="s">
        <v>72</v>
      </c>
      <c r="C64" s="1" t="s">
        <v>206</v>
      </c>
      <c r="D64" s="1" t="s">
        <v>260</v>
      </c>
      <c r="E64" s="1" t="s">
        <v>410</v>
      </c>
      <c r="F64" s="1">
        <v>2255</v>
      </c>
      <c r="G64" s="1" t="s">
        <v>450</v>
      </c>
      <c r="H64" s="1" t="s">
        <v>462</v>
      </c>
      <c r="I64" s="1" t="s">
        <v>456</v>
      </c>
      <c r="J64" s="1">
        <v>206500</v>
      </c>
      <c r="K64" s="1">
        <v>206500</v>
      </c>
      <c r="L64" s="1" t="s">
        <v>51</v>
      </c>
      <c r="M64" s="1">
        <v>166500</v>
      </c>
      <c r="N64" s="1">
        <v>0</v>
      </c>
      <c r="O64" s="1">
        <v>0</v>
      </c>
      <c r="P64" s="1">
        <v>40000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</row>
    <row r="65" spans="1:22" x14ac:dyDescent="0.2">
      <c r="A65" s="1" t="s">
        <v>76</v>
      </c>
      <c r="B65" s="1" t="s">
        <v>72</v>
      </c>
      <c r="C65" s="1" t="s">
        <v>206</v>
      </c>
      <c r="D65" s="1" t="s">
        <v>263</v>
      </c>
      <c r="E65" s="1" t="s">
        <v>412</v>
      </c>
      <c r="F65" s="1">
        <v>2256</v>
      </c>
      <c r="G65" s="1" t="s">
        <v>450</v>
      </c>
      <c r="H65" s="1" t="s">
        <v>462</v>
      </c>
      <c r="I65" s="1" t="s">
        <v>470</v>
      </c>
      <c r="J65" s="1">
        <v>250000</v>
      </c>
      <c r="K65" s="1">
        <v>250000</v>
      </c>
      <c r="L65" s="1" t="s">
        <v>51</v>
      </c>
      <c r="M65" s="1">
        <v>210000</v>
      </c>
      <c r="N65" s="1">
        <v>0</v>
      </c>
      <c r="O65" s="1">
        <v>0</v>
      </c>
      <c r="P65" s="1">
        <v>40000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</row>
    <row r="66" spans="1:22" x14ac:dyDescent="0.2">
      <c r="A66" s="1" t="s">
        <v>76</v>
      </c>
      <c r="B66" s="1" t="s">
        <v>72</v>
      </c>
      <c r="C66" s="1" t="s">
        <v>206</v>
      </c>
      <c r="D66" s="1" t="s">
        <v>266</v>
      </c>
      <c r="E66" s="1" t="s">
        <v>414</v>
      </c>
      <c r="F66" s="1">
        <v>2257</v>
      </c>
      <c r="G66" s="1" t="s">
        <v>450</v>
      </c>
      <c r="H66" s="1" t="s">
        <v>462</v>
      </c>
      <c r="I66" s="1" t="s">
        <v>465</v>
      </c>
      <c r="J66" s="1">
        <v>225600</v>
      </c>
      <c r="K66" s="1">
        <v>225600</v>
      </c>
      <c r="L66" s="1" t="s">
        <v>51</v>
      </c>
      <c r="M66" s="1">
        <v>149960</v>
      </c>
      <c r="N66" s="1">
        <v>1940</v>
      </c>
      <c r="O66" s="1">
        <v>33700</v>
      </c>
      <c r="P66" s="1">
        <v>40000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</row>
    <row r="67" spans="1:22" x14ac:dyDescent="0.2">
      <c r="A67" s="1" t="s">
        <v>76</v>
      </c>
      <c r="B67" s="1" t="s">
        <v>72</v>
      </c>
      <c r="C67" s="1" t="s">
        <v>206</v>
      </c>
      <c r="D67" s="1" t="s">
        <v>422</v>
      </c>
      <c r="E67" s="1" t="s">
        <v>423</v>
      </c>
      <c r="F67" s="1">
        <v>2260</v>
      </c>
      <c r="G67" s="1" t="s">
        <v>450</v>
      </c>
      <c r="H67" s="1" t="s">
        <v>462</v>
      </c>
      <c r="I67" s="1" t="s">
        <v>465</v>
      </c>
      <c r="J67" s="1">
        <v>180100</v>
      </c>
      <c r="K67" s="1">
        <v>180100</v>
      </c>
      <c r="L67" s="1" t="s">
        <v>51</v>
      </c>
      <c r="M67" s="1">
        <v>140100</v>
      </c>
      <c r="N67" s="1">
        <v>0</v>
      </c>
      <c r="O67" s="1">
        <v>0</v>
      </c>
      <c r="P67" s="1">
        <v>40000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</row>
    <row r="68" spans="1:22" x14ac:dyDescent="0.2">
      <c r="A68" s="1" t="s">
        <v>76</v>
      </c>
      <c r="B68" s="1" t="s">
        <v>72</v>
      </c>
      <c r="C68" s="1" t="s">
        <v>206</v>
      </c>
      <c r="D68" s="1" t="s">
        <v>425</v>
      </c>
      <c r="E68" s="1" t="s">
        <v>426</v>
      </c>
      <c r="F68" s="1">
        <v>2261</v>
      </c>
      <c r="G68" s="1" t="s">
        <v>450</v>
      </c>
      <c r="H68" s="1" t="s">
        <v>462</v>
      </c>
      <c r="I68" s="1" t="s">
        <v>465</v>
      </c>
      <c r="J68" s="1">
        <v>240200</v>
      </c>
      <c r="K68" s="1">
        <v>240200</v>
      </c>
      <c r="L68" s="1" t="s">
        <v>51</v>
      </c>
      <c r="M68" s="1">
        <v>166500</v>
      </c>
      <c r="N68" s="1">
        <v>0</v>
      </c>
      <c r="O68" s="1">
        <v>33700</v>
      </c>
      <c r="P68" s="1">
        <v>40000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</row>
    <row r="69" spans="1:22" x14ac:dyDescent="0.2">
      <c r="A69" s="1" t="s">
        <v>76</v>
      </c>
      <c r="B69" s="1" t="s">
        <v>72</v>
      </c>
      <c r="C69" s="1" t="s">
        <v>203</v>
      </c>
      <c r="D69" s="1" t="s">
        <v>235</v>
      </c>
      <c r="E69" s="1" t="s">
        <v>430</v>
      </c>
      <c r="F69" s="1">
        <v>2263</v>
      </c>
      <c r="G69" s="1" t="s">
        <v>450</v>
      </c>
      <c r="H69" s="1" t="s">
        <v>462</v>
      </c>
      <c r="I69" s="1" t="s">
        <v>465</v>
      </c>
      <c r="J69" s="1">
        <v>100000</v>
      </c>
      <c r="K69" s="1">
        <v>100000</v>
      </c>
      <c r="L69" s="1" t="s">
        <v>51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100000</v>
      </c>
      <c r="U69" s="1">
        <v>0</v>
      </c>
      <c r="V69" s="1">
        <v>0</v>
      </c>
    </row>
    <row r="81" spans="1:22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97" spans="1:22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1:22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5" spans="1:22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</sheetData>
  <phoneticPr fontId="0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Y282"/>
  <sheetViews>
    <sheetView view="pageBreakPreview" zoomScaleNormal="74" zoomScaleSheetLayoutView="100" workbookViewId="0">
      <selection sqref="A1:XFD1048576"/>
    </sheetView>
  </sheetViews>
  <sheetFormatPr baseColWidth="10" defaultRowHeight="12.75" x14ac:dyDescent="0.2"/>
  <cols>
    <col min="1" max="1" width="6.85546875" style="23" bestFit="1" customWidth="1"/>
    <col min="2" max="2" width="7" style="24" bestFit="1" customWidth="1"/>
    <col min="3" max="3" width="9.140625" style="23" customWidth="1"/>
    <col min="4" max="4" width="16" style="20" customWidth="1"/>
    <col min="5" max="5" width="9.140625" style="23" hidden="1" customWidth="1"/>
    <col min="6" max="9" width="13.28515625" style="12" customWidth="1"/>
    <col min="10" max="10" width="11.5703125" style="12" hidden="1" customWidth="1"/>
    <col min="11" max="13" width="13.28515625" style="12" customWidth="1"/>
    <col min="14" max="14" width="13.28515625" style="12" bestFit="1" customWidth="1"/>
    <col min="15" max="16384" width="11.42578125" style="14"/>
  </cols>
  <sheetData>
    <row r="1" spans="1:14" s="5" customFormat="1" ht="15.75" x14ac:dyDescent="0.25">
      <c r="A1" s="27" t="str">
        <f>CONCATENATE("Listado de Pagos del mes de ",[1]Proyectos!$E$4," de ",[1]Proyectos!$H$4)</f>
        <v>Listado de Pagos del mes de Julio de 2017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</row>
    <row r="2" spans="1:14" s="5" customFormat="1" ht="15" x14ac:dyDescent="0.2">
      <c r="A2" s="29" t="str">
        <f>'Base de Datos Maestro'!H2</f>
        <v>URBANIZACION ALBORADA 1-4 PH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</row>
    <row r="3" spans="1:14" s="6" customFormat="1" x14ac:dyDescent="0.2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</row>
    <row r="4" spans="1:14" s="8" customFormat="1" ht="12.95" customHeight="1" x14ac:dyDescent="0.25">
      <c r="A4" s="7" t="s">
        <v>54</v>
      </c>
      <c r="B4" s="7" t="s">
        <v>55</v>
      </c>
      <c r="C4" s="7" t="s">
        <v>56</v>
      </c>
      <c r="D4" s="8" t="s">
        <v>57</v>
      </c>
      <c r="E4" s="7"/>
      <c r="F4" s="26" t="s">
        <v>58</v>
      </c>
      <c r="G4" s="26" t="s">
        <v>59</v>
      </c>
      <c r="H4" s="26" t="s">
        <v>73</v>
      </c>
      <c r="I4" s="26" t="s">
        <v>60</v>
      </c>
      <c r="J4" s="26" t="s">
        <v>61</v>
      </c>
      <c r="K4" s="26" t="s">
        <v>74</v>
      </c>
      <c r="L4" s="26" t="s">
        <v>75</v>
      </c>
      <c r="M4" s="26" t="s">
        <v>62</v>
      </c>
      <c r="N4" s="9" t="s">
        <v>63</v>
      </c>
    </row>
    <row r="5" spans="1:14" ht="12.95" customHeight="1" x14ac:dyDescent="0.2">
      <c r="A5" s="10" t="str">
        <f>'Base de Datos Pagos-Notas'!C2</f>
        <v>1</v>
      </c>
      <c r="B5" s="10" t="str">
        <f>'Base de Datos Pagos-Notas'!D2</f>
        <v>101</v>
      </c>
      <c r="C5" s="11">
        <f>'Base de Datos Pagos-Notas'!F2</f>
        <v>2172</v>
      </c>
      <c r="D5" s="10" t="str">
        <f t="shared" ref="D5:D68" si="0">IF(E5="1","Pago","Nota Crédito")</f>
        <v>Pago</v>
      </c>
      <c r="E5" s="11" t="str">
        <f>'Base de Datos Pagos-Notas'!L2</f>
        <v>1</v>
      </c>
      <c r="F5" s="12">
        <f>'Base de Datos Pagos-Notas'!M2</f>
        <v>176600</v>
      </c>
      <c r="G5" s="12">
        <f>'Base de Datos Pagos-Notas'!N2</f>
        <v>0</v>
      </c>
      <c r="H5" s="12">
        <f>'Base de Datos Pagos-Notas'!O2</f>
        <v>0</v>
      </c>
      <c r="I5" s="12">
        <f>'Base de Datos Pagos-Notas'!P2</f>
        <v>40000</v>
      </c>
      <c r="J5" s="12">
        <f>'Base de Datos Pagos-Notas'!Q2</f>
        <v>0</v>
      </c>
      <c r="K5" s="12">
        <f>'Base de Datos Pagos-Notas'!R2</f>
        <v>0</v>
      </c>
      <c r="L5" s="12">
        <f>'Base de Datos Pagos-Notas'!S2</f>
        <v>0</v>
      </c>
      <c r="M5" s="12">
        <f>'Base de Datos Pagos-Notas'!T2</f>
        <v>0</v>
      </c>
      <c r="N5" s="13">
        <f t="shared" ref="N5:N68" si="1">SUM(F5:M5)</f>
        <v>216600</v>
      </c>
    </row>
    <row r="6" spans="1:14" ht="12.95" customHeight="1" x14ac:dyDescent="0.2">
      <c r="A6" s="15" t="str">
        <f>'Base de Datos Pagos-Notas'!C3</f>
        <v>1</v>
      </c>
      <c r="B6" s="15" t="str">
        <f>'Base de Datos Pagos-Notas'!D3</f>
        <v>103</v>
      </c>
      <c r="C6" s="11">
        <f>'Base de Datos Pagos-Notas'!F3</f>
        <v>2174</v>
      </c>
      <c r="D6" s="10" t="str">
        <f t="shared" si="0"/>
        <v>Pago</v>
      </c>
      <c r="E6" s="11" t="str">
        <f>'Base de Datos Pagos-Notas'!L3</f>
        <v>1</v>
      </c>
      <c r="F6" s="12">
        <f>'Base de Datos Pagos-Notas'!M3</f>
        <v>140100</v>
      </c>
      <c r="G6" s="12">
        <f>'Base de Datos Pagos-Notas'!N3</f>
        <v>0</v>
      </c>
      <c r="H6" s="12">
        <f>'Base de Datos Pagos-Notas'!O3</f>
        <v>33700</v>
      </c>
      <c r="I6" s="12">
        <f>'Base de Datos Pagos-Notas'!P3</f>
        <v>40000</v>
      </c>
      <c r="J6" s="12">
        <f>'Base de Datos Pagos-Notas'!Q3</f>
        <v>0</v>
      </c>
      <c r="K6" s="12">
        <f>'Base de Datos Pagos-Notas'!R3</f>
        <v>0</v>
      </c>
      <c r="L6" s="12">
        <f>'Base de Datos Pagos-Notas'!S3</f>
        <v>0</v>
      </c>
      <c r="M6" s="12">
        <f>'Base de Datos Pagos-Notas'!T3</f>
        <v>0</v>
      </c>
      <c r="N6" s="13">
        <f t="shared" si="1"/>
        <v>213800</v>
      </c>
    </row>
    <row r="7" spans="1:14" ht="12.95" customHeight="1" x14ac:dyDescent="0.2">
      <c r="A7" s="10" t="str">
        <f>'Base de Datos Pagos-Notas'!C4</f>
        <v>1</v>
      </c>
      <c r="B7" s="10" t="str">
        <f>'Base de Datos Pagos-Notas'!D4</f>
        <v>104</v>
      </c>
      <c r="C7" s="11">
        <f>'Base de Datos Pagos-Notas'!F4</f>
        <v>2175</v>
      </c>
      <c r="D7" s="10" t="str">
        <f t="shared" si="0"/>
        <v>Pago</v>
      </c>
      <c r="E7" s="11" t="str">
        <f>'Base de Datos Pagos-Notas'!L4</f>
        <v>1</v>
      </c>
      <c r="F7" s="12">
        <f>'Base de Datos Pagos-Notas'!M4</f>
        <v>166500</v>
      </c>
      <c r="G7" s="12">
        <f>'Base de Datos Pagos-Notas'!N4</f>
        <v>0</v>
      </c>
      <c r="H7" s="12">
        <f>'Base de Datos Pagos-Notas'!O4</f>
        <v>0</v>
      </c>
      <c r="I7" s="12">
        <f>'Base de Datos Pagos-Notas'!P4</f>
        <v>40000</v>
      </c>
      <c r="J7" s="12">
        <f>'Base de Datos Pagos-Notas'!Q4</f>
        <v>0</v>
      </c>
      <c r="K7" s="12">
        <f>'Base de Datos Pagos-Notas'!R4</f>
        <v>0</v>
      </c>
      <c r="L7" s="12">
        <f>'Base de Datos Pagos-Notas'!S4</f>
        <v>0</v>
      </c>
      <c r="M7" s="12">
        <f>'Base de Datos Pagos-Notas'!T4</f>
        <v>0</v>
      </c>
      <c r="N7" s="13">
        <f t="shared" si="1"/>
        <v>206500</v>
      </c>
    </row>
    <row r="8" spans="1:14" ht="12.95" customHeight="1" x14ac:dyDescent="0.2">
      <c r="A8" s="10" t="str">
        <f>'Base de Datos Pagos-Notas'!C5</f>
        <v>1</v>
      </c>
      <c r="B8" s="10" t="str">
        <f>'Base de Datos Pagos-Notas'!D5</f>
        <v>201</v>
      </c>
      <c r="C8" s="11">
        <f>'Base de Datos Pagos-Notas'!F5</f>
        <v>2176</v>
      </c>
      <c r="D8" s="10" t="str">
        <f t="shared" si="0"/>
        <v>Pago</v>
      </c>
      <c r="E8" s="11" t="str">
        <f>'Base de Datos Pagos-Notas'!L5</f>
        <v>1</v>
      </c>
      <c r="F8" s="12">
        <f>'Base de Datos Pagos-Notas'!M5</f>
        <v>354400</v>
      </c>
      <c r="G8" s="12">
        <f>'Base de Datos Pagos-Notas'!N5</f>
        <v>4300</v>
      </c>
      <c r="H8" s="12">
        <f>'Base de Datos Pagos-Notas'!O5</f>
        <v>0</v>
      </c>
      <c r="I8" s="12">
        <f>'Base de Datos Pagos-Notas'!P5</f>
        <v>80000</v>
      </c>
      <c r="J8" s="12">
        <f>'Base de Datos Pagos-Notas'!Q5</f>
        <v>0</v>
      </c>
      <c r="K8" s="12">
        <f>'Base de Datos Pagos-Notas'!R5</f>
        <v>0</v>
      </c>
      <c r="L8" s="12">
        <f>'Base de Datos Pagos-Notas'!S5</f>
        <v>0</v>
      </c>
      <c r="M8" s="12">
        <f>'Base de Datos Pagos-Notas'!T5</f>
        <v>0</v>
      </c>
      <c r="N8" s="13">
        <f t="shared" si="1"/>
        <v>438700</v>
      </c>
    </row>
    <row r="9" spans="1:14" ht="12.95" customHeight="1" x14ac:dyDescent="0.2">
      <c r="A9" s="10" t="str">
        <f>'Base de Datos Pagos-Notas'!C6</f>
        <v>1</v>
      </c>
      <c r="B9" s="10" t="str">
        <f>'Base de Datos Pagos-Notas'!D6</f>
        <v>204</v>
      </c>
      <c r="C9" s="11">
        <f>'Base de Datos Pagos-Notas'!F6</f>
        <v>2179</v>
      </c>
      <c r="D9" s="10" t="str">
        <f t="shared" si="0"/>
        <v>Pago</v>
      </c>
      <c r="E9" s="11" t="str">
        <f>'Base de Datos Pagos-Notas'!L6</f>
        <v>1</v>
      </c>
      <c r="F9" s="12">
        <f>'Base de Datos Pagos-Notas'!M6</f>
        <v>166500</v>
      </c>
      <c r="G9" s="12">
        <f>'Base de Datos Pagos-Notas'!N6</f>
        <v>0</v>
      </c>
      <c r="H9" s="12">
        <f>'Base de Datos Pagos-Notas'!O6</f>
        <v>0</v>
      </c>
      <c r="I9" s="12">
        <f>'Base de Datos Pagos-Notas'!P6</f>
        <v>40000</v>
      </c>
      <c r="J9" s="12">
        <f>'Base de Datos Pagos-Notas'!Q6</f>
        <v>0</v>
      </c>
      <c r="K9" s="12">
        <f>'Base de Datos Pagos-Notas'!R6</f>
        <v>0</v>
      </c>
      <c r="L9" s="12">
        <f>'Base de Datos Pagos-Notas'!S6</f>
        <v>0</v>
      </c>
      <c r="M9" s="12">
        <f>'Base de Datos Pagos-Notas'!T6</f>
        <v>0</v>
      </c>
      <c r="N9" s="13">
        <f t="shared" si="1"/>
        <v>206500</v>
      </c>
    </row>
    <row r="10" spans="1:14" ht="12.95" customHeight="1" x14ac:dyDescent="0.2">
      <c r="A10" s="10" t="str">
        <f>'Base de Datos Pagos-Notas'!C7</f>
        <v>1</v>
      </c>
      <c r="B10" s="10" t="str">
        <f>'Base de Datos Pagos-Notas'!D7</f>
        <v>301</v>
      </c>
      <c r="C10" s="11">
        <f>'Base de Datos Pagos-Notas'!F7</f>
        <v>2180</v>
      </c>
      <c r="D10" s="10" t="str">
        <f t="shared" si="0"/>
        <v>Pago</v>
      </c>
      <c r="E10" s="11" t="str">
        <f>'Base de Datos Pagos-Notas'!L7</f>
        <v>1</v>
      </c>
      <c r="F10" s="12">
        <f>'Base de Datos Pagos-Notas'!M7</f>
        <v>176000</v>
      </c>
      <c r="G10" s="12">
        <f>'Base de Datos Pagos-Notas'!N7</f>
        <v>0</v>
      </c>
      <c r="H10" s="12">
        <f>'Base de Datos Pagos-Notas'!O7</f>
        <v>0</v>
      </c>
      <c r="I10" s="12">
        <f>'Base de Datos Pagos-Notas'!P7</f>
        <v>40000</v>
      </c>
      <c r="J10" s="12">
        <f>'Base de Datos Pagos-Notas'!Q7</f>
        <v>0</v>
      </c>
      <c r="K10" s="12">
        <f>'Base de Datos Pagos-Notas'!R7</f>
        <v>0</v>
      </c>
      <c r="L10" s="12">
        <f>'Base de Datos Pagos-Notas'!S7</f>
        <v>0</v>
      </c>
      <c r="M10" s="12">
        <f>'Base de Datos Pagos-Notas'!T7</f>
        <v>0</v>
      </c>
      <c r="N10" s="13">
        <f t="shared" si="1"/>
        <v>216000</v>
      </c>
    </row>
    <row r="11" spans="1:14" ht="12.95" customHeight="1" x14ac:dyDescent="0.2">
      <c r="A11" s="10" t="str">
        <f>'Base de Datos Pagos-Notas'!C8</f>
        <v>1</v>
      </c>
      <c r="B11" s="10" t="str">
        <f>'Base de Datos Pagos-Notas'!D8</f>
        <v>302</v>
      </c>
      <c r="C11" s="11">
        <f>'Base de Datos Pagos-Notas'!F8</f>
        <v>2181</v>
      </c>
      <c r="D11" s="10" t="str">
        <f t="shared" si="0"/>
        <v>Pago</v>
      </c>
      <c r="E11" s="11" t="str">
        <f>'Base de Datos Pagos-Notas'!L8</f>
        <v>1</v>
      </c>
      <c r="F11" s="12">
        <f>'Base de Datos Pagos-Notas'!M8</f>
        <v>192300</v>
      </c>
      <c r="G11" s="12">
        <f>'Base de Datos Pagos-Notas'!N8</f>
        <v>0</v>
      </c>
      <c r="H11" s="12">
        <f>'Base de Datos Pagos-Notas'!O8</f>
        <v>33700</v>
      </c>
      <c r="I11" s="12">
        <f>'Base de Datos Pagos-Notas'!P8</f>
        <v>40000</v>
      </c>
      <c r="J11" s="12">
        <f>'Base de Datos Pagos-Notas'!Q8</f>
        <v>0</v>
      </c>
      <c r="K11" s="12">
        <f>'Base de Datos Pagos-Notas'!R8</f>
        <v>0</v>
      </c>
      <c r="L11" s="12">
        <f>'Base de Datos Pagos-Notas'!S8</f>
        <v>0</v>
      </c>
      <c r="M11" s="12">
        <f>'Base de Datos Pagos-Notas'!T8</f>
        <v>0</v>
      </c>
      <c r="N11" s="13">
        <f t="shared" si="1"/>
        <v>266000</v>
      </c>
    </row>
    <row r="12" spans="1:14" ht="12.95" customHeight="1" x14ac:dyDescent="0.2">
      <c r="A12" s="10" t="str">
        <f>'Base de Datos Pagos-Notas'!C9</f>
        <v>1</v>
      </c>
      <c r="B12" s="10" t="str">
        <f>'Base de Datos Pagos-Notas'!D9</f>
        <v>303</v>
      </c>
      <c r="C12" s="11">
        <f>'Base de Datos Pagos-Notas'!F9</f>
        <v>2182</v>
      </c>
      <c r="D12" s="10" t="str">
        <f t="shared" si="0"/>
        <v>Pago</v>
      </c>
      <c r="E12" s="11" t="str">
        <f>'Base de Datos Pagos-Notas'!L9</f>
        <v>1</v>
      </c>
      <c r="F12" s="12">
        <f>'Base de Datos Pagos-Notas'!M9</f>
        <v>140100</v>
      </c>
      <c r="G12" s="12">
        <f>'Base de Datos Pagos-Notas'!N9</f>
        <v>0</v>
      </c>
      <c r="H12" s="12">
        <f>'Base de Datos Pagos-Notas'!O9</f>
        <v>0</v>
      </c>
      <c r="I12" s="12">
        <f>'Base de Datos Pagos-Notas'!P9</f>
        <v>40000</v>
      </c>
      <c r="J12" s="12">
        <f>'Base de Datos Pagos-Notas'!Q9</f>
        <v>0</v>
      </c>
      <c r="K12" s="12">
        <f>'Base de Datos Pagos-Notas'!R9</f>
        <v>0</v>
      </c>
      <c r="L12" s="12">
        <f>'Base de Datos Pagos-Notas'!S9</f>
        <v>0</v>
      </c>
      <c r="M12" s="12">
        <f>'Base de Datos Pagos-Notas'!T9</f>
        <v>0</v>
      </c>
      <c r="N12" s="13">
        <f t="shared" si="1"/>
        <v>180100</v>
      </c>
    </row>
    <row r="13" spans="1:14" ht="12.95" customHeight="1" x14ac:dyDescent="0.2">
      <c r="A13" s="10" t="str">
        <f>'Base de Datos Pagos-Notas'!C10</f>
        <v>1</v>
      </c>
      <c r="B13" s="10" t="str">
        <f>'Base de Datos Pagos-Notas'!D10</f>
        <v>401</v>
      </c>
      <c r="C13" s="11">
        <f>'Base de Datos Pagos-Notas'!F10</f>
        <v>2184</v>
      </c>
      <c r="D13" s="10" t="str">
        <f t="shared" si="0"/>
        <v>Pago</v>
      </c>
      <c r="E13" s="11" t="str">
        <f>'Base de Datos Pagos-Notas'!L10</f>
        <v>1</v>
      </c>
      <c r="F13" s="12">
        <f>'Base de Datos Pagos-Notas'!M10</f>
        <v>176600</v>
      </c>
      <c r="G13" s="12">
        <f>'Base de Datos Pagos-Notas'!N10</f>
        <v>0</v>
      </c>
      <c r="H13" s="12">
        <f>'Base de Datos Pagos-Notas'!O10</f>
        <v>0</v>
      </c>
      <c r="I13" s="12">
        <f>'Base de Datos Pagos-Notas'!P10</f>
        <v>40000</v>
      </c>
      <c r="J13" s="12">
        <f>'Base de Datos Pagos-Notas'!Q10</f>
        <v>0</v>
      </c>
      <c r="K13" s="12">
        <f>'Base de Datos Pagos-Notas'!R10</f>
        <v>0</v>
      </c>
      <c r="L13" s="12">
        <f>'Base de Datos Pagos-Notas'!S10</f>
        <v>0</v>
      </c>
      <c r="M13" s="12">
        <f>'Base de Datos Pagos-Notas'!T10</f>
        <v>0</v>
      </c>
      <c r="N13" s="13">
        <f t="shared" si="1"/>
        <v>216600</v>
      </c>
    </row>
    <row r="14" spans="1:14" ht="12.95" customHeight="1" x14ac:dyDescent="0.2">
      <c r="A14" s="10" t="str">
        <f>'Base de Datos Pagos-Notas'!C11</f>
        <v>1</v>
      </c>
      <c r="B14" s="10" t="str">
        <f>'Base de Datos Pagos-Notas'!D11</f>
        <v>403</v>
      </c>
      <c r="C14" s="11">
        <f>'Base de Datos Pagos-Notas'!F11</f>
        <v>2186</v>
      </c>
      <c r="D14" s="10" t="str">
        <f t="shared" si="0"/>
        <v>Pago</v>
      </c>
      <c r="E14" s="11" t="str">
        <f>'Base de Datos Pagos-Notas'!L11</f>
        <v>1</v>
      </c>
      <c r="F14" s="12">
        <f>'Base de Datos Pagos-Notas'!M11</f>
        <v>243650</v>
      </c>
      <c r="G14" s="12">
        <f>'Base de Datos Pagos-Notas'!N11</f>
        <v>16350</v>
      </c>
      <c r="H14" s="12">
        <f>'Base de Datos Pagos-Notas'!O11</f>
        <v>0</v>
      </c>
      <c r="I14" s="12">
        <f>'Base de Datos Pagos-Notas'!P11</f>
        <v>40000</v>
      </c>
      <c r="J14" s="12">
        <f>'Base de Datos Pagos-Notas'!Q11</f>
        <v>0</v>
      </c>
      <c r="K14" s="12">
        <f>'Base de Datos Pagos-Notas'!R11</f>
        <v>0</v>
      </c>
      <c r="L14" s="12">
        <f>'Base de Datos Pagos-Notas'!S11</f>
        <v>0</v>
      </c>
      <c r="M14" s="12">
        <f>'Base de Datos Pagos-Notas'!T11</f>
        <v>0</v>
      </c>
      <c r="N14" s="13">
        <f t="shared" si="1"/>
        <v>300000</v>
      </c>
    </row>
    <row r="15" spans="1:14" ht="12.95" customHeight="1" x14ac:dyDescent="0.2">
      <c r="A15" s="10" t="str">
        <f>'Base de Datos Pagos-Notas'!C12</f>
        <v>1</v>
      </c>
      <c r="B15" s="10" t="str">
        <f>'Base de Datos Pagos-Notas'!D12</f>
        <v>404</v>
      </c>
      <c r="C15" s="11">
        <f>'Base de Datos Pagos-Notas'!F12</f>
        <v>2187</v>
      </c>
      <c r="D15" s="10" t="str">
        <f t="shared" si="0"/>
        <v>Pago</v>
      </c>
      <c r="E15" s="11" t="str">
        <f>'Base de Datos Pagos-Notas'!L12</f>
        <v>1</v>
      </c>
      <c r="F15" s="12">
        <f>'Base de Datos Pagos-Notas'!M12</f>
        <v>1029990</v>
      </c>
      <c r="G15" s="12">
        <f>'Base de Datos Pagos-Notas'!N12</f>
        <v>50010</v>
      </c>
      <c r="H15" s="12">
        <f>'Base de Datos Pagos-Notas'!O12</f>
        <v>0</v>
      </c>
      <c r="I15" s="12">
        <f>'Base de Datos Pagos-Notas'!P12</f>
        <v>120000</v>
      </c>
      <c r="J15" s="12">
        <f>'Base de Datos Pagos-Notas'!Q12</f>
        <v>0</v>
      </c>
      <c r="K15" s="12">
        <f>'Base de Datos Pagos-Notas'!R12</f>
        <v>0</v>
      </c>
      <c r="L15" s="12">
        <f>'Base de Datos Pagos-Notas'!S12</f>
        <v>0</v>
      </c>
      <c r="M15" s="12">
        <f>'Base de Datos Pagos-Notas'!T12</f>
        <v>0</v>
      </c>
      <c r="N15" s="13">
        <f t="shared" si="1"/>
        <v>1200000</v>
      </c>
    </row>
    <row r="16" spans="1:14" ht="12.95" customHeight="1" x14ac:dyDescent="0.2">
      <c r="A16" s="10" t="str">
        <f>'Base de Datos Pagos-Notas'!C13</f>
        <v>1</v>
      </c>
      <c r="B16" s="10" t="str">
        <f>'Base de Datos Pagos-Notas'!D13</f>
        <v>501</v>
      </c>
      <c r="C16" s="11">
        <f>'Base de Datos Pagos-Notas'!F13</f>
        <v>2188</v>
      </c>
      <c r="D16" s="10" t="str">
        <f t="shared" si="0"/>
        <v>Pago</v>
      </c>
      <c r="E16" s="11" t="str">
        <f>'Base de Datos Pagos-Notas'!L13</f>
        <v>1</v>
      </c>
      <c r="F16" s="12">
        <f>'Base de Datos Pagos-Notas'!M13</f>
        <v>174830</v>
      </c>
      <c r="G16" s="12">
        <f>'Base de Datos Pagos-Notas'!N13</f>
        <v>170</v>
      </c>
      <c r="H16" s="12">
        <f>'Base de Datos Pagos-Notas'!O13</f>
        <v>0</v>
      </c>
      <c r="I16" s="12">
        <f>'Base de Datos Pagos-Notas'!P13</f>
        <v>40000</v>
      </c>
      <c r="J16" s="12">
        <f>'Base de Datos Pagos-Notas'!Q13</f>
        <v>0</v>
      </c>
      <c r="K16" s="12">
        <f>'Base de Datos Pagos-Notas'!R13</f>
        <v>0</v>
      </c>
      <c r="L16" s="12">
        <f>'Base de Datos Pagos-Notas'!S13</f>
        <v>0</v>
      </c>
      <c r="M16" s="12">
        <f>'Base de Datos Pagos-Notas'!T13</f>
        <v>0</v>
      </c>
      <c r="N16" s="13">
        <f t="shared" si="1"/>
        <v>215000</v>
      </c>
    </row>
    <row r="17" spans="1:14" ht="12.95" customHeight="1" x14ac:dyDescent="0.2">
      <c r="A17" s="10" t="str">
        <f>'Base de Datos Pagos-Notas'!C14</f>
        <v>1</v>
      </c>
      <c r="B17" s="10" t="str">
        <f>'Base de Datos Pagos-Notas'!D14</f>
        <v>503</v>
      </c>
      <c r="C17" s="11">
        <f>'Base de Datos Pagos-Notas'!F14</f>
        <v>2190</v>
      </c>
      <c r="D17" s="10" t="str">
        <f t="shared" si="0"/>
        <v>Pago</v>
      </c>
      <c r="E17" s="11" t="str">
        <f>'Base de Datos Pagos-Notas'!L14</f>
        <v>1</v>
      </c>
      <c r="F17" s="12">
        <f>'Base de Datos Pagos-Notas'!M14</f>
        <v>141000</v>
      </c>
      <c r="G17" s="12">
        <f>'Base de Datos Pagos-Notas'!N14</f>
        <v>0</v>
      </c>
      <c r="H17" s="12">
        <f>'Base de Datos Pagos-Notas'!O14</f>
        <v>0</v>
      </c>
      <c r="I17" s="12">
        <f>'Base de Datos Pagos-Notas'!P14</f>
        <v>40000</v>
      </c>
      <c r="J17" s="12">
        <f>'Base de Datos Pagos-Notas'!Q14</f>
        <v>0</v>
      </c>
      <c r="K17" s="12">
        <f>'Base de Datos Pagos-Notas'!R14</f>
        <v>0</v>
      </c>
      <c r="L17" s="12">
        <f>'Base de Datos Pagos-Notas'!S14</f>
        <v>0</v>
      </c>
      <c r="M17" s="12">
        <f>'Base de Datos Pagos-Notas'!T14</f>
        <v>0</v>
      </c>
      <c r="N17" s="13">
        <f t="shared" si="1"/>
        <v>181000</v>
      </c>
    </row>
    <row r="18" spans="1:14" ht="12.95" customHeight="1" x14ac:dyDescent="0.2">
      <c r="A18" s="10" t="str">
        <f>'Base de Datos Pagos-Notas'!C15</f>
        <v>1</v>
      </c>
      <c r="B18" s="10" t="str">
        <f>'Base de Datos Pagos-Notas'!D15</f>
        <v>504</v>
      </c>
      <c r="C18" s="11">
        <f>'Base de Datos Pagos-Notas'!F15</f>
        <v>2191</v>
      </c>
      <c r="D18" s="10" t="str">
        <f t="shared" si="0"/>
        <v>Pago</v>
      </c>
      <c r="E18" s="11" t="str">
        <f>'Base de Datos Pagos-Notas'!L15</f>
        <v>1</v>
      </c>
      <c r="F18" s="12">
        <f>'Base de Datos Pagos-Notas'!M15</f>
        <v>87910</v>
      </c>
      <c r="G18" s="12">
        <f>'Base de Datos Pagos-Notas'!N15</f>
        <v>4690</v>
      </c>
      <c r="H18" s="12">
        <f>'Base de Datos Pagos-Notas'!O15</f>
        <v>67400</v>
      </c>
      <c r="I18" s="12">
        <f>'Base de Datos Pagos-Notas'!P15</f>
        <v>80000</v>
      </c>
      <c r="J18" s="12">
        <f>'Base de Datos Pagos-Notas'!Q15</f>
        <v>0</v>
      </c>
      <c r="K18" s="12">
        <f>'Base de Datos Pagos-Notas'!R15</f>
        <v>0</v>
      </c>
      <c r="L18" s="12">
        <f>'Base de Datos Pagos-Notas'!S15</f>
        <v>0</v>
      </c>
      <c r="M18" s="12">
        <f>'Base de Datos Pagos-Notas'!T15</f>
        <v>0</v>
      </c>
      <c r="N18" s="13">
        <f t="shared" si="1"/>
        <v>240000</v>
      </c>
    </row>
    <row r="19" spans="1:14" ht="12.95" customHeight="1" x14ac:dyDescent="0.2">
      <c r="A19" s="10" t="str">
        <f>'Base de Datos Pagos-Notas'!C16</f>
        <v>2</v>
      </c>
      <c r="B19" s="10" t="str">
        <f>'Base de Datos Pagos-Notas'!D16</f>
        <v>101</v>
      </c>
      <c r="C19" s="11">
        <f>'Base de Datos Pagos-Notas'!F16</f>
        <v>2192</v>
      </c>
      <c r="D19" s="10" t="str">
        <f t="shared" si="0"/>
        <v>Pago</v>
      </c>
      <c r="E19" s="11" t="str">
        <f>'Base de Datos Pagos-Notas'!L16</f>
        <v>1</v>
      </c>
      <c r="F19" s="12">
        <f>'Base de Datos Pagos-Notas'!M16</f>
        <v>176890</v>
      </c>
      <c r="G19" s="12">
        <f>'Base de Datos Pagos-Notas'!N16</f>
        <v>10</v>
      </c>
      <c r="H19" s="12">
        <f>'Base de Datos Pagos-Notas'!O16</f>
        <v>0</v>
      </c>
      <c r="I19" s="12">
        <f>'Base de Datos Pagos-Notas'!P16</f>
        <v>40000</v>
      </c>
      <c r="J19" s="12">
        <f>'Base de Datos Pagos-Notas'!Q16</f>
        <v>0</v>
      </c>
      <c r="K19" s="12">
        <f>'Base de Datos Pagos-Notas'!R16</f>
        <v>62900</v>
      </c>
      <c r="L19" s="12">
        <f>'Base de Datos Pagos-Notas'!S16</f>
        <v>0</v>
      </c>
      <c r="M19" s="12">
        <f>'Base de Datos Pagos-Notas'!T16</f>
        <v>0</v>
      </c>
      <c r="N19" s="13">
        <f t="shared" si="1"/>
        <v>279800</v>
      </c>
    </row>
    <row r="20" spans="1:14" ht="12.95" customHeight="1" x14ac:dyDescent="0.2">
      <c r="A20" s="10" t="str">
        <f>'Base de Datos Pagos-Notas'!C17</f>
        <v>2</v>
      </c>
      <c r="B20" s="10" t="str">
        <f>'Base de Datos Pagos-Notas'!D17</f>
        <v>102</v>
      </c>
      <c r="C20" s="11">
        <f>'Base de Datos Pagos-Notas'!F17</f>
        <v>2193</v>
      </c>
      <c r="D20" s="10" t="str">
        <f t="shared" si="0"/>
        <v>Pago</v>
      </c>
      <c r="E20" s="11" t="str">
        <f>'Base de Datos Pagos-Notas'!L17</f>
        <v>1</v>
      </c>
      <c r="F20" s="12">
        <f>'Base de Datos Pagos-Notas'!M17</f>
        <v>191900</v>
      </c>
      <c r="G20" s="12">
        <f>'Base de Datos Pagos-Notas'!N17</f>
        <v>0</v>
      </c>
      <c r="H20" s="12">
        <f>'Base de Datos Pagos-Notas'!O17</f>
        <v>33700</v>
      </c>
      <c r="I20" s="12">
        <f>'Base de Datos Pagos-Notas'!P17</f>
        <v>40000</v>
      </c>
      <c r="J20" s="12">
        <f>'Base de Datos Pagos-Notas'!Q17</f>
        <v>0</v>
      </c>
      <c r="K20" s="12">
        <f>'Base de Datos Pagos-Notas'!R17</f>
        <v>0</v>
      </c>
      <c r="L20" s="12">
        <f>'Base de Datos Pagos-Notas'!S17</f>
        <v>0</v>
      </c>
      <c r="M20" s="12">
        <f>'Base de Datos Pagos-Notas'!T17</f>
        <v>0</v>
      </c>
      <c r="N20" s="13">
        <f t="shared" si="1"/>
        <v>265600</v>
      </c>
    </row>
    <row r="21" spans="1:14" ht="12.95" customHeight="1" x14ac:dyDescent="0.2">
      <c r="A21" s="10" t="str">
        <f>'Base de Datos Pagos-Notas'!C18</f>
        <v>2</v>
      </c>
      <c r="B21" s="10" t="str">
        <f>'Base de Datos Pagos-Notas'!D18</f>
        <v>201</v>
      </c>
      <c r="C21" s="11">
        <f>'Base de Datos Pagos-Notas'!F18</f>
        <v>2194</v>
      </c>
      <c r="D21" s="10" t="str">
        <f t="shared" si="0"/>
        <v>Pago</v>
      </c>
      <c r="E21" s="11" t="str">
        <f>'Base de Datos Pagos-Notas'!L18</f>
        <v>1</v>
      </c>
      <c r="F21" s="12">
        <f>'Base de Datos Pagos-Notas'!M18</f>
        <v>166640</v>
      </c>
      <c r="G21" s="12">
        <f>'Base de Datos Pagos-Notas'!N18</f>
        <v>460</v>
      </c>
      <c r="H21" s="12">
        <f>'Base de Datos Pagos-Notas'!O18</f>
        <v>0</v>
      </c>
      <c r="I21" s="12">
        <f>'Base de Datos Pagos-Notas'!P18</f>
        <v>40000</v>
      </c>
      <c r="J21" s="12">
        <f>'Base de Datos Pagos-Notas'!Q18</f>
        <v>0</v>
      </c>
      <c r="K21" s="12">
        <f>'Base de Datos Pagos-Notas'!R18</f>
        <v>62900</v>
      </c>
      <c r="L21" s="12">
        <f>'Base de Datos Pagos-Notas'!S18</f>
        <v>0</v>
      </c>
      <c r="M21" s="12">
        <f>'Base de Datos Pagos-Notas'!T18</f>
        <v>0</v>
      </c>
      <c r="N21" s="13">
        <f t="shared" si="1"/>
        <v>270000</v>
      </c>
    </row>
    <row r="22" spans="1:14" ht="12.95" customHeight="1" x14ac:dyDescent="0.2">
      <c r="A22" s="10" t="str">
        <f>'Base de Datos Pagos-Notas'!C19</f>
        <v>2</v>
      </c>
      <c r="B22" s="10" t="str">
        <f>'Base de Datos Pagos-Notas'!D19</f>
        <v>202</v>
      </c>
      <c r="C22" s="11">
        <f>'Base de Datos Pagos-Notas'!F19</f>
        <v>2195</v>
      </c>
      <c r="D22" s="10" t="str">
        <f t="shared" si="0"/>
        <v>Pago</v>
      </c>
      <c r="E22" s="11" t="str">
        <f>'Base de Datos Pagos-Notas'!L19</f>
        <v>1</v>
      </c>
      <c r="F22" s="12">
        <f>'Base de Datos Pagos-Notas'!M19</f>
        <v>191900</v>
      </c>
      <c r="G22" s="12">
        <f>'Base de Datos Pagos-Notas'!N19</f>
        <v>0</v>
      </c>
      <c r="H22" s="12">
        <f>'Base de Datos Pagos-Notas'!O19</f>
        <v>0</v>
      </c>
      <c r="I22" s="12">
        <f>'Base de Datos Pagos-Notas'!P19</f>
        <v>40000</v>
      </c>
      <c r="J22" s="12">
        <f>'Base de Datos Pagos-Notas'!Q19</f>
        <v>0</v>
      </c>
      <c r="K22" s="12">
        <f>'Base de Datos Pagos-Notas'!R19</f>
        <v>0</v>
      </c>
      <c r="L22" s="12">
        <f>'Base de Datos Pagos-Notas'!S19</f>
        <v>0</v>
      </c>
      <c r="M22" s="12">
        <f>'Base de Datos Pagos-Notas'!T19</f>
        <v>0</v>
      </c>
      <c r="N22" s="13">
        <f t="shared" si="1"/>
        <v>231900</v>
      </c>
    </row>
    <row r="23" spans="1:14" ht="12.95" customHeight="1" x14ac:dyDescent="0.2">
      <c r="A23" s="10" t="str">
        <f>'Base de Datos Pagos-Notas'!C20</f>
        <v>2</v>
      </c>
      <c r="B23" s="10" t="str">
        <f>'Base de Datos Pagos-Notas'!D20</f>
        <v>301</v>
      </c>
      <c r="C23" s="11">
        <f>'Base de Datos Pagos-Notas'!F20</f>
        <v>2196</v>
      </c>
      <c r="D23" s="10" t="str">
        <f t="shared" si="0"/>
        <v>Pago</v>
      </c>
      <c r="E23" s="11" t="str">
        <f>'Base de Datos Pagos-Notas'!L20</f>
        <v>1</v>
      </c>
      <c r="F23" s="16">
        <f>'Base de Datos Pagos-Notas'!M20</f>
        <v>176600</v>
      </c>
      <c r="G23" s="16">
        <f>'Base de Datos Pagos-Notas'!N20</f>
        <v>0</v>
      </c>
      <c r="H23" s="16">
        <f>'Base de Datos Pagos-Notas'!O20</f>
        <v>0</v>
      </c>
      <c r="I23" s="16">
        <f>'Base de Datos Pagos-Notas'!P20</f>
        <v>40000</v>
      </c>
      <c r="J23" s="16">
        <f>'Base de Datos Pagos-Notas'!Q20</f>
        <v>0</v>
      </c>
      <c r="K23" s="16">
        <f>'Base de Datos Pagos-Notas'!R20</f>
        <v>62900</v>
      </c>
      <c r="L23" s="16">
        <f>'Base de Datos Pagos-Notas'!S20</f>
        <v>0</v>
      </c>
      <c r="M23" s="16">
        <f>'Base de Datos Pagos-Notas'!T20</f>
        <v>0</v>
      </c>
      <c r="N23" s="13">
        <f t="shared" si="1"/>
        <v>279500</v>
      </c>
    </row>
    <row r="24" spans="1:14" ht="12.95" customHeight="1" x14ac:dyDescent="0.2">
      <c r="A24" s="10" t="str">
        <f>'Base de Datos Pagos-Notas'!C21</f>
        <v>2</v>
      </c>
      <c r="B24" s="10" t="str">
        <f>'Base de Datos Pagos-Notas'!D21</f>
        <v>302</v>
      </c>
      <c r="C24" s="11">
        <f>'Base de Datos Pagos-Notas'!F21</f>
        <v>2197</v>
      </c>
      <c r="D24" s="10" t="str">
        <f t="shared" si="0"/>
        <v>Pago</v>
      </c>
      <c r="E24" s="11" t="str">
        <f>'Base de Datos Pagos-Notas'!L21</f>
        <v>1</v>
      </c>
      <c r="F24" s="12">
        <f>'Base de Datos Pagos-Notas'!M21</f>
        <v>191900</v>
      </c>
      <c r="G24" s="12">
        <f>'Base de Datos Pagos-Notas'!N21</f>
        <v>0</v>
      </c>
      <c r="H24" s="12">
        <f>'Base de Datos Pagos-Notas'!O21</f>
        <v>0</v>
      </c>
      <c r="I24" s="12">
        <f>'Base de Datos Pagos-Notas'!P21</f>
        <v>40000</v>
      </c>
      <c r="J24" s="12">
        <f>'Base de Datos Pagos-Notas'!Q21</f>
        <v>0</v>
      </c>
      <c r="K24" s="12">
        <f>'Base de Datos Pagos-Notas'!R21</f>
        <v>62900</v>
      </c>
      <c r="L24" s="12">
        <f>'Base de Datos Pagos-Notas'!S21</f>
        <v>0</v>
      </c>
      <c r="M24" s="12">
        <f>'Base de Datos Pagos-Notas'!T21</f>
        <v>0</v>
      </c>
      <c r="N24" s="13">
        <f t="shared" si="1"/>
        <v>294800</v>
      </c>
    </row>
    <row r="25" spans="1:14" ht="12.95" customHeight="1" x14ac:dyDescent="0.2">
      <c r="A25" s="10" t="str">
        <f>'Base de Datos Pagos-Notas'!C22</f>
        <v>2</v>
      </c>
      <c r="B25" s="10" t="str">
        <f>'Base de Datos Pagos-Notas'!D22</f>
        <v>401</v>
      </c>
      <c r="C25" s="11">
        <f>'Base de Datos Pagos-Notas'!F22</f>
        <v>2198</v>
      </c>
      <c r="D25" s="10" t="str">
        <f t="shared" si="0"/>
        <v>Pago</v>
      </c>
      <c r="E25" s="11" t="str">
        <f>'Base de Datos Pagos-Notas'!L22</f>
        <v>1</v>
      </c>
      <c r="F25" s="12">
        <f>'Base de Datos Pagos-Notas'!M22</f>
        <v>173750</v>
      </c>
      <c r="G25" s="12">
        <f>'Base de Datos Pagos-Notas'!N22</f>
        <v>26250</v>
      </c>
      <c r="H25" s="12">
        <f>'Base de Datos Pagos-Notas'!O22</f>
        <v>0</v>
      </c>
      <c r="I25" s="12">
        <f>'Base de Datos Pagos-Notas'!P22</f>
        <v>80000</v>
      </c>
      <c r="J25" s="12">
        <f>'Base de Datos Pagos-Notas'!Q22</f>
        <v>0</v>
      </c>
      <c r="K25" s="12">
        <f>'Base de Datos Pagos-Notas'!R22</f>
        <v>0</v>
      </c>
      <c r="L25" s="12">
        <f>'Base de Datos Pagos-Notas'!S22</f>
        <v>0</v>
      </c>
      <c r="M25" s="12">
        <f>'Base de Datos Pagos-Notas'!T22</f>
        <v>0</v>
      </c>
      <c r="N25" s="13">
        <f t="shared" si="1"/>
        <v>280000</v>
      </c>
    </row>
    <row r="26" spans="1:14" ht="12.95" customHeight="1" x14ac:dyDescent="0.2">
      <c r="A26" s="10" t="str">
        <f>'Base de Datos Pagos-Notas'!C23</f>
        <v>2</v>
      </c>
      <c r="B26" s="10" t="str">
        <f>'Base de Datos Pagos-Notas'!D23</f>
        <v>402</v>
      </c>
      <c r="C26" s="11">
        <f>'Base de Datos Pagos-Notas'!F23</f>
        <v>2199</v>
      </c>
      <c r="D26" s="10" t="str">
        <f t="shared" si="0"/>
        <v>Pago</v>
      </c>
      <c r="E26" s="11" t="str">
        <f>'Base de Datos Pagos-Notas'!L23</f>
        <v>1</v>
      </c>
      <c r="F26" s="12">
        <f>'Base de Datos Pagos-Notas'!M23</f>
        <v>110000</v>
      </c>
      <c r="G26" s="12">
        <f>'Base de Datos Pagos-Notas'!N23</f>
        <v>0</v>
      </c>
      <c r="H26" s="12">
        <f>'Base de Datos Pagos-Notas'!O23</f>
        <v>0</v>
      </c>
      <c r="I26" s="12">
        <f>'Base de Datos Pagos-Notas'!P23</f>
        <v>40000</v>
      </c>
      <c r="J26" s="12">
        <f>'Base de Datos Pagos-Notas'!Q23</f>
        <v>0</v>
      </c>
      <c r="K26" s="12">
        <f>'Base de Datos Pagos-Notas'!R23</f>
        <v>0</v>
      </c>
      <c r="L26" s="12">
        <f>'Base de Datos Pagos-Notas'!S23</f>
        <v>0</v>
      </c>
      <c r="M26" s="12">
        <f>'Base de Datos Pagos-Notas'!T23</f>
        <v>0</v>
      </c>
      <c r="N26" s="13">
        <f t="shared" si="1"/>
        <v>150000</v>
      </c>
    </row>
    <row r="27" spans="1:14" ht="12.95" customHeight="1" x14ac:dyDescent="0.2">
      <c r="A27" s="10" t="str">
        <f>'Base de Datos Pagos-Notas'!C24</f>
        <v>2</v>
      </c>
      <c r="B27" s="10" t="str">
        <f>'Base de Datos Pagos-Notas'!D24</f>
        <v>501</v>
      </c>
      <c r="C27" s="11">
        <f>'Base de Datos Pagos-Notas'!F24</f>
        <v>2200</v>
      </c>
      <c r="D27" s="10" t="str">
        <f t="shared" si="0"/>
        <v>Pago</v>
      </c>
      <c r="E27" s="11" t="str">
        <f>'Base de Datos Pagos-Notas'!L24</f>
        <v>1</v>
      </c>
      <c r="F27" s="12">
        <f>'Base de Datos Pagos-Notas'!M24</f>
        <v>176600</v>
      </c>
      <c r="G27" s="12">
        <f>'Base de Datos Pagos-Notas'!N24</f>
        <v>0</v>
      </c>
      <c r="H27" s="12">
        <f>'Base de Datos Pagos-Notas'!O24</f>
        <v>0</v>
      </c>
      <c r="I27" s="12">
        <f>'Base de Datos Pagos-Notas'!P24</f>
        <v>40000</v>
      </c>
      <c r="J27" s="12">
        <f>'Base de Datos Pagos-Notas'!Q24</f>
        <v>0</v>
      </c>
      <c r="K27" s="12">
        <f>'Base de Datos Pagos-Notas'!R24</f>
        <v>0</v>
      </c>
      <c r="L27" s="12">
        <f>'Base de Datos Pagos-Notas'!S24</f>
        <v>0</v>
      </c>
      <c r="M27" s="12">
        <f>'Base de Datos Pagos-Notas'!T24</f>
        <v>0</v>
      </c>
      <c r="N27" s="13">
        <f t="shared" si="1"/>
        <v>216600</v>
      </c>
    </row>
    <row r="28" spans="1:14" ht="12.95" customHeight="1" x14ac:dyDescent="0.2">
      <c r="A28" s="10" t="str">
        <f>'Base de Datos Pagos-Notas'!C25</f>
        <v>2</v>
      </c>
      <c r="B28" s="10" t="str">
        <f>'Base de Datos Pagos-Notas'!D25</f>
        <v>502</v>
      </c>
      <c r="C28" s="11">
        <f>'Base de Datos Pagos-Notas'!F25</f>
        <v>2201</v>
      </c>
      <c r="D28" s="10" t="str">
        <f t="shared" si="0"/>
        <v>Pago</v>
      </c>
      <c r="E28" s="11" t="str">
        <f>'Base de Datos Pagos-Notas'!L25</f>
        <v>1</v>
      </c>
      <c r="F28" s="12">
        <f>'Base de Datos Pagos-Notas'!M25</f>
        <v>191900</v>
      </c>
      <c r="G28" s="12">
        <f>'Base de Datos Pagos-Notas'!N25</f>
        <v>0</v>
      </c>
      <c r="H28" s="12">
        <f>'Base de Datos Pagos-Notas'!O25</f>
        <v>0</v>
      </c>
      <c r="I28" s="12">
        <f>'Base de Datos Pagos-Notas'!P25</f>
        <v>40000</v>
      </c>
      <c r="J28" s="12">
        <f>'Base de Datos Pagos-Notas'!Q25</f>
        <v>0</v>
      </c>
      <c r="K28" s="12">
        <f>'Base de Datos Pagos-Notas'!R25</f>
        <v>0</v>
      </c>
      <c r="L28" s="12">
        <f>'Base de Datos Pagos-Notas'!S25</f>
        <v>0</v>
      </c>
      <c r="M28" s="12">
        <f>'Base de Datos Pagos-Notas'!T25</f>
        <v>0</v>
      </c>
      <c r="N28" s="13">
        <f t="shared" si="1"/>
        <v>231900</v>
      </c>
    </row>
    <row r="29" spans="1:14" ht="12.95" customHeight="1" x14ac:dyDescent="0.2">
      <c r="A29" s="10" t="str">
        <f>'Base de Datos Pagos-Notas'!C26</f>
        <v>3</v>
      </c>
      <c r="B29" s="10" t="str">
        <f>'Base de Datos Pagos-Notas'!D26</f>
        <v>102</v>
      </c>
      <c r="C29" s="11">
        <f>'Base de Datos Pagos-Notas'!F26</f>
        <v>2203</v>
      </c>
      <c r="D29" s="10" t="str">
        <f t="shared" si="0"/>
        <v>Pago</v>
      </c>
      <c r="E29" s="11" t="str">
        <f>'Base de Datos Pagos-Notas'!L26</f>
        <v>1</v>
      </c>
      <c r="F29" s="12">
        <f>'Base de Datos Pagos-Notas'!M26</f>
        <v>191560</v>
      </c>
      <c r="G29" s="12">
        <f>'Base de Datos Pagos-Notas'!N26</f>
        <v>0</v>
      </c>
      <c r="H29" s="12">
        <f>'Base de Datos Pagos-Notas'!O26</f>
        <v>0</v>
      </c>
      <c r="I29" s="12">
        <f>'Base de Datos Pagos-Notas'!P26</f>
        <v>40000</v>
      </c>
      <c r="J29" s="12">
        <f>'Base de Datos Pagos-Notas'!Q26</f>
        <v>0</v>
      </c>
      <c r="K29" s="12">
        <f>'Base de Datos Pagos-Notas'!R26</f>
        <v>62900</v>
      </c>
      <c r="L29" s="12">
        <f>'Base de Datos Pagos-Notas'!S26</f>
        <v>0</v>
      </c>
      <c r="M29" s="12">
        <f>'Base de Datos Pagos-Notas'!T26</f>
        <v>0</v>
      </c>
      <c r="N29" s="13">
        <f t="shared" si="1"/>
        <v>294460</v>
      </c>
    </row>
    <row r="30" spans="1:14" ht="12.95" customHeight="1" x14ac:dyDescent="0.2">
      <c r="A30" s="10" t="str">
        <f>'Base de Datos Pagos-Notas'!C27</f>
        <v>3</v>
      </c>
      <c r="B30" s="10" t="str">
        <f>'Base de Datos Pagos-Notas'!D27</f>
        <v>103</v>
      </c>
      <c r="C30" s="11">
        <f>'Base de Datos Pagos-Notas'!F27</f>
        <v>2204</v>
      </c>
      <c r="D30" s="10" t="str">
        <f t="shared" si="0"/>
        <v>Pago</v>
      </c>
      <c r="E30" s="11" t="str">
        <f>'Base de Datos Pagos-Notas'!L27</f>
        <v>1</v>
      </c>
      <c r="F30" s="12">
        <f>'Base de Datos Pagos-Notas'!M27</f>
        <v>140100</v>
      </c>
      <c r="G30" s="12">
        <f>'Base de Datos Pagos-Notas'!N27</f>
        <v>0</v>
      </c>
      <c r="H30" s="12">
        <f>'Base de Datos Pagos-Notas'!O27</f>
        <v>0</v>
      </c>
      <c r="I30" s="12">
        <f>'Base de Datos Pagos-Notas'!P27</f>
        <v>40000</v>
      </c>
      <c r="J30" s="12">
        <f>'Base de Datos Pagos-Notas'!Q27</f>
        <v>0</v>
      </c>
      <c r="K30" s="12">
        <f>'Base de Datos Pagos-Notas'!R27</f>
        <v>0</v>
      </c>
      <c r="L30" s="12">
        <f>'Base de Datos Pagos-Notas'!S27</f>
        <v>0</v>
      </c>
      <c r="M30" s="12">
        <f>'Base de Datos Pagos-Notas'!T27</f>
        <v>0</v>
      </c>
      <c r="N30" s="13">
        <f t="shared" si="1"/>
        <v>180100</v>
      </c>
    </row>
    <row r="31" spans="1:14" ht="12.95" customHeight="1" x14ac:dyDescent="0.2">
      <c r="A31" s="10" t="str">
        <f>'Base de Datos Pagos-Notas'!C28</f>
        <v>3</v>
      </c>
      <c r="B31" s="10" t="str">
        <f>'Base de Datos Pagos-Notas'!D28</f>
        <v>104</v>
      </c>
      <c r="C31" s="11">
        <f>'Base de Datos Pagos-Notas'!F28</f>
        <v>2205</v>
      </c>
      <c r="D31" s="10" t="str">
        <f t="shared" si="0"/>
        <v>Pago</v>
      </c>
      <c r="E31" s="11" t="str">
        <f>'Base de Datos Pagos-Notas'!L28</f>
        <v>1</v>
      </c>
      <c r="F31" s="12">
        <f>'Base de Datos Pagos-Notas'!M28</f>
        <v>166500</v>
      </c>
      <c r="G31" s="12">
        <f>'Base de Datos Pagos-Notas'!N28</f>
        <v>0</v>
      </c>
      <c r="H31" s="12">
        <f>'Base de Datos Pagos-Notas'!O28</f>
        <v>33700</v>
      </c>
      <c r="I31" s="12">
        <f>'Base de Datos Pagos-Notas'!P28</f>
        <v>40000</v>
      </c>
      <c r="J31" s="12">
        <f>'Base de Datos Pagos-Notas'!Q28</f>
        <v>0</v>
      </c>
      <c r="K31" s="12">
        <f>'Base de Datos Pagos-Notas'!R28</f>
        <v>62900</v>
      </c>
      <c r="L31" s="12">
        <f>'Base de Datos Pagos-Notas'!S28</f>
        <v>0</v>
      </c>
      <c r="M31" s="12">
        <f>'Base de Datos Pagos-Notas'!T28</f>
        <v>0</v>
      </c>
      <c r="N31" s="13">
        <f t="shared" si="1"/>
        <v>303100</v>
      </c>
    </row>
    <row r="32" spans="1:14" ht="12.95" customHeight="1" x14ac:dyDescent="0.2">
      <c r="A32" s="10" t="str">
        <f>'Base de Datos Pagos-Notas'!C29</f>
        <v>3</v>
      </c>
      <c r="B32" s="10" t="str">
        <f>'Base de Datos Pagos-Notas'!D29</f>
        <v>201</v>
      </c>
      <c r="C32" s="11">
        <f>'Base de Datos Pagos-Notas'!F29</f>
        <v>2206</v>
      </c>
      <c r="D32" s="10" t="str">
        <f t="shared" si="0"/>
        <v>Pago</v>
      </c>
      <c r="E32" s="11" t="str">
        <f>'Base de Datos Pagos-Notas'!L29</f>
        <v>1</v>
      </c>
      <c r="F32" s="12">
        <f>'Base de Datos Pagos-Notas'!M29</f>
        <v>176600</v>
      </c>
      <c r="G32" s="12">
        <f>'Base de Datos Pagos-Notas'!N29</f>
        <v>0</v>
      </c>
      <c r="H32" s="12">
        <f>'Base de Datos Pagos-Notas'!O29</f>
        <v>0</v>
      </c>
      <c r="I32" s="12">
        <f>'Base de Datos Pagos-Notas'!P29</f>
        <v>40000</v>
      </c>
      <c r="J32" s="12">
        <f>'Base de Datos Pagos-Notas'!Q29</f>
        <v>0</v>
      </c>
      <c r="K32" s="12">
        <f>'Base de Datos Pagos-Notas'!R29</f>
        <v>0</v>
      </c>
      <c r="L32" s="12">
        <f>'Base de Datos Pagos-Notas'!S29</f>
        <v>0</v>
      </c>
      <c r="M32" s="12">
        <f>'Base de Datos Pagos-Notas'!T29</f>
        <v>0</v>
      </c>
      <c r="N32" s="13">
        <f t="shared" si="1"/>
        <v>216600</v>
      </c>
    </row>
    <row r="33" spans="1:14" ht="12.95" customHeight="1" x14ac:dyDescent="0.2">
      <c r="A33" s="10" t="str">
        <f>'Base de Datos Pagos-Notas'!C30</f>
        <v>3</v>
      </c>
      <c r="B33" s="10" t="str">
        <f>'Base de Datos Pagos-Notas'!D30</f>
        <v>202</v>
      </c>
      <c r="C33" s="11">
        <f>'Base de Datos Pagos-Notas'!F30</f>
        <v>2207</v>
      </c>
      <c r="D33" s="10" t="str">
        <f t="shared" si="0"/>
        <v>Pago</v>
      </c>
      <c r="E33" s="11" t="str">
        <f>'Base de Datos Pagos-Notas'!L30</f>
        <v>1</v>
      </c>
      <c r="F33" s="12">
        <f>'Base de Datos Pagos-Notas'!M30</f>
        <v>719660</v>
      </c>
      <c r="G33" s="12">
        <f>'Base de Datos Pagos-Notas'!N30</f>
        <v>27240</v>
      </c>
      <c r="H33" s="12">
        <f>'Base de Datos Pagos-Notas'!O30</f>
        <v>134800</v>
      </c>
      <c r="I33" s="12">
        <f>'Base de Datos Pagos-Notas'!P30</f>
        <v>120000</v>
      </c>
      <c r="J33" s="12">
        <f>'Base de Datos Pagos-Notas'!Q30</f>
        <v>118300</v>
      </c>
      <c r="K33" s="12">
        <f>'Base de Datos Pagos-Notas'!R30</f>
        <v>0</v>
      </c>
      <c r="L33" s="12">
        <f>'Base de Datos Pagos-Notas'!S30</f>
        <v>0</v>
      </c>
      <c r="M33" s="12">
        <f>'Base de Datos Pagos-Notas'!T30</f>
        <v>0</v>
      </c>
      <c r="N33" s="13">
        <f t="shared" si="1"/>
        <v>1120000</v>
      </c>
    </row>
    <row r="34" spans="1:14" ht="12.95" customHeight="1" x14ac:dyDescent="0.2">
      <c r="A34" s="10" t="str">
        <f>'Base de Datos Pagos-Notas'!C31</f>
        <v>3</v>
      </c>
      <c r="B34" s="10" t="str">
        <f>'Base de Datos Pagos-Notas'!D31</f>
        <v>203</v>
      </c>
      <c r="C34" s="11">
        <f>'Base de Datos Pagos-Notas'!F31</f>
        <v>2208</v>
      </c>
      <c r="D34" s="10" t="str">
        <f t="shared" si="0"/>
        <v>Pago</v>
      </c>
      <c r="E34" s="11" t="str">
        <f>'Base de Datos Pagos-Notas'!L31</f>
        <v>1</v>
      </c>
      <c r="F34" s="12">
        <f>'Base de Datos Pagos-Notas'!M31</f>
        <v>140100</v>
      </c>
      <c r="G34" s="12">
        <f>'Base de Datos Pagos-Notas'!N31</f>
        <v>0</v>
      </c>
      <c r="H34" s="12">
        <f>'Base de Datos Pagos-Notas'!O31</f>
        <v>0</v>
      </c>
      <c r="I34" s="12">
        <f>'Base de Datos Pagos-Notas'!P31</f>
        <v>40000</v>
      </c>
      <c r="J34" s="12">
        <f>'Base de Datos Pagos-Notas'!Q31</f>
        <v>0</v>
      </c>
      <c r="K34" s="12">
        <f>'Base de Datos Pagos-Notas'!R31</f>
        <v>0</v>
      </c>
      <c r="L34" s="12">
        <f>'Base de Datos Pagos-Notas'!S31</f>
        <v>0</v>
      </c>
      <c r="M34" s="12">
        <f>'Base de Datos Pagos-Notas'!T31</f>
        <v>0</v>
      </c>
      <c r="N34" s="13">
        <f t="shared" si="1"/>
        <v>180100</v>
      </c>
    </row>
    <row r="35" spans="1:14" ht="12.95" customHeight="1" x14ac:dyDescent="0.2">
      <c r="A35" s="10" t="str">
        <f>'Base de Datos Pagos-Notas'!C32</f>
        <v>3</v>
      </c>
      <c r="B35" s="10" t="str">
        <f>'Base de Datos Pagos-Notas'!D32</f>
        <v>204</v>
      </c>
      <c r="C35" s="11">
        <f>'Base de Datos Pagos-Notas'!F32</f>
        <v>2209</v>
      </c>
      <c r="D35" s="10" t="str">
        <f t="shared" si="0"/>
        <v>Pago</v>
      </c>
      <c r="E35" s="11" t="str">
        <f>'Base de Datos Pagos-Notas'!L32</f>
        <v>1</v>
      </c>
      <c r="F35" s="12">
        <f>'Base de Datos Pagos-Notas'!M32</f>
        <v>166500</v>
      </c>
      <c r="G35" s="12">
        <f>'Base de Datos Pagos-Notas'!N32</f>
        <v>0</v>
      </c>
      <c r="H35" s="12">
        <f>'Base de Datos Pagos-Notas'!O32</f>
        <v>0</v>
      </c>
      <c r="I35" s="12">
        <f>'Base de Datos Pagos-Notas'!P32</f>
        <v>40000</v>
      </c>
      <c r="J35" s="12">
        <f>'Base de Datos Pagos-Notas'!Q32</f>
        <v>0</v>
      </c>
      <c r="K35" s="12">
        <f>'Base de Datos Pagos-Notas'!R32</f>
        <v>0</v>
      </c>
      <c r="L35" s="12">
        <f>'Base de Datos Pagos-Notas'!S32</f>
        <v>0</v>
      </c>
      <c r="M35" s="12">
        <f>'Base de Datos Pagos-Notas'!T32</f>
        <v>0</v>
      </c>
      <c r="N35" s="13">
        <f t="shared" si="1"/>
        <v>206500</v>
      </c>
    </row>
    <row r="36" spans="1:14" ht="12.95" customHeight="1" x14ac:dyDescent="0.2">
      <c r="A36" s="10" t="str">
        <f>'Base de Datos Pagos-Notas'!C33</f>
        <v>3</v>
      </c>
      <c r="B36" s="10" t="str">
        <f>'Base de Datos Pagos-Notas'!D33</f>
        <v>303</v>
      </c>
      <c r="C36" s="11">
        <f>'Base de Datos Pagos-Notas'!F33</f>
        <v>2212</v>
      </c>
      <c r="D36" s="10" t="str">
        <f t="shared" si="0"/>
        <v>Pago</v>
      </c>
      <c r="E36" s="11" t="str">
        <f>'Base de Datos Pagos-Notas'!L33</f>
        <v>1</v>
      </c>
      <c r="F36" s="12">
        <f>'Base de Datos Pagos-Notas'!M33</f>
        <v>140100</v>
      </c>
      <c r="G36" s="12">
        <f>'Base de Datos Pagos-Notas'!N33</f>
        <v>0</v>
      </c>
      <c r="H36" s="12">
        <f>'Base de Datos Pagos-Notas'!O33</f>
        <v>0</v>
      </c>
      <c r="I36" s="12">
        <f>'Base de Datos Pagos-Notas'!P33</f>
        <v>40000</v>
      </c>
      <c r="J36" s="12">
        <f>'Base de Datos Pagos-Notas'!Q33</f>
        <v>0</v>
      </c>
      <c r="K36" s="12">
        <f>'Base de Datos Pagos-Notas'!R33</f>
        <v>62900</v>
      </c>
      <c r="L36" s="12">
        <f>'Base de Datos Pagos-Notas'!S33</f>
        <v>0</v>
      </c>
      <c r="M36" s="12">
        <f>'Base de Datos Pagos-Notas'!T33</f>
        <v>0</v>
      </c>
      <c r="N36" s="13">
        <f t="shared" si="1"/>
        <v>243000</v>
      </c>
    </row>
    <row r="37" spans="1:14" ht="12.95" customHeight="1" x14ac:dyDescent="0.2">
      <c r="A37" s="10" t="str">
        <f>'Base de Datos Pagos-Notas'!C34</f>
        <v>3</v>
      </c>
      <c r="B37" s="10" t="str">
        <f>'Base de Datos Pagos-Notas'!D34</f>
        <v>304</v>
      </c>
      <c r="C37" s="11">
        <f>'Base de Datos Pagos-Notas'!F34</f>
        <v>2213</v>
      </c>
      <c r="D37" s="10" t="str">
        <f t="shared" si="0"/>
        <v>Pago</v>
      </c>
      <c r="E37" s="11" t="str">
        <f>'Base de Datos Pagos-Notas'!L34</f>
        <v>1</v>
      </c>
      <c r="F37" s="12">
        <f>'Base de Datos Pagos-Notas'!M34</f>
        <v>166500</v>
      </c>
      <c r="G37" s="12">
        <f>'Base de Datos Pagos-Notas'!N34</f>
        <v>0</v>
      </c>
      <c r="H37" s="12">
        <f>'Base de Datos Pagos-Notas'!O34</f>
        <v>33700</v>
      </c>
      <c r="I37" s="12">
        <f>'Base de Datos Pagos-Notas'!P34</f>
        <v>40000</v>
      </c>
      <c r="J37" s="12">
        <f>'Base de Datos Pagos-Notas'!Q34</f>
        <v>0</v>
      </c>
      <c r="K37" s="12">
        <f>'Base de Datos Pagos-Notas'!R34</f>
        <v>0</v>
      </c>
      <c r="L37" s="12">
        <f>'Base de Datos Pagos-Notas'!S34</f>
        <v>0</v>
      </c>
      <c r="M37" s="12">
        <f>'Base de Datos Pagos-Notas'!T34</f>
        <v>0</v>
      </c>
      <c r="N37" s="13">
        <f t="shared" si="1"/>
        <v>240200</v>
      </c>
    </row>
    <row r="38" spans="1:14" ht="12.95" customHeight="1" x14ac:dyDescent="0.2">
      <c r="A38" s="10" t="str">
        <f>'Base de Datos Pagos-Notas'!C35</f>
        <v>3</v>
      </c>
      <c r="B38" s="10" t="str">
        <f>'Base de Datos Pagos-Notas'!D35</f>
        <v>401</v>
      </c>
      <c r="C38" s="11">
        <f>'Base de Datos Pagos-Notas'!F35</f>
        <v>2214</v>
      </c>
      <c r="D38" s="10" t="str">
        <f t="shared" si="0"/>
        <v>Pago</v>
      </c>
      <c r="E38" s="11" t="str">
        <f>'Base de Datos Pagos-Notas'!L35</f>
        <v>1</v>
      </c>
      <c r="F38" s="12">
        <f>'Base de Datos Pagos-Notas'!M35</f>
        <v>385970</v>
      </c>
      <c r="G38" s="12">
        <f>'Base de Datos Pagos-Notas'!N35</f>
        <v>7230</v>
      </c>
      <c r="H38" s="12">
        <f>'Base de Datos Pagos-Notas'!O35</f>
        <v>67400</v>
      </c>
      <c r="I38" s="12">
        <f>'Base de Datos Pagos-Notas'!P35</f>
        <v>80000</v>
      </c>
      <c r="J38" s="12">
        <f>'Base de Datos Pagos-Notas'!Q35</f>
        <v>0</v>
      </c>
      <c r="K38" s="12">
        <f>'Base de Datos Pagos-Notas'!R35</f>
        <v>0</v>
      </c>
      <c r="L38" s="12">
        <f>'Base de Datos Pagos-Notas'!S35</f>
        <v>0</v>
      </c>
      <c r="M38" s="12">
        <f>'Base de Datos Pagos-Notas'!T35</f>
        <v>0</v>
      </c>
      <c r="N38" s="13">
        <f t="shared" si="1"/>
        <v>540600</v>
      </c>
    </row>
    <row r="39" spans="1:14" ht="12.95" customHeight="1" x14ac:dyDescent="0.2">
      <c r="A39" s="10" t="str">
        <f>'Base de Datos Pagos-Notas'!C36</f>
        <v>3</v>
      </c>
      <c r="B39" s="10" t="str">
        <f>'Base de Datos Pagos-Notas'!D36</f>
        <v>402</v>
      </c>
      <c r="C39" s="11">
        <f>'Base de Datos Pagos-Notas'!F36</f>
        <v>2215</v>
      </c>
      <c r="D39" s="10" t="str">
        <f t="shared" si="0"/>
        <v>Pago</v>
      </c>
      <c r="E39" s="11" t="str">
        <f>'Base de Datos Pagos-Notas'!L36</f>
        <v>1</v>
      </c>
      <c r="F39" s="12">
        <f>'Base de Datos Pagos-Notas'!M36</f>
        <v>122890</v>
      </c>
      <c r="G39" s="12">
        <f>'Base de Datos Pagos-Notas'!N36</f>
        <v>29710</v>
      </c>
      <c r="H39" s="12">
        <f>'Base de Datos Pagos-Notas'!O36</f>
        <v>67400</v>
      </c>
      <c r="I39" s="12">
        <f>'Base de Datos Pagos-Notas'!P36</f>
        <v>80000</v>
      </c>
      <c r="J39" s="12">
        <f>'Base de Datos Pagos-Notas'!Q36</f>
        <v>0</v>
      </c>
      <c r="K39" s="12">
        <f>'Base de Datos Pagos-Notas'!R36</f>
        <v>0</v>
      </c>
      <c r="L39" s="12">
        <f>'Base de Datos Pagos-Notas'!S36</f>
        <v>0</v>
      </c>
      <c r="M39" s="12">
        <f>'Base de Datos Pagos-Notas'!T36</f>
        <v>0</v>
      </c>
      <c r="N39" s="13">
        <f t="shared" si="1"/>
        <v>300000</v>
      </c>
    </row>
    <row r="40" spans="1:14" ht="12.95" customHeight="1" x14ac:dyDescent="0.2">
      <c r="A40" s="10" t="str">
        <f>'Base de Datos Pagos-Notas'!C37</f>
        <v>3</v>
      </c>
      <c r="B40" s="10" t="str">
        <f>'Base de Datos Pagos-Notas'!D37</f>
        <v>403</v>
      </c>
      <c r="C40" s="11">
        <f>'Base de Datos Pagos-Notas'!F37</f>
        <v>2216</v>
      </c>
      <c r="D40" s="10" t="str">
        <f t="shared" si="0"/>
        <v>Pago</v>
      </c>
      <c r="E40" s="11" t="str">
        <f>'Base de Datos Pagos-Notas'!L37</f>
        <v>1</v>
      </c>
      <c r="F40" s="12">
        <f>'Base de Datos Pagos-Notas'!M37</f>
        <v>139700</v>
      </c>
      <c r="G40" s="12">
        <f>'Base de Datos Pagos-Notas'!N37</f>
        <v>0</v>
      </c>
      <c r="H40" s="12">
        <f>'Base de Datos Pagos-Notas'!O37</f>
        <v>0</v>
      </c>
      <c r="I40" s="12">
        <f>'Base de Datos Pagos-Notas'!P37</f>
        <v>40000</v>
      </c>
      <c r="J40" s="12">
        <f>'Base de Datos Pagos-Notas'!Q37</f>
        <v>0</v>
      </c>
      <c r="K40" s="12">
        <f>'Base de Datos Pagos-Notas'!R37</f>
        <v>0</v>
      </c>
      <c r="L40" s="12">
        <f>'Base de Datos Pagos-Notas'!S37</f>
        <v>4300</v>
      </c>
      <c r="M40" s="12">
        <f>'Base de Datos Pagos-Notas'!T37</f>
        <v>0</v>
      </c>
      <c r="N40" s="13">
        <f t="shared" si="1"/>
        <v>184000</v>
      </c>
    </row>
    <row r="41" spans="1:14" ht="12.95" customHeight="1" x14ac:dyDescent="0.2">
      <c r="A41" s="10" t="str">
        <f>'Base de Datos Pagos-Notas'!C38</f>
        <v>3</v>
      </c>
      <c r="B41" s="10" t="str">
        <f>'Base de Datos Pagos-Notas'!D38</f>
        <v>404</v>
      </c>
      <c r="C41" s="11">
        <f>'Base de Datos Pagos-Notas'!F38</f>
        <v>2217</v>
      </c>
      <c r="D41" s="10" t="str">
        <f t="shared" si="0"/>
        <v>Pago</v>
      </c>
      <c r="E41" s="11" t="str">
        <f>'Base de Datos Pagos-Notas'!L38</f>
        <v>1</v>
      </c>
      <c r="F41" s="12">
        <f>'Base de Datos Pagos-Notas'!M38</f>
        <v>33000</v>
      </c>
      <c r="G41" s="12">
        <f>'Base de Datos Pagos-Notas'!N38</f>
        <v>0</v>
      </c>
      <c r="H41" s="12">
        <f>'Base de Datos Pagos-Notas'!O38</f>
        <v>0</v>
      </c>
      <c r="I41" s="12">
        <f>'Base de Datos Pagos-Notas'!P38</f>
        <v>80000</v>
      </c>
      <c r="J41" s="12">
        <f>'Base de Datos Pagos-Notas'!Q38</f>
        <v>0</v>
      </c>
      <c r="K41" s="12">
        <f>'Base de Datos Pagos-Notas'!R38</f>
        <v>0</v>
      </c>
      <c r="L41" s="12">
        <f>'Base de Datos Pagos-Notas'!S38</f>
        <v>0</v>
      </c>
      <c r="M41" s="12">
        <f>'Base de Datos Pagos-Notas'!T38</f>
        <v>0</v>
      </c>
      <c r="N41" s="13">
        <f t="shared" si="1"/>
        <v>113000</v>
      </c>
    </row>
    <row r="42" spans="1:14" ht="12.95" customHeight="1" x14ac:dyDescent="0.2">
      <c r="A42" s="10" t="str">
        <f>'Base de Datos Pagos-Notas'!C39</f>
        <v>4</v>
      </c>
      <c r="B42" s="10" t="str">
        <f>'Base de Datos Pagos-Notas'!D39</f>
        <v>103</v>
      </c>
      <c r="C42" s="11">
        <f>'Base de Datos Pagos-Notas'!F39</f>
        <v>2224</v>
      </c>
      <c r="D42" s="10" t="str">
        <f t="shared" si="0"/>
        <v>Pago</v>
      </c>
      <c r="E42" s="11" t="str">
        <f>'Base de Datos Pagos-Notas'!L39</f>
        <v>1</v>
      </c>
      <c r="F42" s="12">
        <f>'Base de Datos Pagos-Notas'!M39</f>
        <v>154360</v>
      </c>
      <c r="G42" s="12">
        <f>'Base de Datos Pagos-Notas'!N39</f>
        <v>1940</v>
      </c>
      <c r="H42" s="12">
        <f>'Base de Datos Pagos-Notas'!O39</f>
        <v>33700</v>
      </c>
      <c r="I42" s="12">
        <f>'Base de Datos Pagos-Notas'!P39</f>
        <v>40000</v>
      </c>
      <c r="J42" s="12">
        <f>'Base de Datos Pagos-Notas'!Q39</f>
        <v>0</v>
      </c>
      <c r="K42" s="12">
        <f>'Base de Datos Pagos-Notas'!R39</f>
        <v>0</v>
      </c>
      <c r="L42" s="12">
        <f>'Base de Datos Pagos-Notas'!S39</f>
        <v>0</v>
      </c>
      <c r="M42" s="12">
        <f>'Base de Datos Pagos-Notas'!T39</f>
        <v>0</v>
      </c>
      <c r="N42" s="13">
        <f t="shared" si="1"/>
        <v>230000</v>
      </c>
    </row>
    <row r="43" spans="1:14" ht="12.95" customHeight="1" x14ac:dyDescent="0.2">
      <c r="A43" s="10" t="str">
        <f>'Base de Datos Pagos-Notas'!C40</f>
        <v>4</v>
      </c>
      <c r="B43" s="10" t="str">
        <f>'Base de Datos Pagos-Notas'!D40</f>
        <v>104</v>
      </c>
      <c r="C43" s="11">
        <f>'Base de Datos Pagos-Notas'!F40</f>
        <v>2225</v>
      </c>
      <c r="D43" s="10" t="str">
        <f t="shared" si="0"/>
        <v>Pago</v>
      </c>
      <c r="E43" s="11" t="str">
        <f>'Base de Datos Pagos-Notas'!L40</f>
        <v>1</v>
      </c>
      <c r="F43" s="12">
        <f>'Base de Datos Pagos-Notas'!M40</f>
        <v>216500</v>
      </c>
      <c r="G43" s="12">
        <f>'Base de Datos Pagos-Notas'!N40</f>
        <v>0</v>
      </c>
      <c r="H43" s="12">
        <f>'Base de Datos Pagos-Notas'!O40</f>
        <v>33700</v>
      </c>
      <c r="I43" s="12">
        <f>'Base de Datos Pagos-Notas'!P40</f>
        <v>40000</v>
      </c>
      <c r="J43" s="12">
        <f>'Base de Datos Pagos-Notas'!Q40</f>
        <v>0</v>
      </c>
      <c r="K43" s="12">
        <f>'Base de Datos Pagos-Notas'!R40</f>
        <v>62900</v>
      </c>
      <c r="L43" s="12">
        <f>'Base de Datos Pagos-Notas'!S40</f>
        <v>0</v>
      </c>
      <c r="M43" s="12">
        <f>'Base de Datos Pagos-Notas'!T40</f>
        <v>0</v>
      </c>
      <c r="N43" s="13">
        <f t="shared" si="1"/>
        <v>353100</v>
      </c>
    </row>
    <row r="44" spans="1:14" ht="12.95" customHeight="1" x14ac:dyDescent="0.2">
      <c r="A44" s="10" t="str">
        <f>'Base de Datos Pagos-Notas'!C41</f>
        <v>4</v>
      </c>
      <c r="B44" s="10" t="str">
        <f>'Base de Datos Pagos-Notas'!D41</f>
        <v>105</v>
      </c>
      <c r="C44" s="11">
        <f>'Base de Datos Pagos-Notas'!F41</f>
        <v>2226</v>
      </c>
      <c r="D44" s="10" t="str">
        <f t="shared" si="0"/>
        <v>Pago</v>
      </c>
      <c r="E44" s="11" t="str">
        <f>'Base de Datos Pagos-Notas'!L41</f>
        <v>1</v>
      </c>
      <c r="F44" s="12">
        <f>'Base de Datos Pagos-Notas'!M41</f>
        <v>196300</v>
      </c>
      <c r="G44" s="12">
        <f>'Base de Datos Pagos-Notas'!N41</f>
        <v>0</v>
      </c>
      <c r="H44" s="12">
        <f>'Base de Datos Pagos-Notas'!O41</f>
        <v>0</v>
      </c>
      <c r="I44" s="12">
        <f>'Base de Datos Pagos-Notas'!P41</f>
        <v>40000</v>
      </c>
      <c r="J44" s="12">
        <f>'Base de Datos Pagos-Notas'!Q41</f>
        <v>0</v>
      </c>
      <c r="K44" s="12">
        <f>'Base de Datos Pagos-Notas'!R41</f>
        <v>62900</v>
      </c>
      <c r="L44" s="12">
        <f>'Base de Datos Pagos-Notas'!S41</f>
        <v>0</v>
      </c>
      <c r="M44" s="12">
        <f>'Base de Datos Pagos-Notas'!T41</f>
        <v>0</v>
      </c>
      <c r="N44" s="13">
        <f t="shared" si="1"/>
        <v>299200</v>
      </c>
    </row>
    <row r="45" spans="1:14" ht="12.95" customHeight="1" x14ac:dyDescent="0.2">
      <c r="A45" s="10" t="str">
        <f>'Base de Datos Pagos-Notas'!C42</f>
        <v>4</v>
      </c>
      <c r="B45" s="10" t="str">
        <f>'Base de Datos Pagos-Notas'!D42</f>
        <v>107</v>
      </c>
      <c r="C45" s="11">
        <f>'Base de Datos Pagos-Notas'!F42</f>
        <v>2228</v>
      </c>
      <c r="D45" s="10" t="str">
        <f t="shared" si="0"/>
        <v>Pago</v>
      </c>
      <c r="E45" s="11" t="str">
        <f>'Base de Datos Pagos-Notas'!L42</f>
        <v>1</v>
      </c>
      <c r="F45" s="12">
        <f>'Base de Datos Pagos-Notas'!M42</f>
        <v>140100</v>
      </c>
      <c r="G45" s="12">
        <f>'Base de Datos Pagos-Notas'!N42</f>
        <v>0</v>
      </c>
      <c r="H45" s="12">
        <f>'Base de Datos Pagos-Notas'!O42</f>
        <v>0</v>
      </c>
      <c r="I45" s="12">
        <f>'Base de Datos Pagos-Notas'!P42</f>
        <v>40000</v>
      </c>
      <c r="J45" s="12">
        <f>'Base de Datos Pagos-Notas'!Q42</f>
        <v>0</v>
      </c>
      <c r="K45" s="12">
        <f>'Base de Datos Pagos-Notas'!R42</f>
        <v>62900</v>
      </c>
      <c r="L45" s="12">
        <f>'Base de Datos Pagos-Notas'!S42</f>
        <v>0</v>
      </c>
      <c r="M45" s="12">
        <f>'Base de Datos Pagos-Notas'!T42</f>
        <v>0</v>
      </c>
      <c r="N45" s="13">
        <f t="shared" si="1"/>
        <v>243000</v>
      </c>
    </row>
    <row r="46" spans="1:14" ht="12.95" customHeight="1" x14ac:dyDescent="0.2">
      <c r="A46" s="10" t="str">
        <f>'Base de Datos Pagos-Notas'!C43</f>
        <v>4</v>
      </c>
      <c r="B46" s="10" t="str">
        <f>'Base de Datos Pagos-Notas'!D43</f>
        <v>108</v>
      </c>
      <c r="C46" s="11">
        <f>'Base de Datos Pagos-Notas'!F43</f>
        <v>2229</v>
      </c>
      <c r="D46" s="10" t="str">
        <f t="shared" si="0"/>
        <v>Pago</v>
      </c>
      <c r="E46" s="11" t="str">
        <f>'Base de Datos Pagos-Notas'!L43</f>
        <v>1</v>
      </c>
      <c r="F46" s="12">
        <f>'Base de Datos Pagos-Notas'!M43</f>
        <v>166500</v>
      </c>
      <c r="G46" s="12">
        <f>'Base de Datos Pagos-Notas'!N43</f>
        <v>0</v>
      </c>
      <c r="H46" s="12">
        <f>'Base de Datos Pagos-Notas'!O43</f>
        <v>0</v>
      </c>
      <c r="I46" s="12">
        <f>'Base de Datos Pagos-Notas'!P43</f>
        <v>40000</v>
      </c>
      <c r="J46" s="12">
        <f>'Base de Datos Pagos-Notas'!Q43</f>
        <v>0</v>
      </c>
      <c r="K46" s="12">
        <f>'Base de Datos Pagos-Notas'!R43</f>
        <v>62900</v>
      </c>
      <c r="L46" s="12">
        <f>'Base de Datos Pagos-Notas'!S43</f>
        <v>0</v>
      </c>
      <c r="M46" s="12">
        <f>'Base de Datos Pagos-Notas'!T43</f>
        <v>0</v>
      </c>
      <c r="N46" s="13">
        <f t="shared" si="1"/>
        <v>269400</v>
      </c>
    </row>
    <row r="47" spans="1:14" ht="12.95" customHeight="1" x14ac:dyDescent="0.2">
      <c r="A47" s="10" t="str">
        <f>'Base de Datos Pagos-Notas'!C44</f>
        <v>4</v>
      </c>
      <c r="B47" s="10" t="str">
        <f>'Base de Datos Pagos-Notas'!D44</f>
        <v>201</v>
      </c>
      <c r="C47" s="11">
        <f>'Base de Datos Pagos-Notas'!F44</f>
        <v>2230</v>
      </c>
      <c r="D47" s="10" t="str">
        <f t="shared" si="0"/>
        <v>Pago</v>
      </c>
      <c r="E47" s="11" t="str">
        <f>'Base de Datos Pagos-Notas'!L44</f>
        <v>1</v>
      </c>
      <c r="F47" s="12">
        <f>'Base de Datos Pagos-Notas'!M44</f>
        <v>140100</v>
      </c>
      <c r="G47" s="12">
        <f>'Base de Datos Pagos-Notas'!N44</f>
        <v>0</v>
      </c>
      <c r="H47" s="12">
        <f>'Base de Datos Pagos-Notas'!O44</f>
        <v>0</v>
      </c>
      <c r="I47" s="12">
        <f>'Base de Datos Pagos-Notas'!P44</f>
        <v>40000</v>
      </c>
      <c r="J47" s="12">
        <f>'Base de Datos Pagos-Notas'!Q44</f>
        <v>0</v>
      </c>
      <c r="K47" s="12">
        <f>'Base de Datos Pagos-Notas'!R44</f>
        <v>0</v>
      </c>
      <c r="L47" s="12">
        <f>'Base de Datos Pagos-Notas'!S44</f>
        <v>0</v>
      </c>
      <c r="M47" s="12">
        <f>'Base de Datos Pagos-Notas'!T44</f>
        <v>0</v>
      </c>
      <c r="N47" s="13">
        <f t="shared" si="1"/>
        <v>180100</v>
      </c>
    </row>
    <row r="48" spans="1:14" ht="12.95" customHeight="1" x14ac:dyDescent="0.2">
      <c r="A48" s="10" t="str">
        <f>'Base de Datos Pagos-Notas'!C45</f>
        <v>4</v>
      </c>
      <c r="B48" s="10" t="str">
        <f>'Base de Datos Pagos-Notas'!D45</f>
        <v>202</v>
      </c>
      <c r="C48" s="11">
        <f>'Base de Datos Pagos-Notas'!F45</f>
        <v>2231</v>
      </c>
      <c r="D48" s="10" t="str">
        <f t="shared" si="0"/>
        <v>Pago</v>
      </c>
      <c r="E48" s="11" t="str">
        <f>'Base de Datos Pagos-Notas'!L45</f>
        <v>1</v>
      </c>
      <c r="F48" s="12">
        <f>'Base de Datos Pagos-Notas'!M45</f>
        <v>166500</v>
      </c>
      <c r="G48" s="12">
        <f>'Base de Datos Pagos-Notas'!N45</f>
        <v>0</v>
      </c>
      <c r="H48" s="12">
        <f>'Base de Datos Pagos-Notas'!O45</f>
        <v>0</v>
      </c>
      <c r="I48" s="12">
        <f>'Base de Datos Pagos-Notas'!P45</f>
        <v>40000</v>
      </c>
      <c r="J48" s="12">
        <f>'Base de Datos Pagos-Notas'!Q45</f>
        <v>0</v>
      </c>
      <c r="K48" s="12">
        <f>'Base de Datos Pagos-Notas'!R45</f>
        <v>0</v>
      </c>
      <c r="L48" s="12">
        <f>'Base de Datos Pagos-Notas'!S45</f>
        <v>0</v>
      </c>
      <c r="M48" s="12">
        <f>'Base de Datos Pagos-Notas'!T45</f>
        <v>0</v>
      </c>
      <c r="N48" s="13">
        <f t="shared" si="1"/>
        <v>206500</v>
      </c>
    </row>
    <row r="49" spans="1:14" ht="12.95" customHeight="1" x14ac:dyDescent="0.2">
      <c r="A49" s="10" t="str">
        <f>'Base de Datos Pagos-Notas'!C46</f>
        <v>4</v>
      </c>
      <c r="B49" s="10" t="str">
        <f>'Base de Datos Pagos-Notas'!D46</f>
        <v>205</v>
      </c>
      <c r="C49" s="11">
        <f>'Base de Datos Pagos-Notas'!F46</f>
        <v>2234</v>
      </c>
      <c r="D49" s="10" t="str">
        <f t="shared" si="0"/>
        <v>Pago</v>
      </c>
      <c r="E49" s="11" t="str">
        <f>'Base de Datos Pagos-Notas'!L46</f>
        <v>1</v>
      </c>
      <c r="F49" s="12">
        <f>'Base de Datos Pagos-Notas'!M46</f>
        <v>257580</v>
      </c>
      <c r="G49" s="12">
        <f>'Base de Datos Pagos-Notas'!N46</f>
        <v>1940</v>
      </c>
      <c r="H49" s="12">
        <f>'Base de Datos Pagos-Notas'!O46</f>
        <v>33700</v>
      </c>
      <c r="I49" s="12">
        <f>'Base de Datos Pagos-Notas'!P46</f>
        <v>40000</v>
      </c>
      <c r="J49" s="12">
        <f>'Base de Datos Pagos-Notas'!Q46</f>
        <v>0</v>
      </c>
      <c r="K49" s="12">
        <f>'Base de Datos Pagos-Notas'!R46</f>
        <v>0</v>
      </c>
      <c r="L49" s="12">
        <f>'Base de Datos Pagos-Notas'!S46</f>
        <v>0</v>
      </c>
      <c r="M49" s="12">
        <f>'Base de Datos Pagos-Notas'!T46</f>
        <v>0</v>
      </c>
      <c r="N49" s="13">
        <f t="shared" si="1"/>
        <v>333220</v>
      </c>
    </row>
    <row r="50" spans="1:14" ht="12.95" customHeight="1" x14ac:dyDescent="0.2">
      <c r="A50" s="10" t="str">
        <f>'Base de Datos Pagos-Notas'!C47</f>
        <v>4</v>
      </c>
      <c r="B50" s="10" t="str">
        <f>'Base de Datos Pagos-Notas'!D47</f>
        <v>206</v>
      </c>
      <c r="C50" s="11">
        <f>'Base de Datos Pagos-Notas'!F47</f>
        <v>2235</v>
      </c>
      <c r="D50" s="10" t="str">
        <f t="shared" si="0"/>
        <v>Pago</v>
      </c>
      <c r="E50" s="11" t="str">
        <f>'Base de Datos Pagos-Notas'!L47</f>
        <v>1</v>
      </c>
      <c r="F50" s="12">
        <f>'Base de Datos Pagos-Notas'!M47</f>
        <v>191900</v>
      </c>
      <c r="G50" s="12">
        <f>'Base de Datos Pagos-Notas'!N47</f>
        <v>0</v>
      </c>
      <c r="H50" s="12">
        <f>'Base de Datos Pagos-Notas'!O47</f>
        <v>33700</v>
      </c>
      <c r="I50" s="12">
        <f>'Base de Datos Pagos-Notas'!P47</f>
        <v>40000</v>
      </c>
      <c r="J50" s="12">
        <f>'Base de Datos Pagos-Notas'!Q47</f>
        <v>0</v>
      </c>
      <c r="K50" s="12">
        <f>'Base de Datos Pagos-Notas'!R47</f>
        <v>0</v>
      </c>
      <c r="L50" s="12">
        <f>'Base de Datos Pagos-Notas'!S47</f>
        <v>0</v>
      </c>
      <c r="M50" s="12">
        <f>'Base de Datos Pagos-Notas'!T47</f>
        <v>0</v>
      </c>
      <c r="N50" s="13">
        <f t="shared" si="1"/>
        <v>265600</v>
      </c>
    </row>
    <row r="51" spans="1:14" ht="12.95" customHeight="1" x14ac:dyDescent="0.2">
      <c r="A51" s="10" t="str">
        <f>'Base de Datos Pagos-Notas'!C48</f>
        <v>4</v>
      </c>
      <c r="B51" s="10" t="str">
        <f>'Base de Datos Pagos-Notas'!D48</f>
        <v>207</v>
      </c>
      <c r="C51" s="11">
        <f>'Base de Datos Pagos-Notas'!F48</f>
        <v>2236</v>
      </c>
      <c r="D51" s="10" t="str">
        <f t="shared" si="0"/>
        <v>Pago</v>
      </c>
      <c r="E51" s="11" t="str">
        <f>'Base de Datos Pagos-Notas'!L48</f>
        <v>1</v>
      </c>
      <c r="F51" s="12">
        <f>'Base de Datos Pagos-Notas'!M48</f>
        <v>140100</v>
      </c>
      <c r="G51" s="12">
        <f>'Base de Datos Pagos-Notas'!N48</f>
        <v>0</v>
      </c>
      <c r="H51" s="12">
        <f>'Base de Datos Pagos-Notas'!O48</f>
        <v>0</v>
      </c>
      <c r="I51" s="12">
        <f>'Base de Datos Pagos-Notas'!P48</f>
        <v>40000</v>
      </c>
      <c r="J51" s="12">
        <f>'Base de Datos Pagos-Notas'!Q48</f>
        <v>0</v>
      </c>
      <c r="K51" s="12">
        <f>'Base de Datos Pagos-Notas'!R48</f>
        <v>0</v>
      </c>
      <c r="L51" s="12">
        <f>'Base de Datos Pagos-Notas'!S48</f>
        <v>0</v>
      </c>
      <c r="M51" s="12">
        <f>'Base de Datos Pagos-Notas'!T48</f>
        <v>0</v>
      </c>
      <c r="N51" s="13">
        <f t="shared" si="1"/>
        <v>180100</v>
      </c>
    </row>
    <row r="52" spans="1:14" ht="12.95" customHeight="1" x14ac:dyDescent="0.2">
      <c r="A52" s="10" t="str">
        <f>'Base de Datos Pagos-Notas'!C49</f>
        <v>4</v>
      </c>
      <c r="B52" s="10" t="str">
        <f>'Base de Datos Pagos-Notas'!D49</f>
        <v>208</v>
      </c>
      <c r="C52" s="11">
        <f>'Base de Datos Pagos-Notas'!F49</f>
        <v>2237</v>
      </c>
      <c r="D52" s="10" t="str">
        <f t="shared" si="0"/>
        <v>Pago</v>
      </c>
      <c r="E52" s="11" t="str">
        <f>'Base de Datos Pagos-Notas'!L49</f>
        <v>1</v>
      </c>
      <c r="F52" s="12">
        <f>'Base de Datos Pagos-Notas'!M49</f>
        <v>166500</v>
      </c>
      <c r="G52" s="12">
        <f>'Base de Datos Pagos-Notas'!N49</f>
        <v>0</v>
      </c>
      <c r="H52" s="12">
        <f>'Base de Datos Pagos-Notas'!O49</f>
        <v>0</v>
      </c>
      <c r="I52" s="12">
        <f>'Base de Datos Pagos-Notas'!P49</f>
        <v>40000</v>
      </c>
      <c r="J52" s="12">
        <f>'Base de Datos Pagos-Notas'!Q49</f>
        <v>0</v>
      </c>
      <c r="K52" s="12">
        <f>'Base de Datos Pagos-Notas'!R49</f>
        <v>0</v>
      </c>
      <c r="L52" s="12">
        <f>'Base de Datos Pagos-Notas'!S49</f>
        <v>0</v>
      </c>
      <c r="M52" s="12">
        <f>'Base de Datos Pagos-Notas'!T49</f>
        <v>0</v>
      </c>
      <c r="N52" s="13">
        <f t="shared" si="1"/>
        <v>206500</v>
      </c>
    </row>
    <row r="53" spans="1:14" ht="12.95" customHeight="1" x14ac:dyDescent="0.2">
      <c r="A53" s="10" t="str">
        <f>'Base de Datos Pagos-Notas'!C50</f>
        <v>4</v>
      </c>
      <c r="B53" s="10" t="str">
        <f>'Base de Datos Pagos-Notas'!D50</f>
        <v>301</v>
      </c>
      <c r="C53" s="11">
        <f>'Base de Datos Pagos-Notas'!F50</f>
        <v>2238</v>
      </c>
      <c r="D53" s="10" t="str">
        <f t="shared" si="0"/>
        <v>Pago</v>
      </c>
      <c r="E53" s="11" t="str">
        <f>'Base de Datos Pagos-Notas'!L50</f>
        <v>1</v>
      </c>
      <c r="F53" s="12">
        <f>'Base de Datos Pagos-Notas'!M50</f>
        <v>148140</v>
      </c>
      <c r="G53" s="12">
        <f>'Base de Datos Pagos-Notas'!N50</f>
        <v>50</v>
      </c>
      <c r="H53" s="12">
        <f>'Base de Datos Pagos-Notas'!O50</f>
        <v>0</v>
      </c>
      <c r="I53" s="12">
        <f>'Base de Datos Pagos-Notas'!P50</f>
        <v>40000</v>
      </c>
      <c r="J53" s="12">
        <f>'Base de Datos Pagos-Notas'!Q50</f>
        <v>0</v>
      </c>
      <c r="K53" s="12">
        <f>'Base de Datos Pagos-Notas'!R50</f>
        <v>0</v>
      </c>
      <c r="L53" s="12">
        <f>'Base de Datos Pagos-Notas'!S50</f>
        <v>0</v>
      </c>
      <c r="M53" s="12">
        <f>'Base de Datos Pagos-Notas'!T50</f>
        <v>0</v>
      </c>
      <c r="N53" s="13">
        <f t="shared" si="1"/>
        <v>188190</v>
      </c>
    </row>
    <row r="54" spans="1:14" ht="12.95" customHeight="1" x14ac:dyDescent="0.2">
      <c r="A54" s="10" t="str">
        <f>'Base de Datos Pagos-Notas'!C51</f>
        <v>4</v>
      </c>
      <c r="B54" s="10" t="str">
        <f>'Base de Datos Pagos-Notas'!D51</f>
        <v>302</v>
      </c>
      <c r="C54" s="11">
        <f>'Base de Datos Pagos-Notas'!F51</f>
        <v>2239</v>
      </c>
      <c r="D54" s="10" t="str">
        <f t="shared" si="0"/>
        <v>Pago</v>
      </c>
      <c r="E54" s="11" t="str">
        <f>'Base de Datos Pagos-Notas'!L51</f>
        <v>1</v>
      </c>
      <c r="F54" s="12">
        <f>'Base de Datos Pagos-Notas'!M51</f>
        <v>166500</v>
      </c>
      <c r="G54" s="12">
        <f>'Base de Datos Pagos-Notas'!N51</f>
        <v>0</v>
      </c>
      <c r="H54" s="12">
        <f>'Base de Datos Pagos-Notas'!O51</f>
        <v>0</v>
      </c>
      <c r="I54" s="12">
        <f>'Base de Datos Pagos-Notas'!P51</f>
        <v>40000</v>
      </c>
      <c r="J54" s="12">
        <f>'Base de Datos Pagos-Notas'!Q51</f>
        <v>0</v>
      </c>
      <c r="K54" s="12">
        <f>'Base de Datos Pagos-Notas'!R51</f>
        <v>0</v>
      </c>
      <c r="L54" s="12">
        <f>'Base de Datos Pagos-Notas'!S51</f>
        <v>0</v>
      </c>
      <c r="M54" s="12">
        <f>'Base de Datos Pagos-Notas'!T51</f>
        <v>0</v>
      </c>
      <c r="N54" s="13">
        <f t="shared" si="1"/>
        <v>206500</v>
      </c>
    </row>
    <row r="55" spans="1:14" ht="12.95" customHeight="1" x14ac:dyDescent="0.2">
      <c r="A55" s="10" t="str">
        <f>'Base de Datos Pagos-Notas'!C52</f>
        <v>4</v>
      </c>
      <c r="B55" s="10" t="str">
        <f>'Base de Datos Pagos-Notas'!D52</f>
        <v>303</v>
      </c>
      <c r="C55" s="11">
        <f>'Base de Datos Pagos-Notas'!F52</f>
        <v>2240</v>
      </c>
      <c r="D55" s="10" t="str">
        <f t="shared" si="0"/>
        <v>Pago</v>
      </c>
      <c r="E55" s="11" t="str">
        <f>'Base de Datos Pagos-Notas'!L52</f>
        <v>1</v>
      </c>
      <c r="F55" s="12">
        <f>'Base de Datos Pagos-Notas'!M52</f>
        <v>176600</v>
      </c>
      <c r="G55" s="12">
        <f>'Base de Datos Pagos-Notas'!N52</f>
        <v>0</v>
      </c>
      <c r="H55" s="12">
        <f>'Base de Datos Pagos-Notas'!O52</f>
        <v>33700</v>
      </c>
      <c r="I55" s="12">
        <f>'Base de Datos Pagos-Notas'!P52</f>
        <v>40000</v>
      </c>
      <c r="J55" s="12">
        <f>'Base de Datos Pagos-Notas'!Q52</f>
        <v>0</v>
      </c>
      <c r="K55" s="12">
        <f>'Base de Datos Pagos-Notas'!R52</f>
        <v>0</v>
      </c>
      <c r="L55" s="12">
        <f>'Base de Datos Pagos-Notas'!S52</f>
        <v>0</v>
      </c>
      <c r="M55" s="12">
        <f>'Base de Datos Pagos-Notas'!T52</f>
        <v>0</v>
      </c>
      <c r="N55" s="13">
        <f t="shared" si="1"/>
        <v>250300</v>
      </c>
    </row>
    <row r="56" spans="1:14" ht="12.95" customHeight="1" x14ac:dyDescent="0.2">
      <c r="A56" s="10" t="str">
        <f>'Base de Datos Pagos-Notas'!C53</f>
        <v>4</v>
      </c>
      <c r="B56" s="10" t="str">
        <f>'Base de Datos Pagos-Notas'!D53</f>
        <v>304</v>
      </c>
      <c r="C56" s="11">
        <f>'Base de Datos Pagos-Notas'!F53</f>
        <v>2241</v>
      </c>
      <c r="D56" s="10" t="str">
        <f t="shared" si="0"/>
        <v>Pago</v>
      </c>
      <c r="E56" s="11" t="str">
        <f>'Base de Datos Pagos-Notas'!L53</f>
        <v>1</v>
      </c>
      <c r="F56" s="12">
        <f>'Base de Datos Pagos-Notas'!M53</f>
        <v>191900</v>
      </c>
      <c r="G56" s="12">
        <f>'Base de Datos Pagos-Notas'!N53</f>
        <v>0</v>
      </c>
      <c r="H56" s="12">
        <f>'Base de Datos Pagos-Notas'!O53</f>
        <v>33700</v>
      </c>
      <c r="I56" s="12">
        <f>'Base de Datos Pagos-Notas'!P53</f>
        <v>40000</v>
      </c>
      <c r="J56" s="12">
        <f>'Base de Datos Pagos-Notas'!Q53</f>
        <v>0</v>
      </c>
      <c r="K56" s="12">
        <f>'Base de Datos Pagos-Notas'!R53</f>
        <v>0</v>
      </c>
      <c r="L56" s="12">
        <f>'Base de Datos Pagos-Notas'!S53</f>
        <v>0</v>
      </c>
      <c r="M56" s="12">
        <f>'Base de Datos Pagos-Notas'!T53</f>
        <v>0</v>
      </c>
      <c r="N56" s="13">
        <f t="shared" si="1"/>
        <v>265600</v>
      </c>
    </row>
    <row r="57" spans="1:14" ht="12.95" customHeight="1" x14ac:dyDescent="0.2">
      <c r="A57" s="10" t="str">
        <f>'Base de Datos Pagos-Notas'!C54</f>
        <v>4</v>
      </c>
      <c r="B57" s="10" t="str">
        <f>'Base de Datos Pagos-Notas'!D54</f>
        <v>305</v>
      </c>
      <c r="C57" s="11">
        <f>'Base de Datos Pagos-Notas'!F54</f>
        <v>2242</v>
      </c>
      <c r="D57" s="10" t="str">
        <f t="shared" si="0"/>
        <v>Pago</v>
      </c>
      <c r="E57" s="11" t="str">
        <f>'Base de Datos Pagos-Notas'!L54</f>
        <v>1</v>
      </c>
      <c r="F57" s="12">
        <f>'Base de Datos Pagos-Notas'!M54</f>
        <v>176600</v>
      </c>
      <c r="G57" s="12">
        <f>'Base de Datos Pagos-Notas'!N54</f>
        <v>0</v>
      </c>
      <c r="H57" s="12">
        <f>'Base de Datos Pagos-Notas'!O54</f>
        <v>33700</v>
      </c>
      <c r="I57" s="12">
        <f>'Base de Datos Pagos-Notas'!P54</f>
        <v>40000</v>
      </c>
      <c r="J57" s="12">
        <f>'Base de Datos Pagos-Notas'!Q54</f>
        <v>0</v>
      </c>
      <c r="K57" s="12">
        <f>'Base de Datos Pagos-Notas'!R54</f>
        <v>0</v>
      </c>
      <c r="L57" s="12">
        <f>'Base de Datos Pagos-Notas'!S54</f>
        <v>0</v>
      </c>
      <c r="M57" s="12">
        <f>'Base de Datos Pagos-Notas'!T54</f>
        <v>0</v>
      </c>
      <c r="N57" s="13">
        <f t="shared" si="1"/>
        <v>250300</v>
      </c>
    </row>
    <row r="58" spans="1:14" ht="12.95" customHeight="1" x14ac:dyDescent="0.2">
      <c r="A58" s="10" t="str">
        <f>'Base de Datos Pagos-Notas'!C55</f>
        <v>4</v>
      </c>
      <c r="B58" s="10" t="str">
        <f>'Base de Datos Pagos-Notas'!D55</f>
        <v>306</v>
      </c>
      <c r="C58" s="11">
        <f>'Base de Datos Pagos-Notas'!F55</f>
        <v>2243</v>
      </c>
      <c r="D58" s="10" t="str">
        <f t="shared" si="0"/>
        <v>Pago</v>
      </c>
      <c r="E58" s="11" t="str">
        <f>'Base de Datos Pagos-Notas'!L55</f>
        <v>1</v>
      </c>
      <c r="F58" s="12">
        <f>'Base de Datos Pagos-Notas'!M55</f>
        <v>191900</v>
      </c>
      <c r="G58" s="12">
        <f>'Base de Datos Pagos-Notas'!N55</f>
        <v>0</v>
      </c>
      <c r="H58" s="12">
        <f>'Base de Datos Pagos-Notas'!O55</f>
        <v>33700</v>
      </c>
      <c r="I58" s="12">
        <f>'Base de Datos Pagos-Notas'!P55</f>
        <v>40000</v>
      </c>
      <c r="J58" s="12">
        <f>'Base de Datos Pagos-Notas'!Q55</f>
        <v>0</v>
      </c>
      <c r="K58" s="12">
        <f>'Base de Datos Pagos-Notas'!R55</f>
        <v>0</v>
      </c>
      <c r="L58" s="12">
        <f>'Base de Datos Pagos-Notas'!S55</f>
        <v>0</v>
      </c>
      <c r="M58" s="12">
        <f>'Base de Datos Pagos-Notas'!T55</f>
        <v>0</v>
      </c>
      <c r="N58" s="13">
        <f t="shared" si="1"/>
        <v>265600</v>
      </c>
    </row>
    <row r="59" spans="1:14" ht="12.95" customHeight="1" x14ac:dyDescent="0.2">
      <c r="A59" s="10" t="str">
        <f>'Base de Datos Pagos-Notas'!C56</f>
        <v>4</v>
      </c>
      <c r="B59" s="10" t="str">
        <f>'Base de Datos Pagos-Notas'!D56</f>
        <v>307</v>
      </c>
      <c r="C59" s="11">
        <f>'Base de Datos Pagos-Notas'!F56</f>
        <v>2244</v>
      </c>
      <c r="D59" s="10" t="str">
        <f t="shared" si="0"/>
        <v>Pago</v>
      </c>
      <c r="E59" s="11" t="str">
        <f>'Base de Datos Pagos-Notas'!L56</f>
        <v>1</v>
      </c>
      <c r="F59" s="12">
        <f>'Base de Datos Pagos-Notas'!M56</f>
        <v>759070</v>
      </c>
      <c r="G59" s="12">
        <f>'Base de Datos Pagos-Notas'!N56</f>
        <v>37950</v>
      </c>
      <c r="H59" s="12">
        <f>'Base de Datos Pagos-Notas'!O56</f>
        <v>0</v>
      </c>
      <c r="I59" s="12">
        <f>'Base de Datos Pagos-Notas'!P56</f>
        <v>120000</v>
      </c>
      <c r="J59" s="12">
        <f>'Base de Datos Pagos-Notas'!Q56</f>
        <v>105630</v>
      </c>
      <c r="K59" s="12">
        <f>'Base de Datos Pagos-Notas'!R56</f>
        <v>0</v>
      </c>
      <c r="L59" s="12">
        <f>'Base de Datos Pagos-Notas'!S56</f>
        <v>0</v>
      </c>
      <c r="M59" s="12">
        <f>'Base de Datos Pagos-Notas'!T56</f>
        <v>0</v>
      </c>
      <c r="N59" s="13">
        <f t="shared" si="1"/>
        <v>1022650</v>
      </c>
    </row>
    <row r="60" spans="1:14" ht="12.95" customHeight="1" x14ac:dyDescent="0.2">
      <c r="A60" s="10" t="str">
        <f>'Base de Datos Pagos-Notas'!C57</f>
        <v>4</v>
      </c>
      <c r="B60" s="10" t="str">
        <f>'Base de Datos Pagos-Notas'!D57</f>
        <v>308</v>
      </c>
      <c r="C60" s="11">
        <f>'Base de Datos Pagos-Notas'!F57</f>
        <v>2245</v>
      </c>
      <c r="D60" s="10" t="str">
        <f t="shared" si="0"/>
        <v>Pago</v>
      </c>
      <c r="E60" s="11" t="str">
        <f>'Base de Datos Pagos-Notas'!L57</f>
        <v>1</v>
      </c>
      <c r="F60" s="12">
        <f>'Base de Datos Pagos-Notas'!M57</f>
        <v>239530</v>
      </c>
      <c r="G60" s="12">
        <f>'Base de Datos Pagos-Notas'!N57</f>
        <v>1750</v>
      </c>
      <c r="H60" s="12">
        <f>'Base de Datos Pagos-Notas'!O57</f>
        <v>33700</v>
      </c>
      <c r="I60" s="12">
        <f>'Base de Datos Pagos-Notas'!P57</f>
        <v>40000</v>
      </c>
      <c r="J60" s="12">
        <f>'Base de Datos Pagos-Notas'!Q57</f>
        <v>0</v>
      </c>
      <c r="K60" s="12">
        <f>'Base de Datos Pagos-Notas'!R57</f>
        <v>0</v>
      </c>
      <c r="L60" s="12">
        <f>'Base de Datos Pagos-Notas'!S57</f>
        <v>0</v>
      </c>
      <c r="M60" s="12">
        <f>'Base de Datos Pagos-Notas'!T57</f>
        <v>0</v>
      </c>
      <c r="N60" s="13">
        <f t="shared" si="1"/>
        <v>314980</v>
      </c>
    </row>
    <row r="61" spans="1:14" ht="12.95" customHeight="1" x14ac:dyDescent="0.2">
      <c r="A61" s="10" t="str">
        <f>'Base de Datos Pagos-Notas'!C58</f>
        <v>4</v>
      </c>
      <c r="B61" s="10" t="str">
        <f>'Base de Datos Pagos-Notas'!D58</f>
        <v>401</v>
      </c>
      <c r="C61" s="11">
        <f>'Base de Datos Pagos-Notas'!F58</f>
        <v>2246</v>
      </c>
      <c r="D61" s="10" t="str">
        <f t="shared" si="0"/>
        <v>Pago</v>
      </c>
      <c r="E61" s="11" t="str">
        <f>'Base de Datos Pagos-Notas'!L58</f>
        <v>1</v>
      </c>
      <c r="F61" s="12">
        <f>'Base de Datos Pagos-Notas'!M58</f>
        <v>140100</v>
      </c>
      <c r="G61" s="12">
        <f>'Base de Datos Pagos-Notas'!N58</f>
        <v>0</v>
      </c>
      <c r="H61" s="12">
        <f>'Base de Datos Pagos-Notas'!O58</f>
        <v>0</v>
      </c>
      <c r="I61" s="12">
        <f>'Base de Datos Pagos-Notas'!P58</f>
        <v>40000</v>
      </c>
      <c r="J61" s="12">
        <f>'Base de Datos Pagos-Notas'!Q58</f>
        <v>0</v>
      </c>
      <c r="K61" s="12">
        <f>'Base de Datos Pagos-Notas'!R58</f>
        <v>62900</v>
      </c>
      <c r="L61" s="12">
        <f>'Base de Datos Pagos-Notas'!S58</f>
        <v>0</v>
      </c>
      <c r="M61" s="12">
        <f>'Base de Datos Pagos-Notas'!T58</f>
        <v>0</v>
      </c>
      <c r="N61" s="13">
        <f t="shared" si="1"/>
        <v>243000</v>
      </c>
    </row>
    <row r="62" spans="1:14" ht="12.95" customHeight="1" x14ac:dyDescent="0.2">
      <c r="A62" s="10" t="str">
        <f>'Base de Datos Pagos-Notas'!C59</f>
        <v>4</v>
      </c>
      <c r="B62" s="10" t="str">
        <f>'Base de Datos Pagos-Notas'!D59</f>
        <v>402</v>
      </c>
      <c r="C62" s="11">
        <f>'Base de Datos Pagos-Notas'!F59</f>
        <v>2247</v>
      </c>
      <c r="D62" s="10" t="str">
        <f t="shared" si="0"/>
        <v>Pago</v>
      </c>
      <c r="E62" s="11" t="str">
        <f>'Base de Datos Pagos-Notas'!L59</f>
        <v>1</v>
      </c>
      <c r="F62" s="12">
        <f>'Base de Datos Pagos-Notas'!M59</f>
        <v>166500</v>
      </c>
      <c r="G62" s="12">
        <f>'Base de Datos Pagos-Notas'!N59</f>
        <v>0</v>
      </c>
      <c r="H62" s="12">
        <f>'Base de Datos Pagos-Notas'!O59</f>
        <v>0</v>
      </c>
      <c r="I62" s="12">
        <f>'Base de Datos Pagos-Notas'!P59</f>
        <v>40000</v>
      </c>
      <c r="J62" s="12">
        <f>'Base de Datos Pagos-Notas'!Q59</f>
        <v>0</v>
      </c>
      <c r="K62" s="12">
        <f>'Base de Datos Pagos-Notas'!R59</f>
        <v>0</v>
      </c>
      <c r="L62" s="12">
        <f>'Base de Datos Pagos-Notas'!S59</f>
        <v>0</v>
      </c>
      <c r="M62" s="12">
        <f>'Base de Datos Pagos-Notas'!T59</f>
        <v>0</v>
      </c>
      <c r="N62" s="13">
        <f t="shared" si="1"/>
        <v>206500</v>
      </c>
    </row>
    <row r="63" spans="1:14" ht="12.95" customHeight="1" x14ac:dyDescent="0.2">
      <c r="A63" s="10" t="str">
        <f>'Base de Datos Pagos-Notas'!C60</f>
        <v>4</v>
      </c>
      <c r="B63" s="10" t="str">
        <f>'Base de Datos Pagos-Notas'!D60</f>
        <v>403</v>
      </c>
      <c r="C63" s="11">
        <f>'Base de Datos Pagos-Notas'!F60</f>
        <v>2248</v>
      </c>
      <c r="D63" s="10" t="str">
        <f t="shared" si="0"/>
        <v>Pago</v>
      </c>
      <c r="E63" s="11" t="str">
        <f>'Base de Datos Pagos-Notas'!L60</f>
        <v>1</v>
      </c>
      <c r="F63" s="12">
        <f>'Base de Datos Pagos-Notas'!M60</f>
        <v>176600</v>
      </c>
      <c r="G63" s="12">
        <f>'Base de Datos Pagos-Notas'!N60</f>
        <v>0</v>
      </c>
      <c r="H63" s="12">
        <f>'Base de Datos Pagos-Notas'!O60</f>
        <v>0</v>
      </c>
      <c r="I63" s="12">
        <f>'Base de Datos Pagos-Notas'!P60</f>
        <v>40000</v>
      </c>
      <c r="J63" s="12">
        <f>'Base de Datos Pagos-Notas'!Q60</f>
        <v>0</v>
      </c>
      <c r="K63" s="12">
        <f>'Base de Datos Pagos-Notas'!R60</f>
        <v>0</v>
      </c>
      <c r="L63" s="12">
        <f>'Base de Datos Pagos-Notas'!S60</f>
        <v>0</v>
      </c>
      <c r="M63" s="12">
        <f>'Base de Datos Pagos-Notas'!T60</f>
        <v>0</v>
      </c>
      <c r="N63" s="13">
        <f t="shared" si="1"/>
        <v>216600</v>
      </c>
    </row>
    <row r="64" spans="1:14" ht="12.95" customHeight="1" x14ac:dyDescent="0.2">
      <c r="A64" s="10" t="str">
        <f>'Base de Datos Pagos-Notas'!C61</f>
        <v>4</v>
      </c>
      <c r="B64" s="10" t="str">
        <f>'Base de Datos Pagos-Notas'!D61</f>
        <v>406</v>
      </c>
      <c r="C64" s="11">
        <f>'Base de Datos Pagos-Notas'!F61</f>
        <v>2251</v>
      </c>
      <c r="D64" s="10" t="str">
        <f t="shared" si="0"/>
        <v>Pago</v>
      </c>
      <c r="E64" s="11" t="str">
        <f>'Base de Datos Pagos-Notas'!L61</f>
        <v>1</v>
      </c>
      <c r="F64" s="12">
        <f>'Base de Datos Pagos-Notas'!M61</f>
        <v>191900</v>
      </c>
      <c r="G64" s="12">
        <f>'Base de Datos Pagos-Notas'!N61</f>
        <v>0</v>
      </c>
      <c r="H64" s="12">
        <f>'Base de Datos Pagos-Notas'!O61</f>
        <v>33700</v>
      </c>
      <c r="I64" s="12">
        <f>'Base de Datos Pagos-Notas'!P61</f>
        <v>40000</v>
      </c>
      <c r="J64" s="12">
        <f>'Base de Datos Pagos-Notas'!Q61</f>
        <v>0</v>
      </c>
      <c r="K64" s="12">
        <f>'Base de Datos Pagos-Notas'!R61</f>
        <v>0</v>
      </c>
      <c r="L64" s="12">
        <f>'Base de Datos Pagos-Notas'!S61</f>
        <v>0</v>
      </c>
      <c r="M64" s="12">
        <f>'Base de Datos Pagos-Notas'!T61</f>
        <v>0</v>
      </c>
      <c r="N64" s="13">
        <f t="shared" si="1"/>
        <v>265600</v>
      </c>
    </row>
    <row r="65" spans="1:14" ht="12.95" customHeight="1" x14ac:dyDescent="0.2">
      <c r="A65" s="10" t="str">
        <f>'Base de Datos Pagos-Notas'!C62</f>
        <v>4</v>
      </c>
      <c r="B65" s="10" t="str">
        <f>'Base de Datos Pagos-Notas'!D62</f>
        <v>407</v>
      </c>
      <c r="C65" s="11">
        <f>'Base de Datos Pagos-Notas'!F62</f>
        <v>2252</v>
      </c>
      <c r="D65" s="10" t="str">
        <f t="shared" si="0"/>
        <v>Pago</v>
      </c>
      <c r="E65" s="11" t="str">
        <f>'Base de Datos Pagos-Notas'!L62</f>
        <v>1</v>
      </c>
      <c r="F65" s="12">
        <f>'Base de Datos Pagos-Notas'!M62</f>
        <v>140100</v>
      </c>
      <c r="G65" s="12">
        <f>'Base de Datos Pagos-Notas'!N62</f>
        <v>0</v>
      </c>
      <c r="H65" s="12">
        <f>'Base de Datos Pagos-Notas'!O62</f>
        <v>0</v>
      </c>
      <c r="I65" s="12">
        <f>'Base de Datos Pagos-Notas'!P62</f>
        <v>40000</v>
      </c>
      <c r="J65" s="12">
        <f>'Base de Datos Pagos-Notas'!Q62</f>
        <v>0</v>
      </c>
      <c r="K65" s="12">
        <f>'Base de Datos Pagos-Notas'!R62</f>
        <v>0</v>
      </c>
      <c r="L65" s="12">
        <f>'Base de Datos Pagos-Notas'!S62</f>
        <v>0</v>
      </c>
      <c r="M65" s="12">
        <f>'Base de Datos Pagos-Notas'!T62</f>
        <v>0</v>
      </c>
      <c r="N65" s="13">
        <f t="shared" si="1"/>
        <v>180100</v>
      </c>
    </row>
    <row r="66" spans="1:14" ht="12.95" customHeight="1" x14ac:dyDescent="0.2">
      <c r="A66" s="10" t="str">
        <f>'Base de Datos Pagos-Notas'!C63</f>
        <v>4</v>
      </c>
      <c r="B66" s="10" t="str">
        <f>'Base de Datos Pagos-Notas'!D63</f>
        <v>408</v>
      </c>
      <c r="C66" s="11">
        <f>'Base de Datos Pagos-Notas'!F63</f>
        <v>2253</v>
      </c>
      <c r="D66" s="10" t="str">
        <f t="shared" si="0"/>
        <v>Pago</v>
      </c>
      <c r="E66" s="11" t="str">
        <f>'Base de Datos Pagos-Notas'!L63</f>
        <v>1</v>
      </c>
      <c r="F66" s="12">
        <f>'Base de Datos Pagos-Notas'!M63</f>
        <v>166500</v>
      </c>
      <c r="G66" s="12">
        <f>'Base de Datos Pagos-Notas'!N63</f>
        <v>0</v>
      </c>
      <c r="H66" s="12">
        <f>'Base de Datos Pagos-Notas'!O63</f>
        <v>0</v>
      </c>
      <c r="I66" s="12">
        <f>'Base de Datos Pagos-Notas'!P63</f>
        <v>40000</v>
      </c>
      <c r="J66" s="12">
        <f>'Base de Datos Pagos-Notas'!Q63</f>
        <v>0</v>
      </c>
      <c r="K66" s="12">
        <f>'Base de Datos Pagos-Notas'!R63</f>
        <v>62900</v>
      </c>
      <c r="L66" s="12">
        <f>'Base de Datos Pagos-Notas'!S63</f>
        <v>0</v>
      </c>
      <c r="M66" s="12">
        <f>'Base de Datos Pagos-Notas'!T63</f>
        <v>0</v>
      </c>
      <c r="N66" s="13">
        <f t="shared" si="1"/>
        <v>269400</v>
      </c>
    </row>
    <row r="67" spans="1:14" ht="12.95" customHeight="1" x14ac:dyDescent="0.2">
      <c r="A67" s="10" t="str">
        <f>'Base de Datos Pagos-Notas'!C64</f>
        <v>4</v>
      </c>
      <c r="B67" s="10" t="str">
        <f>'Base de Datos Pagos-Notas'!D64</f>
        <v>502</v>
      </c>
      <c r="C67" s="11">
        <f>'Base de Datos Pagos-Notas'!F64</f>
        <v>2255</v>
      </c>
      <c r="D67" s="10" t="str">
        <f t="shared" si="0"/>
        <v>Pago</v>
      </c>
      <c r="E67" s="11" t="str">
        <f>'Base de Datos Pagos-Notas'!L64</f>
        <v>1</v>
      </c>
      <c r="F67" s="12">
        <f>'Base de Datos Pagos-Notas'!M64</f>
        <v>166500</v>
      </c>
      <c r="G67" s="12">
        <f>'Base de Datos Pagos-Notas'!N64</f>
        <v>0</v>
      </c>
      <c r="H67" s="12">
        <f>'Base de Datos Pagos-Notas'!O64</f>
        <v>0</v>
      </c>
      <c r="I67" s="12">
        <f>'Base de Datos Pagos-Notas'!P64</f>
        <v>40000</v>
      </c>
      <c r="J67" s="12">
        <f>'Base de Datos Pagos-Notas'!Q64</f>
        <v>0</v>
      </c>
      <c r="K67" s="12">
        <f>'Base de Datos Pagos-Notas'!R64</f>
        <v>0</v>
      </c>
      <c r="L67" s="12">
        <f>'Base de Datos Pagos-Notas'!S64</f>
        <v>0</v>
      </c>
      <c r="M67" s="12">
        <f>'Base de Datos Pagos-Notas'!T64</f>
        <v>0</v>
      </c>
      <c r="N67" s="13">
        <f t="shared" si="1"/>
        <v>206500</v>
      </c>
    </row>
    <row r="68" spans="1:14" ht="12.95" customHeight="1" x14ac:dyDescent="0.2">
      <c r="A68" s="10" t="str">
        <f>'Base de Datos Pagos-Notas'!C65</f>
        <v>4</v>
      </c>
      <c r="B68" s="10" t="str">
        <f>'Base de Datos Pagos-Notas'!D65</f>
        <v>503</v>
      </c>
      <c r="C68" s="11">
        <f>'Base de Datos Pagos-Notas'!F65</f>
        <v>2256</v>
      </c>
      <c r="D68" s="10" t="str">
        <f t="shared" si="0"/>
        <v>Pago</v>
      </c>
      <c r="E68" s="11" t="str">
        <f>'Base de Datos Pagos-Notas'!L65</f>
        <v>1</v>
      </c>
      <c r="F68" s="12">
        <f>'Base de Datos Pagos-Notas'!M65</f>
        <v>210000</v>
      </c>
      <c r="G68" s="12">
        <f>'Base de Datos Pagos-Notas'!N65</f>
        <v>0</v>
      </c>
      <c r="H68" s="12">
        <f>'Base de Datos Pagos-Notas'!O65</f>
        <v>0</v>
      </c>
      <c r="I68" s="12">
        <f>'Base de Datos Pagos-Notas'!P65</f>
        <v>40000</v>
      </c>
      <c r="J68" s="12">
        <f>'Base de Datos Pagos-Notas'!Q65</f>
        <v>0</v>
      </c>
      <c r="K68" s="12">
        <f>'Base de Datos Pagos-Notas'!R65</f>
        <v>0</v>
      </c>
      <c r="L68" s="12">
        <f>'Base de Datos Pagos-Notas'!S65</f>
        <v>0</v>
      </c>
      <c r="M68" s="12">
        <f>'Base de Datos Pagos-Notas'!T65</f>
        <v>0</v>
      </c>
      <c r="N68" s="13">
        <f t="shared" si="1"/>
        <v>250000</v>
      </c>
    </row>
    <row r="69" spans="1:14" ht="12.95" customHeight="1" x14ac:dyDescent="0.2">
      <c r="A69" s="10" t="str">
        <f>'Base de Datos Pagos-Notas'!C66</f>
        <v>4</v>
      </c>
      <c r="B69" s="10" t="str">
        <f>'Base de Datos Pagos-Notas'!D66</f>
        <v>504</v>
      </c>
      <c r="C69" s="11">
        <f>'Base de Datos Pagos-Notas'!F66</f>
        <v>2257</v>
      </c>
      <c r="D69" s="10" t="str">
        <f t="shared" ref="D69:D132" si="2">IF(E69="1","Pago","Nota Crédito")</f>
        <v>Pago</v>
      </c>
      <c r="E69" s="11" t="str">
        <f>'Base de Datos Pagos-Notas'!L66</f>
        <v>1</v>
      </c>
      <c r="F69" s="12">
        <f>'Base de Datos Pagos-Notas'!M66</f>
        <v>149960</v>
      </c>
      <c r="G69" s="12">
        <f>'Base de Datos Pagos-Notas'!N66</f>
        <v>1940</v>
      </c>
      <c r="H69" s="12">
        <f>'Base de Datos Pagos-Notas'!O66</f>
        <v>33700</v>
      </c>
      <c r="I69" s="12">
        <f>'Base de Datos Pagos-Notas'!P66</f>
        <v>40000</v>
      </c>
      <c r="J69" s="12">
        <f>'Base de Datos Pagos-Notas'!Q66</f>
        <v>0</v>
      </c>
      <c r="K69" s="12">
        <f>'Base de Datos Pagos-Notas'!R66</f>
        <v>0</v>
      </c>
      <c r="L69" s="12">
        <f>'Base de Datos Pagos-Notas'!S66</f>
        <v>0</v>
      </c>
      <c r="M69" s="12">
        <f>'Base de Datos Pagos-Notas'!T66</f>
        <v>0</v>
      </c>
      <c r="N69" s="13">
        <f t="shared" ref="N69:N132" si="3">SUM(F69:M69)</f>
        <v>225600</v>
      </c>
    </row>
    <row r="70" spans="1:14" ht="12.95" customHeight="1" x14ac:dyDescent="0.2">
      <c r="A70" s="10" t="str">
        <f>'Base de Datos Pagos-Notas'!C67</f>
        <v>4</v>
      </c>
      <c r="B70" s="10" t="str">
        <f>'Base de Datos Pagos-Notas'!D67</f>
        <v>507</v>
      </c>
      <c r="C70" s="11">
        <f>'Base de Datos Pagos-Notas'!F67</f>
        <v>2260</v>
      </c>
      <c r="D70" s="10" t="str">
        <f t="shared" si="2"/>
        <v>Pago</v>
      </c>
      <c r="E70" s="11" t="str">
        <f>'Base de Datos Pagos-Notas'!L67</f>
        <v>1</v>
      </c>
      <c r="F70" s="12">
        <f>'Base de Datos Pagos-Notas'!M67</f>
        <v>140100</v>
      </c>
      <c r="G70" s="12">
        <f>'Base de Datos Pagos-Notas'!N67</f>
        <v>0</v>
      </c>
      <c r="H70" s="12">
        <f>'Base de Datos Pagos-Notas'!O67</f>
        <v>0</v>
      </c>
      <c r="I70" s="12">
        <f>'Base de Datos Pagos-Notas'!P67</f>
        <v>40000</v>
      </c>
      <c r="J70" s="12">
        <f>'Base de Datos Pagos-Notas'!Q67</f>
        <v>0</v>
      </c>
      <c r="K70" s="12">
        <f>'Base de Datos Pagos-Notas'!R67</f>
        <v>0</v>
      </c>
      <c r="L70" s="12">
        <f>'Base de Datos Pagos-Notas'!S67</f>
        <v>0</v>
      </c>
      <c r="M70" s="12">
        <f>'Base de Datos Pagos-Notas'!T67</f>
        <v>0</v>
      </c>
      <c r="N70" s="13">
        <f t="shared" si="3"/>
        <v>180100</v>
      </c>
    </row>
    <row r="71" spans="1:14" ht="12.95" customHeight="1" x14ac:dyDescent="0.2">
      <c r="A71" s="10" t="str">
        <f>'Base de Datos Pagos-Notas'!C68</f>
        <v>4</v>
      </c>
      <c r="B71" s="10" t="str">
        <f>'Base de Datos Pagos-Notas'!D68</f>
        <v>508</v>
      </c>
      <c r="C71" s="11">
        <f>'Base de Datos Pagos-Notas'!F68</f>
        <v>2261</v>
      </c>
      <c r="D71" s="10" t="str">
        <f t="shared" si="2"/>
        <v>Pago</v>
      </c>
      <c r="E71" s="11" t="str">
        <f>'Base de Datos Pagos-Notas'!L68</f>
        <v>1</v>
      </c>
      <c r="F71" s="12">
        <f>'Base de Datos Pagos-Notas'!M68</f>
        <v>166500</v>
      </c>
      <c r="G71" s="12">
        <f>'Base de Datos Pagos-Notas'!N68</f>
        <v>0</v>
      </c>
      <c r="H71" s="12">
        <f>'Base de Datos Pagos-Notas'!O68</f>
        <v>33700</v>
      </c>
      <c r="I71" s="12">
        <f>'Base de Datos Pagos-Notas'!P68</f>
        <v>40000</v>
      </c>
      <c r="J71" s="12">
        <f>'Base de Datos Pagos-Notas'!Q68</f>
        <v>0</v>
      </c>
      <c r="K71" s="12">
        <f>'Base de Datos Pagos-Notas'!R68</f>
        <v>0</v>
      </c>
      <c r="L71" s="12">
        <f>'Base de Datos Pagos-Notas'!S68</f>
        <v>0</v>
      </c>
      <c r="M71" s="12">
        <f>'Base de Datos Pagos-Notas'!T68</f>
        <v>0</v>
      </c>
      <c r="N71" s="13">
        <f t="shared" si="3"/>
        <v>240200</v>
      </c>
    </row>
    <row r="72" spans="1:14" ht="12.95" customHeight="1" x14ac:dyDescent="0.2">
      <c r="A72" s="10" t="str">
        <f>'Base de Datos Pagos-Notas'!C69</f>
        <v>B1</v>
      </c>
      <c r="B72" s="10" t="str">
        <f>'Base de Datos Pagos-Notas'!D69</f>
        <v>301</v>
      </c>
      <c r="C72" s="11">
        <f>'Base de Datos Pagos-Notas'!F69</f>
        <v>2263</v>
      </c>
      <c r="D72" s="10" t="str">
        <f t="shared" si="2"/>
        <v>Pago</v>
      </c>
      <c r="E72" s="11" t="str">
        <f>'Base de Datos Pagos-Notas'!L69</f>
        <v>1</v>
      </c>
      <c r="F72" s="12">
        <f>'Base de Datos Pagos-Notas'!M69</f>
        <v>0</v>
      </c>
      <c r="G72" s="12">
        <f>'Base de Datos Pagos-Notas'!N69</f>
        <v>0</v>
      </c>
      <c r="H72" s="12">
        <f>'Base de Datos Pagos-Notas'!O69</f>
        <v>0</v>
      </c>
      <c r="I72" s="12">
        <f>'Base de Datos Pagos-Notas'!P69</f>
        <v>0</v>
      </c>
      <c r="J72" s="12">
        <f>'Base de Datos Pagos-Notas'!Q69</f>
        <v>0</v>
      </c>
      <c r="K72" s="12">
        <f>'Base de Datos Pagos-Notas'!R69</f>
        <v>0</v>
      </c>
      <c r="L72" s="12">
        <f>'Base de Datos Pagos-Notas'!S69</f>
        <v>0</v>
      </c>
      <c r="M72" s="12">
        <f>'Base de Datos Pagos-Notas'!T69</f>
        <v>100000</v>
      </c>
      <c r="N72" s="13">
        <f t="shared" si="3"/>
        <v>100000</v>
      </c>
    </row>
    <row r="73" spans="1:14" ht="12.95" customHeight="1" x14ac:dyDescent="0.2">
      <c r="A73" s="10">
        <f>'Base de Datos Pagos-Notas'!C70</f>
        <v>0</v>
      </c>
      <c r="B73" s="10">
        <f>'Base de Datos Pagos-Notas'!D70</f>
        <v>0</v>
      </c>
      <c r="C73" s="11">
        <f>'Base de Datos Pagos-Notas'!F70</f>
        <v>0</v>
      </c>
      <c r="D73" s="10" t="str">
        <f t="shared" si="2"/>
        <v>Nota Crédito</v>
      </c>
      <c r="E73" s="11">
        <f>'Base de Datos Pagos-Notas'!L70</f>
        <v>0</v>
      </c>
      <c r="F73" s="12">
        <f>'Base de Datos Pagos-Notas'!M70</f>
        <v>0</v>
      </c>
      <c r="G73" s="12">
        <f>'Base de Datos Pagos-Notas'!N70</f>
        <v>0</v>
      </c>
      <c r="H73" s="12">
        <f>'Base de Datos Pagos-Notas'!O70</f>
        <v>0</v>
      </c>
      <c r="I73" s="12">
        <f>'Base de Datos Pagos-Notas'!P70</f>
        <v>0</v>
      </c>
      <c r="J73" s="12">
        <f>'Base de Datos Pagos-Notas'!Q70</f>
        <v>0</v>
      </c>
      <c r="K73" s="12">
        <f>'Base de Datos Pagos-Notas'!R70</f>
        <v>0</v>
      </c>
      <c r="L73" s="12">
        <f>'Base de Datos Pagos-Notas'!S70</f>
        <v>0</v>
      </c>
      <c r="M73" s="12">
        <f>'Base de Datos Pagos-Notas'!T70</f>
        <v>0</v>
      </c>
      <c r="N73" s="13">
        <f t="shared" si="3"/>
        <v>0</v>
      </c>
    </row>
    <row r="74" spans="1:14" ht="12.95" customHeight="1" x14ac:dyDescent="0.2">
      <c r="A74" s="10">
        <f>'Base de Datos Pagos-Notas'!C71</f>
        <v>0</v>
      </c>
      <c r="B74" s="10">
        <f>'Base de Datos Pagos-Notas'!D71</f>
        <v>0</v>
      </c>
      <c r="C74" s="11">
        <f>'Base de Datos Pagos-Notas'!F71</f>
        <v>0</v>
      </c>
      <c r="D74" s="10" t="str">
        <f t="shared" si="2"/>
        <v>Nota Crédito</v>
      </c>
      <c r="E74" s="11">
        <f>'Base de Datos Pagos-Notas'!L71</f>
        <v>0</v>
      </c>
      <c r="F74" s="12">
        <f>'Base de Datos Pagos-Notas'!M71</f>
        <v>0</v>
      </c>
      <c r="G74" s="12">
        <f>'Base de Datos Pagos-Notas'!N71</f>
        <v>0</v>
      </c>
      <c r="H74" s="12">
        <f>'Base de Datos Pagos-Notas'!O71</f>
        <v>0</v>
      </c>
      <c r="I74" s="12">
        <f>'Base de Datos Pagos-Notas'!P71</f>
        <v>0</v>
      </c>
      <c r="J74" s="12">
        <f>'Base de Datos Pagos-Notas'!Q71</f>
        <v>0</v>
      </c>
      <c r="K74" s="12">
        <f>'Base de Datos Pagos-Notas'!R71</f>
        <v>0</v>
      </c>
      <c r="L74" s="12">
        <f>'Base de Datos Pagos-Notas'!S71</f>
        <v>0</v>
      </c>
      <c r="M74" s="12">
        <f>'Base de Datos Pagos-Notas'!T71</f>
        <v>0</v>
      </c>
      <c r="N74" s="13">
        <f t="shared" si="3"/>
        <v>0</v>
      </c>
    </row>
    <row r="75" spans="1:14" ht="12.95" customHeight="1" x14ac:dyDescent="0.2">
      <c r="A75" s="10">
        <f>'Base de Datos Pagos-Notas'!C72</f>
        <v>0</v>
      </c>
      <c r="B75" s="10">
        <f>'Base de Datos Pagos-Notas'!D72</f>
        <v>0</v>
      </c>
      <c r="C75" s="11">
        <f>'Base de Datos Pagos-Notas'!F72</f>
        <v>0</v>
      </c>
      <c r="D75" s="10" t="str">
        <f t="shared" si="2"/>
        <v>Nota Crédito</v>
      </c>
      <c r="E75" s="11">
        <f>'Base de Datos Pagos-Notas'!L72</f>
        <v>0</v>
      </c>
      <c r="F75" s="12">
        <f>'Base de Datos Pagos-Notas'!M72</f>
        <v>0</v>
      </c>
      <c r="G75" s="12">
        <f>'Base de Datos Pagos-Notas'!N72</f>
        <v>0</v>
      </c>
      <c r="H75" s="12">
        <f>'Base de Datos Pagos-Notas'!O72</f>
        <v>0</v>
      </c>
      <c r="I75" s="12">
        <f>'Base de Datos Pagos-Notas'!P72</f>
        <v>0</v>
      </c>
      <c r="J75" s="12">
        <f>'Base de Datos Pagos-Notas'!Q72</f>
        <v>0</v>
      </c>
      <c r="K75" s="12">
        <f>'Base de Datos Pagos-Notas'!R72</f>
        <v>0</v>
      </c>
      <c r="L75" s="12">
        <f>'Base de Datos Pagos-Notas'!S72</f>
        <v>0</v>
      </c>
      <c r="M75" s="12">
        <f>'Base de Datos Pagos-Notas'!T72</f>
        <v>0</v>
      </c>
      <c r="N75" s="13">
        <f t="shared" si="3"/>
        <v>0</v>
      </c>
    </row>
    <row r="76" spans="1:14" ht="12.95" customHeight="1" x14ac:dyDescent="0.2">
      <c r="A76" s="10">
        <f>'Base de Datos Pagos-Notas'!C73</f>
        <v>0</v>
      </c>
      <c r="B76" s="10">
        <f>'Base de Datos Pagos-Notas'!D73</f>
        <v>0</v>
      </c>
      <c r="C76" s="11">
        <f>'Base de Datos Pagos-Notas'!F73</f>
        <v>0</v>
      </c>
      <c r="D76" s="10" t="str">
        <f t="shared" si="2"/>
        <v>Nota Crédito</v>
      </c>
      <c r="E76" s="11">
        <f>'Base de Datos Pagos-Notas'!L73</f>
        <v>0</v>
      </c>
      <c r="F76" s="12">
        <f>'Base de Datos Pagos-Notas'!M73</f>
        <v>0</v>
      </c>
      <c r="G76" s="12">
        <f>'Base de Datos Pagos-Notas'!N73</f>
        <v>0</v>
      </c>
      <c r="H76" s="12">
        <f>'Base de Datos Pagos-Notas'!O73</f>
        <v>0</v>
      </c>
      <c r="I76" s="12">
        <f>'Base de Datos Pagos-Notas'!P73</f>
        <v>0</v>
      </c>
      <c r="J76" s="12">
        <f>'Base de Datos Pagos-Notas'!Q73</f>
        <v>0</v>
      </c>
      <c r="K76" s="12">
        <f>'Base de Datos Pagos-Notas'!R73</f>
        <v>0</v>
      </c>
      <c r="L76" s="12">
        <f>'Base de Datos Pagos-Notas'!S73</f>
        <v>0</v>
      </c>
      <c r="M76" s="12">
        <f>'Base de Datos Pagos-Notas'!T73</f>
        <v>0</v>
      </c>
      <c r="N76" s="13">
        <f t="shared" si="3"/>
        <v>0</v>
      </c>
    </row>
    <row r="77" spans="1:14" ht="12.95" customHeight="1" x14ac:dyDescent="0.2">
      <c r="A77" s="10">
        <f>'Base de Datos Pagos-Notas'!C74</f>
        <v>0</v>
      </c>
      <c r="B77" s="10">
        <f>'Base de Datos Pagos-Notas'!D74</f>
        <v>0</v>
      </c>
      <c r="C77" s="11">
        <f>'Base de Datos Pagos-Notas'!F74</f>
        <v>0</v>
      </c>
      <c r="D77" s="10" t="str">
        <f t="shared" si="2"/>
        <v>Nota Crédito</v>
      </c>
      <c r="E77" s="11">
        <f>'Base de Datos Pagos-Notas'!L74</f>
        <v>0</v>
      </c>
      <c r="F77" s="12">
        <f>'Base de Datos Pagos-Notas'!M74</f>
        <v>0</v>
      </c>
      <c r="G77" s="12">
        <f>'Base de Datos Pagos-Notas'!N74</f>
        <v>0</v>
      </c>
      <c r="H77" s="12">
        <f>'Base de Datos Pagos-Notas'!O74</f>
        <v>0</v>
      </c>
      <c r="I77" s="12">
        <f>'Base de Datos Pagos-Notas'!P74</f>
        <v>0</v>
      </c>
      <c r="J77" s="12">
        <f>'Base de Datos Pagos-Notas'!Q74</f>
        <v>0</v>
      </c>
      <c r="K77" s="12">
        <f>'Base de Datos Pagos-Notas'!R74</f>
        <v>0</v>
      </c>
      <c r="L77" s="12">
        <f>'Base de Datos Pagos-Notas'!S74</f>
        <v>0</v>
      </c>
      <c r="M77" s="12">
        <f>'Base de Datos Pagos-Notas'!T74</f>
        <v>0</v>
      </c>
      <c r="N77" s="13">
        <f t="shared" si="3"/>
        <v>0</v>
      </c>
    </row>
    <row r="78" spans="1:14" ht="12.95" customHeight="1" x14ac:dyDescent="0.2">
      <c r="A78" s="10">
        <f>'Base de Datos Pagos-Notas'!C75</f>
        <v>0</v>
      </c>
      <c r="B78" s="10">
        <f>'Base de Datos Pagos-Notas'!D75</f>
        <v>0</v>
      </c>
      <c r="C78" s="11">
        <f>'Base de Datos Pagos-Notas'!F75</f>
        <v>0</v>
      </c>
      <c r="D78" s="10" t="str">
        <f t="shared" si="2"/>
        <v>Nota Crédito</v>
      </c>
      <c r="E78" s="11">
        <f>'Base de Datos Pagos-Notas'!L75</f>
        <v>0</v>
      </c>
      <c r="F78" s="12">
        <f>'Base de Datos Pagos-Notas'!M75</f>
        <v>0</v>
      </c>
      <c r="G78" s="12">
        <f>'Base de Datos Pagos-Notas'!N75</f>
        <v>0</v>
      </c>
      <c r="H78" s="12">
        <f>'Base de Datos Pagos-Notas'!O75</f>
        <v>0</v>
      </c>
      <c r="I78" s="12">
        <f>'Base de Datos Pagos-Notas'!P75</f>
        <v>0</v>
      </c>
      <c r="J78" s="12">
        <f>'Base de Datos Pagos-Notas'!Q75</f>
        <v>0</v>
      </c>
      <c r="K78" s="12">
        <f>'Base de Datos Pagos-Notas'!R75</f>
        <v>0</v>
      </c>
      <c r="L78" s="12">
        <f>'Base de Datos Pagos-Notas'!S75</f>
        <v>0</v>
      </c>
      <c r="M78" s="12">
        <f>'Base de Datos Pagos-Notas'!T75</f>
        <v>0</v>
      </c>
      <c r="N78" s="13">
        <f t="shared" si="3"/>
        <v>0</v>
      </c>
    </row>
    <row r="79" spans="1:14" ht="12.95" customHeight="1" x14ac:dyDescent="0.2">
      <c r="A79" s="10">
        <f>'Base de Datos Pagos-Notas'!C76</f>
        <v>0</v>
      </c>
      <c r="B79" s="10">
        <f>'Base de Datos Pagos-Notas'!D76</f>
        <v>0</v>
      </c>
      <c r="C79" s="11">
        <f>'Base de Datos Pagos-Notas'!F76</f>
        <v>0</v>
      </c>
      <c r="D79" s="10" t="str">
        <f t="shared" si="2"/>
        <v>Nota Crédito</v>
      </c>
      <c r="E79" s="11">
        <f>'Base de Datos Pagos-Notas'!L76</f>
        <v>0</v>
      </c>
      <c r="F79" s="12">
        <f>'Base de Datos Pagos-Notas'!M76</f>
        <v>0</v>
      </c>
      <c r="G79" s="12">
        <f>'Base de Datos Pagos-Notas'!N76</f>
        <v>0</v>
      </c>
      <c r="H79" s="12">
        <f>'Base de Datos Pagos-Notas'!O76</f>
        <v>0</v>
      </c>
      <c r="I79" s="12">
        <f>'Base de Datos Pagos-Notas'!P76</f>
        <v>0</v>
      </c>
      <c r="J79" s="12">
        <f>'Base de Datos Pagos-Notas'!Q76</f>
        <v>0</v>
      </c>
      <c r="K79" s="12">
        <f>'Base de Datos Pagos-Notas'!R76</f>
        <v>0</v>
      </c>
      <c r="L79" s="12">
        <f>'Base de Datos Pagos-Notas'!S76</f>
        <v>0</v>
      </c>
      <c r="M79" s="12">
        <f>'Base de Datos Pagos-Notas'!T76</f>
        <v>0</v>
      </c>
      <c r="N79" s="13">
        <f t="shared" si="3"/>
        <v>0</v>
      </c>
    </row>
    <row r="80" spans="1:14" ht="12.95" customHeight="1" x14ac:dyDescent="0.2">
      <c r="A80" s="10">
        <f>'Base de Datos Pagos-Notas'!C77</f>
        <v>0</v>
      </c>
      <c r="B80" s="10">
        <f>'Base de Datos Pagos-Notas'!D77</f>
        <v>0</v>
      </c>
      <c r="C80" s="11">
        <f>'Base de Datos Pagos-Notas'!F77</f>
        <v>0</v>
      </c>
      <c r="D80" s="10" t="str">
        <f t="shared" si="2"/>
        <v>Nota Crédito</v>
      </c>
      <c r="E80" s="11">
        <f>'Base de Datos Pagos-Notas'!L77</f>
        <v>0</v>
      </c>
      <c r="F80" s="12">
        <f>'Base de Datos Pagos-Notas'!M77</f>
        <v>0</v>
      </c>
      <c r="G80" s="12">
        <f>'Base de Datos Pagos-Notas'!N77</f>
        <v>0</v>
      </c>
      <c r="H80" s="12">
        <f>'Base de Datos Pagos-Notas'!O77</f>
        <v>0</v>
      </c>
      <c r="I80" s="12">
        <f>'Base de Datos Pagos-Notas'!P77</f>
        <v>0</v>
      </c>
      <c r="J80" s="12">
        <f>'Base de Datos Pagos-Notas'!Q77</f>
        <v>0</v>
      </c>
      <c r="K80" s="12">
        <f>'Base de Datos Pagos-Notas'!R77</f>
        <v>0</v>
      </c>
      <c r="L80" s="12">
        <f>'Base de Datos Pagos-Notas'!S77</f>
        <v>0</v>
      </c>
      <c r="M80" s="12">
        <f>'Base de Datos Pagos-Notas'!T77</f>
        <v>0</v>
      </c>
      <c r="N80" s="13">
        <f t="shared" si="3"/>
        <v>0</v>
      </c>
    </row>
    <row r="81" spans="1:14" ht="12.95" customHeight="1" x14ac:dyDescent="0.2">
      <c r="A81" s="10">
        <f>'Base de Datos Pagos-Notas'!C78</f>
        <v>0</v>
      </c>
      <c r="B81" s="10">
        <f>'Base de Datos Pagos-Notas'!D78</f>
        <v>0</v>
      </c>
      <c r="C81" s="11">
        <f>'Base de Datos Pagos-Notas'!F78</f>
        <v>0</v>
      </c>
      <c r="D81" s="10" t="str">
        <f t="shared" si="2"/>
        <v>Nota Crédito</v>
      </c>
      <c r="E81" s="11">
        <f>'Base de Datos Pagos-Notas'!L78</f>
        <v>0</v>
      </c>
      <c r="F81" s="12">
        <f>'Base de Datos Pagos-Notas'!M78</f>
        <v>0</v>
      </c>
      <c r="G81" s="12">
        <f>'Base de Datos Pagos-Notas'!N78</f>
        <v>0</v>
      </c>
      <c r="H81" s="12">
        <f>'Base de Datos Pagos-Notas'!O78</f>
        <v>0</v>
      </c>
      <c r="I81" s="12">
        <f>'Base de Datos Pagos-Notas'!P78</f>
        <v>0</v>
      </c>
      <c r="J81" s="12">
        <f>'Base de Datos Pagos-Notas'!Q78</f>
        <v>0</v>
      </c>
      <c r="K81" s="12">
        <f>'Base de Datos Pagos-Notas'!R78</f>
        <v>0</v>
      </c>
      <c r="L81" s="12">
        <f>'Base de Datos Pagos-Notas'!S78</f>
        <v>0</v>
      </c>
      <c r="M81" s="12">
        <f>'Base de Datos Pagos-Notas'!T78</f>
        <v>0</v>
      </c>
      <c r="N81" s="13">
        <f t="shared" si="3"/>
        <v>0</v>
      </c>
    </row>
    <row r="82" spans="1:14" ht="12.95" customHeight="1" x14ac:dyDescent="0.2">
      <c r="A82" s="10">
        <f>'Base de Datos Pagos-Notas'!C79</f>
        <v>0</v>
      </c>
      <c r="B82" s="10">
        <f>'Base de Datos Pagos-Notas'!D79</f>
        <v>0</v>
      </c>
      <c r="C82" s="11">
        <f>'Base de Datos Pagos-Notas'!F79</f>
        <v>0</v>
      </c>
      <c r="D82" s="10" t="str">
        <f t="shared" si="2"/>
        <v>Nota Crédito</v>
      </c>
      <c r="E82" s="11">
        <f>'Base de Datos Pagos-Notas'!L79</f>
        <v>0</v>
      </c>
      <c r="F82" s="12">
        <f>'Base de Datos Pagos-Notas'!M79</f>
        <v>0</v>
      </c>
      <c r="G82" s="12">
        <f>'Base de Datos Pagos-Notas'!N79</f>
        <v>0</v>
      </c>
      <c r="H82" s="12">
        <f>'Base de Datos Pagos-Notas'!O79</f>
        <v>0</v>
      </c>
      <c r="I82" s="12">
        <f>'Base de Datos Pagos-Notas'!P79</f>
        <v>0</v>
      </c>
      <c r="J82" s="12">
        <f>'Base de Datos Pagos-Notas'!Q79</f>
        <v>0</v>
      </c>
      <c r="K82" s="12">
        <f>'Base de Datos Pagos-Notas'!R79</f>
        <v>0</v>
      </c>
      <c r="L82" s="12">
        <f>'Base de Datos Pagos-Notas'!S79</f>
        <v>0</v>
      </c>
      <c r="M82" s="12">
        <f>'Base de Datos Pagos-Notas'!T79</f>
        <v>0</v>
      </c>
      <c r="N82" s="13">
        <f t="shared" si="3"/>
        <v>0</v>
      </c>
    </row>
    <row r="83" spans="1:14" ht="12.95" customHeight="1" x14ac:dyDescent="0.2">
      <c r="A83" s="10">
        <f>'Base de Datos Pagos-Notas'!C80</f>
        <v>0</v>
      </c>
      <c r="B83" s="10">
        <f>'Base de Datos Pagos-Notas'!D80</f>
        <v>0</v>
      </c>
      <c r="C83" s="11">
        <f>'Base de Datos Pagos-Notas'!F80</f>
        <v>0</v>
      </c>
      <c r="D83" s="10" t="str">
        <f t="shared" si="2"/>
        <v>Nota Crédito</v>
      </c>
      <c r="E83" s="11">
        <f>'Base de Datos Pagos-Notas'!L80</f>
        <v>0</v>
      </c>
      <c r="F83" s="12">
        <f>'Base de Datos Pagos-Notas'!M80</f>
        <v>0</v>
      </c>
      <c r="G83" s="12">
        <f>'Base de Datos Pagos-Notas'!N80</f>
        <v>0</v>
      </c>
      <c r="H83" s="12">
        <f>'Base de Datos Pagos-Notas'!O80</f>
        <v>0</v>
      </c>
      <c r="I83" s="12">
        <f>'Base de Datos Pagos-Notas'!P80</f>
        <v>0</v>
      </c>
      <c r="J83" s="12">
        <f>'Base de Datos Pagos-Notas'!Q80</f>
        <v>0</v>
      </c>
      <c r="K83" s="12">
        <f>'Base de Datos Pagos-Notas'!R80</f>
        <v>0</v>
      </c>
      <c r="L83" s="12">
        <f>'Base de Datos Pagos-Notas'!S80</f>
        <v>0</v>
      </c>
      <c r="M83" s="12">
        <f>'Base de Datos Pagos-Notas'!T80</f>
        <v>0</v>
      </c>
      <c r="N83" s="13">
        <f t="shared" si="3"/>
        <v>0</v>
      </c>
    </row>
    <row r="84" spans="1:14" ht="12.95" customHeight="1" x14ac:dyDescent="0.2">
      <c r="A84" s="10">
        <f>'Base de Datos Pagos-Notas'!C81</f>
        <v>0</v>
      </c>
      <c r="B84" s="10">
        <f>'Base de Datos Pagos-Notas'!D81</f>
        <v>0</v>
      </c>
      <c r="C84" s="11">
        <f>'Base de Datos Pagos-Notas'!F81</f>
        <v>0</v>
      </c>
      <c r="D84" s="10" t="str">
        <f t="shared" si="2"/>
        <v>Nota Crédito</v>
      </c>
      <c r="E84" s="11">
        <f>'Base de Datos Pagos-Notas'!L81</f>
        <v>0</v>
      </c>
      <c r="F84" s="12">
        <f>'Base de Datos Pagos-Notas'!M81</f>
        <v>0</v>
      </c>
      <c r="G84" s="12">
        <f>'Base de Datos Pagos-Notas'!N81</f>
        <v>0</v>
      </c>
      <c r="H84" s="12">
        <f>'Base de Datos Pagos-Notas'!O81</f>
        <v>0</v>
      </c>
      <c r="I84" s="12">
        <f>'Base de Datos Pagos-Notas'!P81</f>
        <v>0</v>
      </c>
      <c r="J84" s="12">
        <f>'Base de Datos Pagos-Notas'!Q81</f>
        <v>0</v>
      </c>
      <c r="K84" s="12">
        <f>'Base de Datos Pagos-Notas'!R81</f>
        <v>0</v>
      </c>
      <c r="L84" s="12">
        <f>'Base de Datos Pagos-Notas'!S81</f>
        <v>0</v>
      </c>
      <c r="M84" s="12">
        <f>'Base de Datos Pagos-Notas'!T81</f>
        <v>0</v>
      </c>
      <c r="N84" s="13">
        <f t="shared" si="3"/>
        <v>0</v>
      </c>
    </row>
    <row r="85" spans="1:14" ht="12.95" customHeight="1" x14ac:dyDescent="0.2">
      <c r="A85" s="10">
        <f>'Base de Datos Pagos-Notas'!C82</f>
        <v>0</v>
      </c>
      <c r="B85" s="10">
        <f>'Base de Datos Pagos-Notas'!D82</f>
        <v>0</v>
      </c>
      <c r="C85" s="11">
        <f>'Base de Datos Pagos-Notas'!F82</f>
        <v>0</v>
      </c>
      <c r="D85" s="10" t="str">
        <f t="shared" si="2"/>
        <v>Nota Crédito</v>
      </c>
      <c r="E85" s="11">
        <f>'Base de Datos Pagos-Notas'!L82</f>
        <v>0</v>
      </c>
      <c r="F85" s="12">
        <f>'Base de Datos Pagos-Notas'!M82</f>
        <v>0</v>
      </c>
      <c r="G85" s="12">
        <f>'Base de Datos Pagos-Notas'!N82</f>
        <v>0</v>
      </c>
      <c r="H85" s="12">
        <f>'Base de Datos Pagos-Notas'!O82</f>
        <v>0</v>
      </c>
      <c r="I85" s="12">
        <f>'Base de Datos Pagos-Notas'!P82</f>
        <v>0</v>
      </c>
      <c r="J85" s="12">
        <f>'Base de Datos Pagos-Notas'!Q82</f>
        <v>0</v>
      </c>
      <c r="K85" s="12">
        <f>'Base de Datos Pagos-Notas'!R82</f>
        <v>0</v>
      </c>
      <c r="L85" s="12">
        <f>'Base de Datos Pagos-Notas'!S82</f>
        <v>0</v>
      </c>
      <c r="M85" s="12">
        <f>'Base de Datos Pagos-Notas'!T82</f>
        <v>0</v>
      </c>
      <c r="N85" s="13">
        <f t="shared" si="3"/>
        <v>0</v>
      </c>
    </row>
    <row r="86" spans="1:14" ht="12.95" customHeight="1" x14ac:dyDescent="0.2">
      <c r="A86" s="10">
        <f>'Base de Datos Pagos-Notas'!C83</f>
        <v>0</v>
      </c>
      <c r="B86" s="10">
        <f>'Base de Datos Pagos-Notas'!D83</f>
        <v>0</v>
      </c>
      <c r="C86" s="11">
        <f>'Base de Datos Pagos-Notas'!F83</f>
        <v>0</v>
      </c>
      <c r="D86" s="10" t="str">
        <f t="shared" si="2"/>
        <v>Nota Crédito</v>
      </c>
      <c r="E86" s="11">
        <f>'Base de Datos Pagos-Notas'!L83</f>
        <v>0</v>
      </c>
      <c r="F86" s="12">
        <f>'Base de Datos Pagos-Notas'!M83</f>
        <v>0</v>
      </c>
      <c r="G86" s="12">
        <f>'Base de Datos Pagos-Notas'!N83</f>
        <v>0</v>
      </c>
      <c r="H86" s="12">
        <f>'Base de Datos Pagos-Notas'!O83</f>
        <v>0</v>
      </c>
      <c r="I86" s="12">
        <f>'Base de Datos Pagos-Notas'!P83</f>
        <v>0</v>
      </c>
      <c r="J86" s="12">
        <f>'Base de Datos Pagos-Notas'!Q83</f>
        <v>0</v>
      </c>
      <c r="K86" s="12">
        <f>'Base de Datos Pagos-Notas'!R83</f>
        <v>0</v>
      </c>
      <c r="L86" s="12">
        <f>'Base de Datos Pagos-Notas'!S83</f>
        <v>0</v>
      </c>
      <c r="M86" s="12">
        <f>'Base de Datos Pagos-Notas'!T83</f>
        <v>0</v>
      </c>
      <c r="N86" s="13">
        <f t="shared" si="3"/>
        <v>0</v>
      </c>
    </row>
    <row r="87" spans="1:14" ht="12.95" customHeight="1" x14ac:dyDescent="0.2">
      <c r="A87" s="10">
        <f>'Base de Datos Pagos-Notas'!C84</f>
        <v>0</v>
      </c>
      <c r="B87" s="10">
        <f>'Base de Datos Pagos-Notas'!D84</f>
        <v>0</v>
      </c>
      <c r="C87" s="11">
        <f>'Base de Datos Pagos-Notas'!F84</f>
        <v>0</v>
      </c>
      <c r="D87" s="10" t="str">
        <f t="shared" si="2"/>
        <v>Nota Crédito</v>
      </c>
      <c r="E87" s="11">
        <f>'Base de Datos Pagos-Notas'!L84</f>
        <v>0</v>
      </c>
      <c r="F87" s="12">
        <f>'Base de Datos Pagos-Notas'!M84</f>
        <v>0</v>
      </c>
      <c r="G87" s="12">
        <f>'Base de Datos Pagos-Notas'!N84</f>
        <v>0</v>
      </c>
      <c r="H87" s="12">
        <f>'Base de Datos Pagos-Notas'!O84</f>
        <v>0</v>
      </c>
      <c r="I87" s="12">
        <f>'Base de Datos Pagos-Notas'!P84</f>
        <v>0</v>
      </c>
      <c r="J87" s="12">
        <f>'Base de Datos Pagos-Notas'!Q84</f>
        <v>0</v>
      </c>
      <c r="K87" s="12">
        <f>'Base de Datos Pagos-Notas'!R84</f>
        <v>0</v>
      </c>
      <c r="L87" s="12">
        <f>'Base de Datos Pagos-Notas'!S84</f>
        <v>0</v>
      </c>
      <c r="M87" s="12">
        <f>'Base de Datos Pagos-Notas'!T84</f>
        <v>0</v>
      </c>
      <c r="N87" s="13">
        <f t="shared" si="3"/>
        <v>0</v>
      </c>
    </row>
    <row r="88" spans="1:14" ht="12.95" customHeight="1" x14ac:dyDescent="0.2">
      <c r="A88" s="10">
        <f>'Base de Datos Pagos-Notas'!C85</f>
        <v>0</v>
      </c>
      <c r="B88" s="10">
        <f>'Base de Datos Pagos-Notas'!D85</f>
        <v>0</v>
      </c>
      <c r="C88" s="11">
        <f>'Base de Datos Pagos-Notas'!F85</f>
        <v>0</v>
      </c>
      <c r="D88" s="10" t="str">
        <f t="shared" si="2"/>
        <v>Nota Crédito</v>
      </c>
      <c r="E88" s="11">
        <f>'Base de Datos Pagos-Notas'!L85</f>
        <v>0</v>
      </c>
      <c r="F88" s="12">
        <f>'Base de Datos Pagos-Notas'!M85</f>
        <v>0</v>
      </c>
      <c r="G88" s="12">
        <f>'Base de Datos Pagos-Notas'!N85</f>
        <v>0</v>
      </c>
      <c r="H88" s="12">
        <f>'Base de Datos Pagos-Notas'!O85</f>
        <v>0</v>
      </c>
      <c r="I88" s="12">
        <f>'Base de Datos Pagos-Notas'!P85</f>
        <v>0</v>
      </c>
      <c r="J88" s="12">
        <f>'Base de Datos Pagos-Notas'!Q85</f>
        <v>0</v>
      </c>
      <c r="K88" s="12">
        <f>'Base de Datos Pagos-Notas'!R85</f>
        <v>0</v>
      </c>
      <c r="L88" s="12">
        <f>'Base de Datos Pagos-Notas'!S85</f>
        <v>0</v>
      </c>
      <c r="M88" s="12">
        <f>'Base de Datos Pagos-Notas'!T85</f>
        <v>0</v>
      </c>
      <c r="N88" s="13">
        <f t="shared" si="3"/>
        <v>0</v>
      </c>
    </row>
    <row r="89" spans="1:14" ht="12.95" customHeight="1" x14ac:dyDescent="0.2">
      <c r="A89" s="10">
        <f>'Base de Datos Pagos-Notas'!C86</f>
        <v>0</v>
      </c>
      <c r="B89" s="10">
        <f>'Base de Datos Pagos-Notas'!D86</f>
        <v>0</v>
      </c>
      <c r="C89" s="11">
        <f>'Base de Datos Pagos-Notas'!F86</f>
        <v>0</v>
      </c>
      <c r="D89" s="10" t="str">
        <f t="shared" si="2"/>
        <v>Nota Crédito</v>
      </c>
      <c r="E89" s="11">
        <f>'Base de Datos Pagos-Notas'!L86</f>
        <v>0</v>
      </c>
      <c r="F89" s="12">
        <f>'Base de Datos Pagos-Notas'!M86</f>
        <v>0</v>
      </c>
      <c r="G89" s="12">
        <f>'Base de Datos Pagos-Notas'!N86</f>
        <v>0</v>
      </c>
      <c r="H89" s="12">
        <f>'Base de Datos Pagos-Notas'!O86</f>
        <v>0</v>
      </c>
      <c r="I89" s="12">
        <f>'Base de Datos Pagos-Notas'!P86</f>
        <v>0</v>
      </c>
      <c r="J89" s="12">
        <f>'Base de Datos Pagos-Notas'!Q86</f>
        <v>0</v>
      </c>
      <c r="K89" s="12">
        <f>'Base de Datos Pagos-Notas'!R86</f>
        <v>0</v>
      </c>
      <c r="L89" s="12">
        <f>'Base de Datos Pagos-Notas'!S86</f>
        <v>0</v>
      </c>
      <c r="M89" s="12">
        <f>'Base de Datos Pagos-Notas'!T86</f>
        <v>0</v>
      </c>
      <c r="N89" s="13">
        <f t="shared" si="3"/>
        <v>0</v>
      </c>
    </row>
    <row r="90" spans="1:14" ht="12.95" customHeight="1" x14ac:dyDescent="0.2">
      <c r="A90" s="10">
        <f>'Base de Datos Pagos-Notas'!C87</f>
        <v>0</v>
      </c>
      <c r="B90" s="10">
        <f>'Base de Datos Pagos-Notas'!D87</f>
        <v>0</v>
      </c>
      <c r="C90" s="11">
        <f>'Base de Datos Pagos-Notas'!F87</f>
        <v>0</v>
      </c>
      <c r="D90" s="10" t="str">
        <f t="shared" si="2"/>
        <v>Nota Crédito</v>
      </c>
      <c r="E90" s="11">
        <f>'Base de Datos Pagos-Notas'!L87</f>
        <v>0</v>
      </c>
      <c r="F90" s="12">
        <f>'Base de Datos Pagos-Notas'!M87</f>
        <v>0</v>
      </c>
      <c r="G90" s="12">
        <f>'Base de Datos Pagos-Notas'!N87</f>
        <v>0</v>
      </c>
      <c r="H90" s="12">
        <f>'Base de Datos Pagos-Notas'!O87</f>
        <v>0</v>
      </c>
      <c r="I90" s="12">
        <f>'Base de Datos Pagos-Notas'!P87</f>
        <v>0</v>
      </c>
      <c r="J90" s="12">
        <f>'Base de Datos Pagos-Notas'!Q87</f>
        <v>0</v>
      </c>
      <c r="K90" s="12">
        <f>'Base de Datos Pagos-Notas'!R87</f>
        <v>0</v>
      </c>
      <c r="L90" s="12">
        <f>'Base de Datos Pagos-Notas'!S87</f>
        <v>0</v>
      </c>
      <c r="M90" s="12">
        <f>'Base de Datos Pagos-Notas'!T87</f>
        <v>0</v>
      </c>
      <c r="N90" s="13">
        <f t="shared" si="3"/>
        <v>0</v>
      </c>
    </row>
    <row r="91" spans="1:14" ht="12.95" customHeight="1" x14ac:dyDescent="0.2">
      <c r="A91" s="10">
        <f>'Base de Datos Pagos-Notas'!C88</f>
        <v>0</v>
      </c>
      <c r="B91" s="10">
        <f>'Base de Datos Pagos-Notas'!D88</f>
        <v>0</v>
      </c>
      <c r="C91" s="11">
        <f>'Base de Datos Pagos-Notas'!F88</f>
        <v>0</v>
      </c>
      <c r="D91" s="10" t="str">
        <f t="shared" si="2"/>
        <v>Nota Crédito</v>
      </c>
      <c r="E91" s="11">
        <f>'Base de Datos Pagos-Notas'!L88</f>
        <v>0</v>
      </c>
      <c r="F91" s="12">
        <f>'Base de Datos Pagos-Notas'!M88</f>
        <v>0</v>
      </c>
      <c r="G91" s="12">
        <f>'Base de Datos Pagos-Notas'!N88</f>
        <v>0</v>
      </c>
      <c r="H91" s="12">
        <f>'Base de Datos Pagos-Notas'!O88</f>
        <v>0</v>
      </c>
      <c r="I91" s="12">
        <f>'Base de Datos Pagos-Notas'!P88</f>
        <v>0</v>
      </c>
      <c r="J91" s="12">
        <f>'Base de Datos Pagos-Notas'!Q88</f>
        <v>0</v>
      </c>
      <c r="K91" s="12">
        <f>'Base de Datos Pagos-Notas'!R88</f>
        <v>0</v>
      </c>
      <c r="L91" s="12">
        <f>'Base de Datos Pagos-Notas'!S88</f>
        <v>0</v>
      </c>
      <c r="M91" s="12">
        <f>'Base de Datos Pagos-Notas'!T88</f>
        <v>0</v>
      </c>
      <c r="N91" s="13">
        <f t="shared" si="3"/>
        <v>0</v>
      </c>
    </row>
    <row r="92" spans="1:14" ht="12.95" customHeight="1" x14ac:dyDescent="0.2">
      <c r="A92" s="10">
        <f>'Base de Datos Pagos-Notas'!C89</f>
        <v>0</v>
      </c>
      <c r="B92" s="10">
        <f>'Base de Datos Pagos-Notas'!D89</f>
        <v>0</v>
      </c>
      <c r="C92" s="11">
        <f>'Base de Datos Pagos-Notas'!F89</f>
        <v>0</v>
      </c>
      <c r="D92" s="10" t="str">
        <f t="shared" si="2"/>
        <v>Nota Crédito</v>
      </c>
      <c r="E92" s="11">
        <f>'Base de Datos Pagos-Notas'!L89</f>
        <v>0</v>
      </c>
      <c r="F92" s="12">
        <f>'Base de Datos Pagos-Notas'!M89</f>
        <v>0</v>
      </c>
      <c r="G92" s="12">
        <f>'Base de Datos Pagos-Notas'!N89</f>
        <v>0</v>
      </c>
      <c r="H92" s="12">
        <f>'Base de Datos Pagos-Notas'!O89</f>
        <v>0</v>
      </c>
      <c r="I92" s="12">
        <f>'Base de Datos Pagos-Notas'!P89</f>
        <v>0</v>
      </c>
      <c r="J92" s="12">
        <f>'Base de Datos Pagos-Notas'!Q89</f>
        <v>0</v>
      </c>
      <c r="K92" s="12">
        <f>'Base de Datos Pagos-Notas'!R89</f>
        <v>0</v>
      </c>
      <c r="L92" s="12">
        <f>'Base de Datos Pagos-Notas'!S89</f>
        <v>0</v>
      </c>
      <c r="M92" s="12">
        <f>'Base de Datos Pagos-Notas'!T89</f>
        <v>0</v>
      </c>
      <c r="N92" s="13">
        <f t="shared" si="3"/>
        <v>0</v>
      </c>
    </row>
    <row r="93" spans="1:14" ht="12.95" customHeight="1" x14ac:dyDescent="0.2">
      <c r="A93" s="10">
        <f>'Base de Datos Pagos-Notas'!C90</f>
        <v>0</v>
      </c>
      <c r="B93" s="10">
        <f>'Base de Datos Pagos-Notas'!D90</f>
        <v>0</v>
      </c>
      <c r="C93" s="11">
        <f>'Base de Datos Pagos-Notas'!F90</f>
        <v>0</v>
      </c>
      <c r="D93" s="10" t="str">
        <f t="shared" si="2"/>
        <v>Nota Crédito</v>
      </c>
      <c r="E93" s="11">
        <f>'Base de Datos Pagos-Notas'!L90</f>
        <v>0</v>
      </c>
      <c r="F93" s="12">
        <f>'Base de Datos Pagos-Notas'!M90</f>
        <v>0</v>
      </c>
      <c r="G93" s="12">
        <f>'Base de Datos Pagos-Notas'!N90</f>
        <v>0</v>
      </c>
      <c r="H93" s="12">
        <f>'Base de Datos Pagos-Notas'!O90</f>
        <v>0</v>
      </c>
      <c r="I93" s="12">
        <f>'Base de Datos Pagos-Notas'!P90</f>
        <v>0</v>
      </c>
      <c r="J93" s="12">
        <f>'Base de Datos Pagos-Notas'!Q90</f>
        <v>0</v>
      </c>
      <c r="K93" s="12">
        <f>'Base de Datos Pagos-Notas'!R90</f>
        <v>0</v>
      </c>
      <c r="L93" s="12">
        <f>'Base de Datos Pagos-Notas'!S90</f>
        <v>0</v>
      </c>
      <c r="M93" s="12">
        <f>'Base de Datos Pagos-Notas'!T90</f>
        <v>0</v>
      </c>
      <c r="N93" s="13">
        <f t="shared" si="3"/>
        <v>0</v>
      </c>
    </row>
    <row r="94" spans="1:14" ht="12.95" customHeight="1" x14ac:dyDescent="0.2">
      <c r="A94" s="10">
        <f>'Base de Datos Pagos-Notas'!C91</f>
        <v>0</v>
      </c>
      <c r="B94" s="10">
        <f>'Base de Datos Pagos-Notas'!D91</f>
        <v>0</v>
      </c>
      <c r="C94" s="11">
        <f>'Base de Datos Pagos-Notas'!F91</f>
        <v>0</v>
      </c>
      <c r="D94" s="10" t="str">
        <f t="shared" si="2"/>
        <v>Nota Crédito</v>
      </c>
      <c r="E94" s="11">
        <f>'Base de Datos Pagos-Notas'!L91</f>
        <v>0</v>
      </c>
      <c r="F94" s="12">
        <f>'Base de Datos Pagos-Notas'!M91</f>
        <v>0</v>
      </c>
      <c r="G94" s="12">
        <f>'Base de Datos Pagos-Notas'!N91</f>
        <v>0</v>
      </c>
      <c r="H94" s="12">
        <f>'Base de Datos Pagos-Notas'!O91</f>
        <v>0</v>
      </c>
      <c r="I94" s="12">
        <f>'Base de Datos Pagos-Notas'!P91</f>
        <v>0</v>
      </c>
      <c r="J94" s="12">
        <f>'Base de Datos Pagos-Notas'!Q91</f>
        <v>0</v>
      </c>
      <c r="K94" s="12">
        <f>'Base de Datos Pagos-Notas'!R91</f>
        <v>0</v>
      </c>
      <c r="L94" s="12">
        <f>'Base de Datos Pagos-Notas'!S91</f>
        <v>0</v>
      </c>
      <c r="M94" s="12">
        <f>'Base de Datos Pagos-Notas'!T91</f>
        <v>0</v>
      </c>
      <c r="N94" s="13">
        <f t="shared" si="3"/>
        <v>0</v>
      </c>
    </row>
    <row r="95" spans="1:14" ht="12.95" customHeight="1" x14ac:dyDescent="0.2">
      <c r="A95" s="10">
        <f>'Base de Datos Pagos-Notas'!C92</f>
        <v>0</v>
      </c>
      <c r="B95" s="10">
        <f>'Base de Datos Pagos-Notas'!D92</f>
        <v>0</v>
      </c>
      <c r="C95" s="11">
        <f>'Base de Datos Pagos-Notas'!F92</f>
        <v>0</v>
      </c>
      <c r="D95" s="10" t="str">
        <f t="shared" si="2"/>
        <v>Nota Crédito</v>
      </c>
      <c r="E95" s="11">
        <f>'Base de Datos Pagos-Notas'!L92</f>
        <v>0</v>
      </c>
      <c r="F95" s="12">
        <f>'Base de Datos Pagos-Notas'!M92</f>
        <v>0</v>
      </c>
      <c r="G95" s="12">
        <f>'Base de Datos Pagos-Notas'!N92</f>
        <v>0</v>
      </c>
      <c r="H95" s="12">
        <f>'Base de Datos Pagos-Notas'!O92</f>
        <v>0</v>
      </c>
      <c r="I95" s="12">
        <f>'Base de Datos Pagos-Notas'!P92</f>
        <v>0</v>
      </c>
      <c r="J95" s="12">
        <f>'Base de Datos Pagos-Notas'!Q92</f>
        <v>0</v>
      </c>
      <c r="K95" s="12">
        <f>'Base de Datos Pagos-Notas'!R92</f>
        <v>0</v>
      </c>
      <c r="L95" s="12">
        <f>'Base de Datos Pagos-Notas'!S92</f>
        <v>0</v>
      </c>
      <c r="M95" s="12">
        <f>'Base de Datos Pagos-Notas'!T92</f>
        <v>0</v>
      </c>
      <c r="N95" s="13">
        <f t="shared" si="3"/>
        <v>0</v>
      </c>
    </row>
    <row r="96" spans="1:14" ht="12.95" customHeight="1" x14ac:dyDescent="0.2">
      <c r="A96" s="10">
        <f>'Base de Datos Pagos-Notas'!C93</f>
        <v>0</v>
      </c>
      <c r="B96" s="10">
        <f>'Base de Datos Pagos-Notas'!D93</f>
        <v>0</v>
      </c>
      <c r="C96" s="11">
        <f>'Base de Datos Pagos-Notas'!F93</f>
        <v>0</v>
      </c>
      <c r="D96" s="10" t="str">
        <f t="shared" si="2"/>
        <v>Nota Crédito</v>
      </c>
      <c r="E96" s="11">
        <f>'Base de Datos Pagos-Notas'!L93</f>
        <v>0</v>
      </c>
      <c r="F96" s="12">
        <f>'Base de Datos Pagos-Notas'!M93</f>
        <v>0</v>
      </c>
      <c r="G96" s="12">
        <f>'Base de Datos Pagos-Notas'!N93</f>
        <v>0</v>
      </c>
      <c r="H96" s="12">
        <f>'Base de Datos Pagos-Notas'!O93</f>
        <v>0</v>
      </c>
      <c r="I96" s="12">
        <f>'Base de Datos Pagos-Notas'!P93</f>
        <v>0</v>
      </c>
      <c r="J96" s="12">
        <f>'Base de Datos Pagos-Notas'!Q93</f>
        <v>0</v>
      </c>
      <c r="K96" s="12">
        <f>'Base de Datos Pagos-Notas'!R93</f>
        <v>0</v>
      </c>
      <c r="L96" s="12">
        <f>'Base de Datos Pagos-Notas'!S93</f>
        <v>0</v>
      </c>
      <c r="M96" s="12">
        <f>'Base de Datos Pagos-Notas'!T93</f>
        <v>0</v>
      </c>
      <c r="N96" s="13">
        <f t="shared" si="3"/>
        <v>0</v>
      </c>
    </row>
    <row r="97" spans="1:25" ht="12.95" customHeight="1" x14ac:dyDescent="0.2">
      <c r="A97" s="10">
        <f>'Base de Datos Pagos-Notas'!C94</f>
        <v>0</v>
      </c>
      <c r="B97" s="10">
        <f>'Base de Datos Pagos-Notas'!D94</f>
        <v>0</v>
      </c>
      <c r="C97" s="11">
        <f>'Base de Datos Pagos-Notas'!F94</f>
        <v>0</v>
      </c>
      <c r="D97" s="10" t="str">
        <f t="shared" si="2"/>
        <v>Nota Crédito</v>
      </c>
      <c r="E97" s="11">
        <f>'Base de Datos Pagos-Notas'!L94</f>
        <v>0</v>
      </c>
      <c r="F97" s="12">
        <f>'Base de Datos Pagos-Notas'!M94</f>
        <v>0</v>
      </c>
      <c r="G97" s="12">
        <f>'Base de Datos Pagos-Notas'!N94</f>
        <v>0</v>
      </c>
      <c r="H97" s="12">
        <f>'Base de Datos Pagos-Notas'!O94</f>
        <v>0</v>
      </c>
      <c r="I97" s="12">
        <f>'Base de Datos Pagos-Notas'!P94</f>
        <v>0</v>
      </c>
      <c r="J97" s="12">
        <f>'Base de Datos Pagos-Notas'!Q94</f>
        <v>0</v>
      </c>
      <c r="K97" s="12">
        <f>'Base de Datos Pagos-Notas'!R94</f>
        <v>0</v>
      </c>
      <c r="L97" s="12">
        <f>'Base de Datos Pagos-Notas'!S94</f>
        <v>0</v>
      </c>
      <c r="M97" s="12">
        <f>'Base de Datos Pagos-Notas'!T94</f>
        <v>0</v>
      </c>
      <c r="N97" s="13">
        <f t="shared" si="3"/>
        <v>0</v>
      </c>
    </row>
    <row r="98" spans="1:25" ht="12.95" customHeight="1" x14ac:dyDescent="0.2">
      <c r="A98" s="10">
        <f>'Base de Datos Pagos-Notas'!C95</f>
        <v>0</v>
      </c>
      <c r="B98" s="10">
        <f>'Base de Datos Pagos-Notas'!D95</f>
        <v>0</v>
      </c>
      <c r="C98" s="11">
        <f>'Base de Datos Pagos-Notas'!F95</f>
        <v>0</v>
      </c>
      <c r="D98" s="10" t="str">
        <f t="shared" si="2"/>
        <v>Nota Crédito</v>
      </c>
      <c r="E98" s="11">
        <f>'Base de Datos Pagos-Notas'!L95</f>
        <v>0</v>
      </c>
      <c r="F98" s="12">
        <f>'Base de Datos Pagos-Notas'!M95</f>
        <v>0</v>
      </c>
      <c r="G98" s="12">
        <f>'Base de Datos Pagos-Notas'!N95</f>
        <v>0</v>
      </c>
      <c r="H98" s="12">
        <f>'Base de Datos Pagos-Notas'!O95</f>
        <v>0</v>
      </c>
      <c r="I98" s="12">
        <f>'Base de Datos Pagos-Notas'!P95</f>
        <v>0</v>
      </c>
      <c r="J98" s="12">
        <f>'Base de Datos Pagos-Notas'!Q95</f>
        <v>0</v>
      </c>
      <c r="K98" s="12">
        <f>'Base de Datos Pagos-Notas'!R95</f>
        <v>0</v>
      </c>
      <c r="L98" s="12">
        <f>'Base de Datos Pagos-Notas'!S95</f>
        <v>0</v>
      </c>
      <c r="M98" s="12">
        <f>'Base de Datos Pagos-Notas'!T95</f>
        <v>0</v>
      </c>
      <c r="N98" s="13">
        <f t="shared" si="3"/>
        <v>0</v>
      </c>
    </row>
    <row r="99" spans="1:25" ht="12.95" customHeight="1" x14ac:dyDescent="0.2">
      <c r="A99" s="10">
        <f>'Base de Datos Pagos-Notas'!C96</f>
        <v>0</v>
      </c>
      <c r="B99" s="10">
        <f>'Base de Datos Pagos-Notas'!D96</f>
        <v>0</v>
      </c>
      <c r="C99" s="11">
        <f>'Base de Datos Pagos-Notas'!F96</f>
        <v>0</v>
      </c>
      <c r="D99" s="10" t="str">
        <f t="shared" si="2"/>
        <v>Nota Crédito</v>
      </c>
      <c r="E99" s="11">
        <f>'Base de Datos Pagos-Notas'!L96</f>
        <v>0</v>
      </c>
      <c r="F99" s="12">
        <f>'Base de Datos Pagos-Notas'!M96</f>
        <v>0</v>
      </c>
      <c r="G99" s="12">
        <f>'Base de Datos Pagos-Notas'!N96</f>
        <v>0</v>
      </c>
      <c r="H99" s="12">
        <f>'Base de Datos Pagos-Notas'!O96</f>
        <v>0</v>
      </c>
      <c r="I99" s="12">
        <f>'Base de Datos Pagos-Notas'!P96</f>
        <v>0</v>
      </c>
      <c r="J99" s="12">
        <f>'Base de Datos Pagos-Notas'!Q96</f>
        <v>0</v>
      </c>
      <c r="K99" s="12">
        <f>'Base de Datos Pagos-Notas'!R96</f>
        <v>0</v>
      </c>
      <c r="L99" s="12">
        <f>'Base de Datos Pagos-Notas'!S96</f>
        <v>0</v>
      </c>
      <c r="M99" s="12">
        <f>'Base de Datos Pagos-Notas'!T96</f>
        <v>0</v>
      </c>
      <c r="N99" s="13">
        <f t="shared" si="3"/>
        <v>0</v>
      </c>
    </row>
    <row r="100" spans="1:25" ht="12.95" customHeight="1" x14ac:dyDescent="0.2">
      <c r="A100" s="10">
        <f>'Base de Datos Pagos-Notas'!C97</f>
        <v>0</v>
      </c>
      <c r="B100" s="10">
        <f>'Base de Datos Pagos-Notas'!D97</f>
        <v>0</v>
      </c>
      <c r="C100" s="11">
        <f>'Base de Datos Pagos-Notas'!F97</f>
        <v>0</v>
      </c>
      <c r="D100" s="10" t="str">
        <f t="shared" si="2"/>
        <v>Nota Crédito</v>
      </c>
      <c r="E100" s="11">
        <f>'Base de Datos Pagos-Notas'!L97</f>
        <v>0</v>
      </c>
      <c r="F100" s="12">
        <f>'Base de Datos Pagos-Notas'!M97</f>
        <v>0</v>
      </c>
      <c r="G100" s="12">
        <f>'Base de Datos Pagos-Notas'!N97</f>
        <v>0</v>
      </c>
      <c r="H100" s="12">
        <f>'Base de Datos Pagos-Notas'!O97</f>
        <v>0</v>
      </c>
      <c r="I100" s="12">
        <f>'Base de Datos Pagos-Notas'!P97</f>
        <v>0</v>
      </c>
      <c r="J100" s="12">
        <f>'Base de Datos Pagos-Notas'!Q97</f>
        <v>0</v>
      </c>
      <c r="K100" s="12">
        <f>'Base de Datos Pagos-Notas'!R97</f>
        <v>0</v>
      </c>
      <c r="L100" s="12">
        <f>'Base de Datos Pagos-Notas'!S97</f>
        <v>0</v>
      </c>
      <c r="M100" s="12">
        <f>'Base de Datos Pagos-Notas'!T97</f>
        <v>0</v>
      </c>
      <c r="N100" s="13">
        <f t="shared" si="3"/>
        <v>0</v>
      </c>
    </row>
    <row r="101" spans="1:25" ht="12.95" customHeight="1" x14ac:dyDescent="0.2">
      <c r="A101" s="10">
        <f>'Base de Datos Pagos-Notas'!C98</f>
        <v>0</v>
      </c>
      <c r="B101" s="10">
        <f>'Base de Datos Pagos-Notas'!D98</f>
        <v>0</v>
      </c>
      <c r="C101" s="11">
        <f>'Base de Datos Pagos-Notas'!F98</f>
        <v>0</v>
      </c>
      <c r="D101" s="10" t="str">
        <f t="shared" si="2"/>
        <v>Nota Crédito</v>
      </c>
      <c r="E101" s="11">
        <f>'Base de Datos Pagos-Notas'!L98</f>
        <v>0</v>
      </c>
      <c r="F101" s="12">
        <f>'Base de Datos Pagos-Notas'!M98</f>
        <v>0</v>
      </c>
      <c r="G101" s="12">
        <f>'Base de Datos Pagos-Notas'!N98</f>
        <v>0</v>
      </c>
      <c r="H101" s="12">
        <f>'Base de Datos Pagos-Notas'!O98</f>
        <v>0</v>
      </c>
      <c r="I101" s="12">
        <f>'Base de Datos Pagos-Notas'!P98</f>
        <v>0</v>
      </c>
      <c r="J101" s="12">
        <f>'Base de Datos Pagos-Notas'!Q98</f>
        <v>0</v>
      </c>
      <c r="K101" s="12">
        <f>'Base de Datos Pagos-Notas'!R98</f>
        <v>0</v>
      </c>
      <c r="L101" s="12">
        <f>'Base de Datos Pagos-Notas'!S98</f>
        <v>0</v>
      </c>
      <c r="M101" s="12">
        <f>'Base de Datos Pagos-Notas'!T98</f>
        <v>0</v>
      </c>
      <c r="N101" s="13">
        <f t="shared" si="3"/>
        <v>0</v>
      </c>
    </row>
    <row r="102" spans="1:25" ht="12.95" customHeight="1" x14ac:dyDescent="0.2">
      <c r="A102" s="10">
        <f>'Base de Datos Pagos-Notas'!C99</f>
        <v>0</v>
      </c>
      <c r="B102" s="10">
        <f>'Base de Datos Pagos-Notas'!D99</f>
        <v>0</v>
      </c>
      <c r="C102" s="11">
        <f>'Base de Datos Pagos-Notas'!F99</f>
        <v>0</v>
      </c>
      <c r="D102" s="10" t="str">
        <f t="shared" si="2"/>
        <v>Nota Crédito</v>
      </c>
      <c r="E102" s="11">
        <f>'Base de Datos Pagos-Notas'!L99</f>
        <v>0</v>
      </c>
      <c r="F102" s="12">
        <f>'Base de Datos Pagos-Notas'!M99</f>
        <v>0</v>
      </c>
      <c r="G102" s="12">
        <f>'Base de Datos Pagos-Notas'!N99</f>
        <v>0</v>
      </c>
      <c r="H102" s="12">
        <f>'Base de Datos Pagos-Notas'!O99</f>
        <v>0</v>
      </c>
      <c r="I102" s="12">
        <f>'Base de Datos Pagos-Notas'!P99</f>
        <v>0</v>
      </c>
      <c r="J102" s="12">
        <f>'Base de Datos Pagos-Notas'!Q99</f>
        <v>0</v>
      </c>
      <c r="K102" s="12">
        <f>'Base de Datos Pagos-Notas'!R99</f>
        <v>0</v>
      </c>
      <c r="L102" s="12">
        <f>'Base de Datos Pagos-Notas'!S99</f>
        <v>0</v>
      </c>
      <c r="M102" s="12">
        <f>'Base de Datos Pagos-Notas'!T99</f>
        <v>0</v>
      </c>
      <c r="N102" s="13">
        <f t="shared" si="3"/>
        <v>0</v>
      </c>
    </row>
    <row r="103" spans="1:25" ht="12.95" customHeight="1" x14ac:dyDescent="0.2">
      <c r="A103" s="10">
        <f>'Base de Datos Pagos-Notas'!C100</f>
        <v>0</v>
      </c>
      <c r="B103" s="10">
        <f>'Base de Datos Pagos-Notas'!D100</f>
        <v>0</v>
      </c>
      <c r="C103" s="11">
        <f>'Base de Datos Pagos-Notas'!F100</f>
        <v>0</v>
      </c>
      <c r="D103" s="10" t="str">
        <f t="shared" si="2"/>
        <v>Nota Crédito</v>
      </c>
      <c r="E103" s="11">
        <f>'Base de Datos Pagos-Notas'!L100</f>
        <v>0</v>
      </c>
      <c r="F103" s="12">
        <f>'Base de Datos Pagos-Notas'!M100</f>
        <v>0</v>
      </c>
      <c r="G103" s="12">
        <f>'Base de Datos Pagos-Notas'!N100</f>
        <v>0</v>
      </c>
      <c r="H103" s="12">
        <f>'Base de Datos Pagos-Notas'!O100</f>
        <v>0</v>
      </c>
      <c r="I103" s="12">
        <f>'Base de Datos Pagos-Notas'!P100</f>
        <v>0</v>
      </c>
      <c r="J103" s="12">
        <f>'Base de Datos Pagos-Notas'!Q100</f>
        <v>0</v>
      </c>
      <c r="K103" s="12">
        <f>'Base de Datos Pagos-Notas'!R100</f>
        <v>0</v>
      </c>
      <c r="L103" s="12">
        <f>'Base de Datos Pagos-Notas'!S100</f>
        <v>0</v>
      </c>
      <c r="M103" s="12">
        <f>'Base de Datos Pagos-Notas'!T100</f>
        <v>0</v>
      </c>
      <c r="N103" s="13">
        <f t="shared" si="3"/>
        <v>0</v>
      </c>
    </row>
    <row r="104" spans="1:25" ht="12.95" customHeight="1" x14ac:dyDescent="0.2">
      <c r="A104" s="10">
        <f>'Base de Datos Pagos-Notas'!C101</f>
        <v>0</v>
      </c>
      <c r="B104" s="10">
        <f>'Base de Datos Pagos-Notas'!D101</f>
        <v>0</v>
      </c>
      <c r="C104" s="11">
        <f>'Base de Datos Pagos-Notas'!F101</f>
        <v>0</v>
      </c>
      <c r="D104" s="10" t="str">
        <f t="shared" si="2"/>
        <v>Nota Crédito</v>
      </c>
      <c r="E104" s="11">
        <f>'Base de Datos Pagos-Notas'!L101</f>
        <v>0</v>
      </c>
      <c r="F104" s="12">
        <f>'Base de Datos Pagos-Notas'!M101</f>
        <v>0</v>
      </c>
      <c r="G104" s="12">
        <f>'Base de Datos Pagos-Notas'!N101</f>
        <v>0</v>
      </c>
      <c r="H104" s="12">
        <f>'Base de Datos Pagos-Notas'!O101</f>
        <v>0</v>
      </c>
      <c r="I104" s="12">
        <f>'Base de Datos Pagos-Notas'!P101</f>
        <v>0</v>
      </c>
      <c r="J104" s="12">
        <f>'Base de Datos Pagos-Notas'!Q101</f>
        <v>0</v>
      </c>
      <c r="K104" s="12">
        <f>'Base de Datos Pagos-Notas'!R101</f>
        <v>0</v>
      </c>
      <c r="L104" s="12">
        <f>'Base de Datos Pagos-Notas'!S101</f>
        <v>0</v>
      </c>
      <c r="M104" s="12">
        <f>'Base de Datos Pagos-Notas'!T101</f>
        <v>0</v>
      </c>
      <c r="N104" s="13">
        <f t="shared" si="3"/>
        <v>0</v>
      </c>
    </row>
    <row r="105" spans="1:25" ht="12.95" customHeight="1" x14ac:dyDescent="0.2">
      <c r="A105" s="10">
        <f>'Base de Datos Pagos-Notas'!C102</f>
        <v>0</v>
      </c>
      <c r="B105" s="10">
        <f>'Base de Datos Pagos-Notas'!D102</f>
        <v>0</v>
      </c>
      <c r="C105" s="11">
        <f>'Base de Datos Pagos-Notas'!F102</f>
        <v>0</v>
      </c>
      <c r="D105" s="10" t="str">
        <f t="shared" si="2"/>
        <v>Nota Crédito</v>
      </c>
      <c r="E105" s="11">
        <f>'Base de Datos Pagos-Notas'!L102</f>
        <v>0</v>
      </c>
      <c r="F105" s="12">
        <f>'Base de Datos Pagos-Notas'!M102</f>
        <v>0</v>
      </c>
      <c r="G105" s="12">
        <f>'Base de Datos Pagos-Notas'!N102</f>
        <v>0</v>
      </c>
      <c r="H105" s="12">
        <f>'Base de Datos Pagos-Notas'!O102</f>
        <v>0</v>
      </c>
      <c r="I105" s="12">
        <f>'Base de Datos Pagos-Notas'!P102</f>
        <v>0</v>
      </c>
      <c r="J105" s="12">
        <f>'Base de Datos Pagos-Notas'!Q102</f>
        <v>0</v>
      </c>
      <c r="K105" s="12">
        <f>'Base de Datos Pagos-Notas'!R102</f>
        <v>0</v>
      </c>
      <c r="L105" s="12">
        <f>'Base de Datos Pagos-Notas'!S102</f>
        <v>0</v>
      </c>
      <c r="M105" s="12">
        <f>'Base de Datos Pagos-Notas'!T102</f>
        <v>0</v>
      </c>
      <c r="N105" s="13">
        <f t="shared" si="3"/>
        <v>0</v>
      </c>
    </row>
    <row r="106" spans="1:25" ht="12.95" customHeight="1" x14ac:dyDescent="0.2">
      <c r="A106" s="10">
        <f>'Base de Datos Pagos-Notas'!C103</f>
        <v>0</v>
      </c>
      <c r="B106" s="10">
        <f>'Base de Datos Pagos-Notas'!D103</f>
        <v>0</v>
      </c>
      <c r="C106" s="11">
        <f>'Base de Datos Pagos-Notas'!F103</f>
        <v>0</v>
      </c>
      <c r="D106" s="10" t="str">
        <f t="shared" si="2"/>
        <v>Nota Crédito</v>
      </c>
      <c r="E106" s="11">
        <f>'Base de Datos Pagos-Notas'!L103</f>
        <v>0</v>
      </c>
      <c r="F106" s="12">
        <f>'Base de Datos Pagos-Notas'!M103</f>
        <v>0</v>
      </c>
      <c r="G106" s="12">
        <f>'Base de Datos Pagos-Notas'!N103</f>
        <v>0</v>
      </c>
      <c r="H106" s="12">
        <f>'Base de Datos Pagos-Notas'!O103</f>
        <v>0</v>
      </c>
      <c r="I106" s="12">
        <f>'Base de Datos Pagos-Notas'!P103</f>
        <v>0</v>
      </c>
      <c r="J106" s="12">
        <f>'Base de Datos Pagos-Notas'!Q103</f>
        <v>0</v>
      </c>
      <c r="K106" s="12">
        <f>'Base de Datos Pagos-Notas'!R103</f>
        <v>0</v>
      </c>
      <c r="L106" s="12">
        <f>'Base de Datos Pagos-Notas'!S103</f>
        <v>0</v>
      </c>
      <c r="M106" s="12">
        <f>'Base de Datos Pagos-Notas'!T103</f>
        <v>0</v>
      </c>
      <c r="N106" s="13">
        <f t="shared" si="3"/>
        <v>0</v>
      </c>
    </row>
    <row r="107" spans="1:25" ht="12.95" customHeight="1" x14ac:dyDescent="0.2">
      <c r="A107" s="10">
        <f>'Base de Datos Pagos-Notas'!C104</f>
        <v>0</v>
      </c>
      <c r="B107" s="10">
        <f>'Base de Datos Pagos-Notas'!D104</f>
        <v>0</v>
      </c>
      <c r="C107" s="11">
        <f>'Base de Datos Pagos-Notas'!F104</f>
        <v>0</v>
      </c>
      <c r="D107" s="10" t="str">
        <f t="shared" si="2"/>
        <v>Nota Crédito</v>
      </c>
      <c r="E107" s="11">
        <f>'Base de Datos Pagos-Notas'!L104</f>
        <v>0</v>
      </c>
      <c r="F107" s="12">
        <f>'Base de Datos Pagos-Notas'!M104</f>
        <v>0</v>
      </c>
      <c r="G107" s="12">
        <f>'Base de Datos Pagos-Notas'!N104</f>
        <v>0</v>
      </c>
      <c r="H107" s="12">
        <f>'Base de Datos Pagos-Notas'!O104</f>
        <v>0</v>
      </c>
      <c r="I107" s="12">
        <f>'Base de Datos Pagos-Notas'!P104</f>
        <v>0</v>
      </c>
      <c r="J107" s="12">
        <f>'Base de Datos Pagos-Notas'!Q104</f>
        <v>0</v>
      </c>
      <c r="K107" s="12">
        <f>'Base de Datos Pagos-Notas'!R104</f>
        <v>0</v>
      </c>
      <c r="L107" s="12">
        <f>'Base de Datos Pagos-Notas'!S104</f>
        <v>0</v>
      </c>
      <c r="M107" s="12">
        <f>'Base de Datos Pagos-Notas'!T104</f>
        <v>0</v>
      </c>
      <c r="N107" s="13">
        <f t="shared" si="3"/>
        <v>0</v>
      </c>
    </row>
    <row r="108" spans="1:25" ht="12.95" customHeight="1" x14ac:dyDescent="0.2">
      <c r="A108" s="10">
        <f>'Base de Datos Pagos-Notas'!C105</f>
        <v>0</v>
      </c>
      <c r="B108" s="10">
        <f>'Base de Datos Pagos-Notas'!D105</f>
        <v>0</v>
      </c>
      <c r="C108" s="11">
        <f>'Base de Datos Pagos-Notas'!F105</f>
        <v>0</v>
      </c>
      <c r="D108" s="10" t="str">
        <f t="shared" si="2"/>
        <v>Nota Crédito</v>
      </c>
      <c r="E108" s="11">
        <f>'Base de Datos Pagos-Notas'!L105</f>
        <v>0</v>
      </c>
      <c r="F108" s="12">
        <f>'Base de Datos Pagos-Notas'!M105</f>
        <v>0</v>
      </c>
      <c r="G108" s="12">
        <f>'Base de Datos Pagos-Notas'!N105</f>
        <v>0</v>
      </c>
      <c r="H108" s="12">
        <f>'Base de Datos Pagos-Notas'!O105</f>
        <v>0</v>
      </c>
      <c r="I108" s="12">
        <f>'Base de Datos Pagos-Notas'!P105</f>
        <v>0</v>
      </c>
      <c r="J108" s="12">
        <f>'Base de Datos Pagos-Notas'!Q105</f>
        <v>0</v>
      </c>
      <c r="K108" s="12">
        <f>'Base de Datos Pagos-Notas'!R105</f>
        <v>0</v>
      </c>
      <c r="L108" s="12">
        <f>'Base de Datos Pagos-Notas'!S105</f>
        <v>0</v>
      </c>
      <c r="M108" s="12">
        <f>'Base de Datos Pagos-Notas'!T105</f>
        <v>0</v>
      </c>
      <c r="N108" s="13">
        <f t="shared" si="3"/>
        <v>0</v>
      </c>
    </row>
    <row r="109" spans="1:25" ht="12.95" customHeight="1" x14ac:dyDescent="0.2">
      <c r="A109" s="10">
        <f>'Base de Datos Pagos-Notas'!C106</f>
        <v>0</v>
      </c>
      <c r="B109" s="10">
        <f>'Base de Datos Pagos-Notas'!D106</f>
        <v>0</v>
      </c>
      <c r="C109" s="11">
        <f>'Base de Datos Pagos-Notas'!F106</f>
        <v>0</v>
      </c>
      <c r="D109" s="10" t="str">
        <f t="shared" si="2"/>
        <v>Nota Crédito</v>
      </c>
      <c r="E109" s="11">
        <f>'Base de Datos Pagos-Notas'!L106</f>
        <v>0</v>
      </c>
      <c r="F109" s="12">
        <f>'Base de Datos Pagos-Notas'!M106</f>
        <v>0</v>
      </c>
      <c r="G109" s="12">
        <f>'Base de Datos Pagos-Notas'!N106</f>
        <v>0</v>
      </c>
      <c r="H109" s="12">
        <f>'Base de Datos Pagos-Notas'!O106</f>
        <v>0</v>
      </c>
      <c r="I109" s="12">
        <f>'Base de Datos Pagos-Notas'!P106</f>
        <v>0</v>
      </c>
      <c r="J109" s="12">
        <f>'Base de Datos Pagos-Notas'!Q106</f>
        <v>0</v>
      </c>
      <c r="K109" s="12">
        <f>'Base de Datos Pagos-Notas'!R106</f>
        <v>0</v>
      </c>
      <c r="L109" s="12">
        <f>'Base de Datos Pagos-Notas'!S106</f>
        <v>0</v>
      </c>
      <c r="M109" s="12">
        <f>'Base de Datos Pagos-Notas'!T106</f>
        <v>0</v>
      </c>
      <c r="N109" s="13">
        <f t="shared" si="3"/>
        <v>0</v>
      </c>
    </row>
    <row r="110" spans="1:25" ht="12.95" customHeight="1" x14ac:dyDescent="0.2">
      <c r="A110" s="10">
        <f>'Base de Datos Pagos-Notas'!C107</f>
        <v>0</v>
      </c>
      <c r="B110" s="10">
        <f>'Base de Datos Pagos-Notas'!D107</f>
        <v>0</v>
      </c>
      <c r="C110" s="11">
        <f>'Base de Datos Pagos-Notas'!F107</f>
        <v>0</v>
      </c>
      <c r="D110" s="10" t="str">
        <f t="shared" si="2"/>
        <v>Nota Crédito</v>
      </c>
      <c r="E110" s="11">
        <f>'Base de Datos Pagos-Notas'!L107</f>
        <v>0</v>
      </c>
      <c r="F110" s="12">
        <f>'Base de Datos Pagos-Notas'!M107</f>
        <v>0</v>
      </c>
      <c r="G110" s="12">
        <f>'Base de Datos Pagos-Notas'!N107</f>
        <v>0</v>
      </c>
      <c r="H110" s="12">
        <f>'Base de Datos Pagos-Notas'!O107</f>
        <v>0</v>
      </c>
      <c r="I110" s="12">
        <f>'Base de Datos Pagos-Notas'!P107</f>
        <v>0</v>
      </c>
      <c r="J110" s="12">
        <f>'Base de Datos Pagos-Notas'!Q107</f>
        <v>0</v>
      </c>
      <c r="K110" s="12">
        <f>'Base de Datos Pagos-Notas'!R107</f>
        <v>0</v>
      </c>
      <c r="L110" s="12">
        <f>'Base de Datos Pagos-Notas'!S107</f>
        <v>0</v>
      </c>
      <c r="M110" s="12">
        <f>'Base de Datos Pagos-Notas'!T107</f>
        <v>0</v>
      </c>
      <c r="N110" s="13">
        <f t="shared" si="3"/>
        <v>0</v>
      </c>
    </row>
    <row r="111" spans="1:25" ht="12.95" customHeight="1" x14ac:dyDescent="0.2">
      <c r="A111" s="10">
        <f>'Base de Datos Pagos-Notas'!C108</f>
        <v>0</v>
      </c>
      <c r="B111" s="10">
        <f>'Base de Datos Pagos-Notas'!D108</f>
        <v>0</v>
      </c>
      <c r="C111" s="11">
        <f>'Base de Datos Pagos-Notas'!F108</f>
        <v>0</v>
      </c>
      <c r="D111" s="10" t="str">
        <f t="shared" si="2"/>
        <v>Nota Crédito</v>
      </c>
      <c r="E111" s="11">
        <f>'Base de Datos Pagos-Notas'!L108</f>
        <v>0</v>
      </c>
      <c r="F111" s="17">
        <f>'Base de Datos Pagos-Notas'!M108</f>
        <v>0</v>
      </c>
      <c r="G111" s="17">
        <f>'Base de Datos Pagos-Notas'!N108</f>
        <v>0</v>
      </c>
      <c r="H111" s="17">
        <f>'Base de Datos Pagos-Notas'!O108</f>
        <v>0</v>
      </c>
      <c r="I111" s="17">
        <f>'Base de Datos Pagos-Notas'!P108</f>
        <v>0</v>
      </c>
      <c r="J111" s="17">
        <f>'Base de Datos Pagos-Notas'!Q108</f>
        <v>0</v>
      </c>
      <c r="K111" s="17">
        <f>'Base de Datos Pagos-Notas'!R108</f>
        <v>0</v>
      </c>
      <c r="L111" s="17">
        <f>'Base de Datos Pagos-Notas'!S108</f>
        <v>0</v>
      </c>
      <c r="M111" s="17">
        <f>'Base de Datos Pagos-Notas'!T108</f>
        <v>0</v>
      </c>
      <c r="N111" s="18">
        <f t="shared" si="3"/>
        <v>0</v>
      </c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</row>
    <row r="112" spans="1:25" ht="12.95" customHeight="1" x14ac:dyDescent="0.2">
      <c r="A112" s="10">
        <f>'Base de Datos Pagos-Notas'!C109</f>
        <v>0</v>
      </c>
      <c r="B112" s="10">
        <f>'Base de Datos Pagos-Notas'!D109</f>
        <v>0</v>
      </c>
      <c r="C112" s="11">
        <f>'Base de Datos Pagos-Notas'!F109</f>
        <v>0</v>
      </c>
      <c r="D112" s="10" t="str">
        <f t="shared" si="2"/>
        <v>Nota Crédito</v>
      </c>
      <c r="E112" s="11">
        <f>'Base de Datos Pagos-Notas'!L109</f>
        <v>0</v>
      </c>
      <c r="F112" s="17">
        <f>'Base de Datos Pagos-Notas'!M109</f>
        <v>0</v>
      </c>
      <c r="G112" s="17">
        <f>'Base de Datos Pagos-Notas'!N109</f>
        <v>0</v>
      </c>
      <c r="H112" s="17">
        <f>'Base de Datos Pagos-Notas'!O109</f>
        <v>0</v>
      </c>
      <c r="I112" s="17">
        <f>'Base de Datos Pagos-Notas'!P109</f>
        <v>0</v>
      </c>
      <c r="J112" s="17">
        <f>'Base de Datos Pagos-Notas'!Q109</f>
        <v>0</v>
      </c>
      <c r="K112" s="17">
        <f>'Base de Datos Pagos-Notas'!R109</f>
        <v>0</v>
      </c>
      <c r="L112" s="17">
        <f>'Base de Datos Pagos-Notas'!S109</f>
        <v>0</v>
      </c>
      <c r="M112" s="17">
        <f>'Base de Datos Pagos-Notas'!T109</f>
        <v>0</v>
      </c>
      <c r="N112" s="18">
        <f t="shared" si="3"/>
        <v>0</v>
      </c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</row>
    <row r="113" spans="1:25" ht="12.95" customHeight="1" x14ac:dyDescent="0.2">
      <c r="A113" s="10">
        <f>'Base de Datos Pagos-Notas'!C110</f>
        <v>0</v>
      </c>
      <c r="B113" s="10">
        <f>'Base de Datos Pagos-Notas'!D110</f>
        <v>0</v>
      </c>
      <c r="C113" s="11">
        <f>'Base de Datos Pagos-Notas'!F110</f>
        <v>0</v>
      </c>
      <c r="D113" s="10" t="str">
        <f t="shared" si="2"/>
        <v>Nota Crédito</v>
      </c>
      <c r="E113" s="11">
        <f>'Base de Datos Pagos-Notas'!L110</f>
        <v>0</v>
      </c>
      <c r="F113" s="17">
        <f>'Base de Datos Pagos-Notas'!M110</f>
        <v>0</v>
      </c>
      <c r="G113" s="17">
        <f>'Base de Datos Pagos-Notas'!N110</f>
        <v>0</v>
      </c>
      <c r="H113" s="17">
        <f>'Base de Datos Pagos-Notas'!O110</f>
        <v>0</v>
      </c>
      <c r="I113" s="17">
        <f>'Base de Datos Pagos-Notas'!P110</f>
        <v>0</v>
      </c>
      <c r="J113" s="17">
        <f>'Base de Datos Pagos-Notas'!Q110</f>
        <v>0</v>
      </c>
      <c r="K113" s="17">
        <f>'Base de Datos Pagos-Notas'!R110</f>
        <v>0</v>
      </c>
      <c r="L113" s="17">
        <f>'Base de Datos Pagos-Notas'!S110</f>
        <v>0</v>
      </c>
      <c r="M113" s="17">
        <f>'Base de Datos Pagos-Notas'!T110</f>
        <v>0</v>
      </c>
      <c r="N113" s="18">
        <f t="shared" si="3"/>
        <v>0</v>
      </c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</row>
    <row r="114" spans="1:25" ht="12.95" customHeight="1" x14ac:dyDescent="0.2">
      <c r="A114" s="10">
        <f>'Base de Datos Pagos-Notas'!C111</f>
        <v>0</v>
      </c>
      <c r="B114" s="10">
        <f>'Base de Datos Pagos-Notas'!D111</f>
        <v>0</v>
      </c>
      <c r="C114" s="11">
        <f>'Base de Datos Pagos-Notas'!F111</f>
        <v>0</v>
      </c>
      <c r="D114" s="10" t="str">
        <f t="shared" si="2"/>
        <v>Nota Crédito</v>
      </c>
      <c r="E114" s="11">
        <f>'Base de Datos Pagos-Notas'!L111</f>
        <v>0</v>
      </c>
      <c r="F114" s="12">
        <f>'Base de Datos Pagos-Notas'!M111</f>
        <v>0</v>
      </c>
      <c r="G114" s="12">
        <f>'Base de Datos Pagos-Notas'!N111</f>
        <v>0</v>
      </c>
      <c r="H114" s="12">
        <f>'Base de Datos Pagos-Notas'!O111</f>
        <v>0</v>
      </c>
      <c r="I114" s="12">
        <f>'Base de Datos Pagos-Notas'!P111</f>
        <v>0</v>
      </c>
      <c r="J114" s="12">
        <f>'Base de Datos Pagos-Notas'!Q111</f>
        <v>0</v>
      </c>
      <c r="K114" s="12">
        <f>'Base de Datos Pagos-Notas'!R111</f>
        <v>0</v>
      </c>
      <c r="L114" s="12">
        <f>'Base de Datos Pagos-Notas'!S111</f>
        <v>0</v>
      </c>
      <c r="M114" s="12">
        <f>'Base de Datos Pagos-Notas'!T111</f>
        <v>0</v>
      </c>
      <c r="N114" s="13">
        <f t="shared" si="3"/>
        <v>0</v>
      </c>
    </row>
    <row r="115" spans="1:25" ht="12.95" customHeight="1" x14ac:dyDescent="0.2">
      <c r="A115" s="10">
        <f>'Base de Datos Pagos-Notas'!C112</f>
        <v>0</v>
      </c>
      <c r="B115" s="10">
        <f>'Base de Datos Pagos-Notas'!D112</f>
        <v>0</v>
      </c>
      <c r="C115" s="11">
        <f>'Base de Datos Pagos-Notas'!F112</f>
        <v>0</v>
      </c>
      <c r="D115" s="10" t="str">
        <f t="shared" si="2"/>
        <v>Nota Crédito</v>
      </c>
      <c r="E115" s="11">
        <f>'Base de Datos Pagos-Notas'!L112</f>
        <v>0</v>
      </c>
      <c r="F115" s="12">
        <f>'Base de Datos Pagos-Notas'!M112</f>
        <v>0</v>
      </c>
      <c r="G115" s="12">
        <f>'Base de Datos Pagos-Notas'!N112</f>
        <v>0</v>
      </c>
      <c r="H115" s="12">
        <f>'Base de Datos Pagos-Notas'!O112</f>
        <v>0</v>
      </c>
      <c r="I115" s="12">
        <f>'Base de Datos Pagos-Notas'!P112</f>
        <v>0</v>
      </c>
      <c r="J115" s="12">
        <f>'Base de Datos Pagos-Notas'!Q112</f>
        <v>0</v>
      </c>
      <c r="K115" s="12">
        <f>'Base de Datos Pagos-Notas'!R112</f>
        <v>0</v>
      </c>
      <c r="L115" s="12">
        <f>'Base de Datos Pagos-Notas'!S112</f>
        <v>0</v>
      </c>
      <c r="M115" s="12">
        <f>'Base de Datos Pagos-Notas'!T112</f>
        <v>0</v>
      </c>
      <c r="N115" s="13">
        <f t="shared" si="3"/>
        <v>0</v>
      </c>
    </row>
    <row r="116" spans="1:25" ht="12.95" customHeight="1" x14ac:dyDescent="0.2">
      <c r="A116" s="10">
        <f>'Base de Datos Pagos-Notas'!C113</f>
        <v>0</v>
      </c>
      <c r="B116" s="10">
        <f>'Base de Datos Pagos-Notas'!D113</f>
        <v>0</v>
      </c>
      <c r="C116" s="11">
        <f>'Base de Datos Pagos-Notas'!F113</f>
        <v>0</v>
      </c>
      <c r="D116" s="10" t="str">
        <f t="shared" si="2"/>
        <v>Nota Crédito</v>
      </c>
      <c r="E116" s="11">
        <f>'Base de Datos Pagos-Notas'!L113</f>
        <v>0</v>
      </c>
      <c r="F116" s="12">
        <f>'Base de Datos Pagos-Notas'!M113</f>
        <v>0</v>
      </c>
      <c r="G116" s="12">
        <f>'Base de Datos Pagos-Notas'!N113</f>
        <v>0</v>
      </c>
      <c r="H116" s="12">
        <f>'Base de Datos Pagos-Notas'!O113</f>
        <v>0</v>
      </c>
      <c r="I116" s="12">
        <f>'Base de Datos Pagos-Notas'!P113</f>
        <v>0</v>
      </c>
      <c r="J116" s="12">
        <f>'Base de Datos Pagos-Notas'!Q113</f>
        <v>0</v>
      </c>
      <c r="K116" s="12">
        <f>'Base de Datos Pagos-Notas'!R113</f>
        <v>0</v>
      </c>
      <c r="L116" s="12">
        <f>'Base de Datos Pagos-Notas'!S113</f>
        <v>0</v>
      </c>
      <c r="M116" s="12">
        <f>'Base de Datos Pagos-Notas'!T113</f>
        <v>0</v>
      </c>
      <c r="N116" s="13">
        <f t="shared" si="3"/>
        <v>0</v>
      </c>
    </row>
    <row r="117" spans="1:25" ht="12.95" customHeight="1" x14ac:dyDescent="0.2">
      <c r="A117" s="10">
        <f>'Base de Datos Pagos-Notas'!C114</f>
        <v>0</v>
      </c>
      <c r="B117" s="10">
        <f>'Base de Datos Pagos-Notas'!D114</f>
        <v>0</v>
      </c>
      <c r="C117" s="11">
        <f>'Base de Datos Pagos-Notas'!F114</f>
        <v>0</v>
      </c>
      <c r="D117" s="10" t="str">
        <f t="shared" si="2"/>
        <v>Nota Crédito</v>
      </c>
      <c r="E117" s="11">
        <f>'Base de Datos Pagos-Notas'!L114</f>
        <v>0</v>
      </c>
      <c r="F117" s="12">
        <f>'Base de Datos Pagos-Notas'!M114</f>
        <v>0</v>
      </c>
      <c r="G117" s="12">
        <f>'Base de Datos Pagos-Notas'!N114</f>
        <v>0</v>
      </c>
      <c r="H117" s="12">
        <f>'Base de Datos Pagos-Notas'!O114</f>
        <v>0</v>
      </c>
      <c r="I117" s="12">
        <f>'Base de Datos Pagos-Notas'!P114</f>
        <v>0</v>
      </c>
      <c r="J117" s="12">
        <f>'Base de Datos Pagos-Notas'!Q114</f>
        <v>0</v>
      </c>
      <c r="K117" s="12">
        <f>'Base de Datos Pagos-Notas'!R114</f>
        <v>0</v>
      </c>
      <c r="L117" s="12">
        <f>'Base de Datos Pagos-Notas'!S114</f>
        <v>0</v>
      </c>
      <c r="M117" s="12">
        <f>'Base de Datos Pagos-Notas'!T114</f>
        <v>0</v>
      </c>
      <c r="N117" s="13">
        <f t="shared" si="3"/>
        <v>0</v>
      </c>
    </row>
    <row r="118" spans="1:25" ht="12.95" customHeight="1" x14ac:dyDescent="0.2">
      <c r="A118" s="10">
        <f>'Base de Datos Pagos-Notas'!C115</f>
        <v>0</v>
      </c>
      <c r="B118" s="10">
        <f>'Base de Datos Pagos-Notas'!D115</f>
        <v>0</v>
      </c>
      <c r="C118" s="11">
        <f>'Base de Datos Pagos-Notas'!F115</f>
        <v>0</v>
      </c>
      <c r="D118" s="10" t="str">
        <f t="shared" si="2"/>
        <v>Nota Crédito</v>
      </c>
      <c r="E118" s="11">
        <f>'Base de Datos Pagos-Notas'!L115</f>
        <v>0</v>
      </c>
      <c r="F118" s="12">
        <f>'Base de Datos Pagos-Notas'!M115</f>
        <v>0</v>
      </c>
      <c r="G118" s="12">
        <f>'Base de Datos Pagos-Notas'!N115</f>
        <v>0</v>
      </c>
      <c r="H118" s="12">
        <f>'Base de Datos Pagos-Notas'!O115</f>
        <v>0</v>
      </c>
      <c r="I118" s="12">
        <f>'Base de Datos Pagos-Notas'!P115</f>
        <v>0</v>
      </c>
      <c r="J118" s="12">
        <f>'Base de Datos Pagos-Notas'!Q115</f>
        <v>0</v>
      </c>
      <c r="K118" s="12">
        <f>'Base de Datos Pagos-Notas'!R115</f>
        <v>0</v>
      </c>
      <c r="L118" s="12">
        <f>'Base de Datos Pagos-Notas'!S115</f>
        <v>0</v>
      </c>
      <c r="M118" s="12">
        <f>'Base de Datos Pagos-Notas'!T115</f>
        <v>0</v>
      </c>
      <c r="N118" s="13">
        <f t="shared" si="3"/>
        <v>0</v>
      </c>
    </row>
    <row r="119" spans="1:25" ht="12.95" customHeight="1" x14ac:dyDescent="0.2">
      <c r="A119" s="10">
        <f>'Base de Datos Pagos-Notas'!C116</f>
        <v>0</v>
      </c>
      <c r="B119" s="10">
        <f>'Base de Datos Pagos-Notas'!D116</f>
        <v>0</v>
      </c>
      <c r="C119" s="11">
        <f>'Base de Datos Pagos-Notas'!F116</f>
        <v>0</v>
      </c>
      <c r="D119" s="10" t="str">
        <f t="shared" si="2"/>
        <v>Nota Crédito</v>
      </c>
      <c r="E119" s="11">
        <f>'Base de Datos Pagos-Notas'!L116</f>
        <v>0</v>
      </c>
      <c r="F119" s="12">
        <f>'Base de Datos Pagos-Notas'!M116</f>
        <v>0</v>
      </c>
      <c r="G119" s="12">
        <f>'Base de Datos Pagos-Notas'!N116</f>
        <v>0</v>
      </c>
      <c r="H119" s="12">
        <f>'Base de Datos Pagos-Notas'!O116</f>
        <v>0</v>
      </c>
      <c r="I119" s="12">
        <f>'Base de Datos Pagos-Notas'!P116</f>
        <v>0</v>
      </c>
      <c r="J119" s="12">
        <f>'Base de Datos Pagos-Notas'!Q116</f>
        <v>0</v>
      </c>
      <c r="K119" s="12">
        <f>'Base de Datos Pagos-Notas'!R116</f>
        <v>0</v>
      </c>
      <c r="L119" s="12">
        <f>'Base de Datos Pagos-Notas'!S116</f>
        <v>0</v>
      </c>
      <c r="M119" s="12">
        <f>'Base de Datos Pagos-Notas'!T116</f>
        <v>0</v>
      </c>
      <c r="N119" s="13">
        <f t="shared" si="3"/>
        <v>0</v>
      </c>
    </row>
    <row r="120" spans="1:25" ht="12.95" customHeight="1" x14ac:dyDescent="0.2">
      <c r="A120" s="10">
        <f>'Base de Datos Pagos-Notas'!C117</f>
        <v>0</v>
      </c>
      <c r="B120" s="10">
        <f>'Base de Datos Pagos-Notas'!D117</f>
        <v>0</v>
      </c>
      <c r="C120" s="11">
        <f>'Base de Datos Pagos-Notas'!F117</f>
        <v>0</v>
      </c>
      <c r="D120" s="10" t="str">
        <f t="shared" si="2"/>
        <v>Nota Crédito</v>
      </c>
      <c r="E120" s="11">
        <f>'Base de Datos Pagos-Notas'!L117</f>
        <v>0</v>
      </c>
      <c r="F120" s="12">
        <f>'Base de Datos Pagos-Notas'!M117</f>
        <v>0</v>
      </c>
      <c r="G120" s="12">
        <f>'Base de Datos Pagos-Notas'!N117</f>
        <v>0</v>
      </c>
      <c r="H120" s="12">
        <f>'Base de Datos Pagos-Notas'!O117</f>
        <v>0</v>
      </c>
      <c r="I120" s="12">
        <f>'Base de Datos Pagos-Notas'!P117</f>
        <v>0</v>
      </c>
      <c r="J120" s="12">
        <f>'Base de Datos Pagos-Notas'!Q117</f>
        <v>0</v>
      </c>
      <c r="K120" s="12">
        <f>'Base de Datos Pagos-Notas'!R117</f>
        <v>0</v>
      </c>
      <c r="L120" s="12">
        <f>'Base de Datos Pagos-Notas'!S117</f>
        <v>0</v>
      </c>
      <c r="M120" s="12">
        <f>'Base de Datos Pagos-Notas'!T117</f>
        <v>0</v>
      </c>
      <c r="N120" s="13">
        <f t="shared" si="3"/>
        <v>0</v>
      </c>
    </row>
    <row r="121" spans="1:25" ht="12.95" customHeight="1" x14ac:dyDescent="0.2">
      <c r="A121" s="10">
        <f>'Base de Datos Pagos-Notas'!C118</f>
        <v>0</v>
      </c>
      <c r="B121" s="10">
        <f>'Base de Datos Pagos-Notas'!D118</f>
        <v>0</v>
      </c>
      <c r="C121" s="11">
        <f>'Base de Datos Pagos-Notas'!F118</f>
        <v>0</v>
      </c>
      <c r="D121" s="10" t="str">
        <f t="shared" si="2"/>
        <v>Nota Crédito</v>
      </c>
      <c r="E121" s="11">
        <f>'Base de Datos Pagos-Notas'!L118</f>
        <v>0</v>
      </c>
      <c r="F121" s="12">
        <f>'Base de Datos Pagos-Notas'!M118</f>
        <v>0</v>
      </c>
      <c r="G121" s="12">
        <f>'Base de Datos Pagos-Notas'!N118</f>
        <v>0</v>
      </c>
      <c r="H121" s="12">
        <f>'Base de Datos Pagos-Notas'!O118</f>
        <v>0</v>
      </c>
      <c r="I121" s="12">
        <f>'Base de Datos Pagos-Notas'!P118</f>
        <v>0</v>
      </c>
      <c r="J121" s="12">
        <f>'Base de Datos Pagos-Notas'!Q118</f>
        <v>0</v>
      </c>
      <c r="K121" s="12">
        <f>'Base de Datos Pagos-Notas'!R118</f>
        <v>0</v>
      </c>
      <c r="L121" s="12">
        <f>'Base de Datos Pagos-Notas'!S118</f>
        <v>0</v>
      </c>
      <c r="M121" s="12">
        <f>'Base de Datos Pagos-Notas'!T118</f>
        <v>0</v>
      </c>
      <c r="N121" s="13">
        <f t="shared" si="3"/>
        <v>0</v>
      </c>
    </row>
    <row r="122" spans="1:25" ht="12.95" customHeight="1" x14ac:dyDescent="0.2">
      <c r="A122" s="10">
        <f>'Base de Datos Pagos-Notas'!C119</f>
        <v>0</v>
      </c>
      <c r="B122" s="10">
        <f>'Base de Datos Pagos-Notas'!D119</f>
        <v>0</v>
      </c>
      <c r="C122" s="11">
        <f>'Base de Datos Pagos-Notas'!F119</f>
        <v>0</v>
      </c>
      <c r="D122" s="10" t="str">
        <f t="shared" si="2"/>
        <v>Nota Crédito</v>
      </c>
      <c r="E122" s="11">
        <f>'Base de Datos Pagos-Notas'!L119</f>
        <v>0</v>
      </c>
      <c r="F122" s="12">
        <f>'Base de Datos Pagos-Notas'!M119</f>
        <v>0</v>
      </c>
      <c r="G122" s="12">
        <f>'Base de Datos Pagos-Notas'!N119</f>
        <v>0</v>
      </c>
      <c r="H122" s="12">
        <f>'Base de Datos Pagos-Notas'!O119</f>
        <v>0</v>
      </c>
      <c r="I122" s="12">
        <f>'Base de Datos Pagos-Notas'!P119</f>
        <v>0</v>
      </c>
      <c r="J122" s="12">
        <f>'Base de Datos Pagos-Notas'!Q119</f>
        <v>0</v>
      </c>
      <c r="K122" s="12">
        <f>'Base de Datos Pagos-Notas'!R119</f>
        <v>0</v>
      </c>
      <c r="L122" s="12">
        <f>'Base de Datos Pagos-Notas'!S119</f>
        <v>0</v>
      </c>
      <c r="M122" s="12">
        <f>'Base de Datos Pagos-Notas'!T119</f>
        <v>0</v>
      </c>
      <c r="N122" s="13">
        <f t="shared" si="3"/>
        <v>0</v>
      </c>
    </row>
    <row r="123" spans="1:25" ht="12.95" customHeight="1" x14ac:dyDescent="0.2">
      <c r="A123" s="10">
        <f>'Base de Datos Pagos-Notas'!C120</f>
        <v>0</v>
      </c>
      <c r="B123" s="10">
        <f>'Base de Datos Pagos-Notas'!D120</f>
        <v>0</v>
      </c>
      <c r="C123" s="11">
        <f>'Base de Datos Pagos-Notas'!F120</f>
        <v>0</v>
      </c>
      <c r="D123" s="10" t="str">
        <f t="shared" si="2"/>
        <v>Nota Crédito</v>
      </c>
      <c r="E123" s="11">
        <f>'Base de Datos Pagos-Notas'!L120</f>
        <v>0</v>
      </c>
      <c r="F123" s="12">
        <f>'Base de Datos Pagos-Notas'!M120</f>
        <v>0</v>
      </c>
      <c r="G123" s="12">
        <f>'Base de Datos Pagos-Notas'!N120</f>
        <v>0</v>
      </c>
      <c r="H123" s="12">
        <f>'Base de Datos Pagos-Notas'!O120</f>
        <v>0</v>
      </c>
      <c r="I123" s="12">
        <f>'Base de Datos Pagos-Notas'!P120</f>
        <v>0</v>
      </c>
      <c r="J123" s="12">
        <f>'Base de Datos Pagos-Notas'!Q120</f>
        <v>0</v>
      </c>
      <c r="K123" s="12">
        <f>'Base de Datos Pagos-Notas'!R120</f>
        <v>0</v>
      </c>
      <c r="L123" s="12">
        <f>'Base de Datos Pagos-Notas'!S120</f>
        <v>0</v>
      </c>
      <c r="M123" s="12">
        <f>'Base de Datos Pagos-Notas'!T120</f>
        <v>0</v>
      </c>
      <c r="N123" s="13">
        <f t="shared" si="3"/>
        <v>0</v>
      </c>
    </row>
    <row r="124" spans="1:25" ht="12.95" customHeight="1" x14ac:dyDescent="0.2">
      <c r="A124" s="10">
        <f>'Base de Datos Pagos-Notas'!C121</f>
        <v>0</v>
      </c>
      <c r="B124" s="10">
        <f>'Base de Datos Pagos-Notas'!D121</f>
        <v>0</v>
      </c>
      <c r="C124" s="11">
        <f>'Base de Datos Pagos-Notas'!F121</f>
        <v>0</v>
      </c>
      <c r="D124" s="10" t="str">
        <f t="shared" si="2"/>
        <v>Nota Crédito</v>
      </c>
      <c r="E124" s="11">
        <f>'Base de Datos Pagos-Notas'!L121</f>
        <v>0</v>
      </c>
      <c r="F124" s="12">
        <f>'Base de Datos Pagos-Notas'!M121</f>
        <v>0</v>
      </c>
      <c r="G124" s="12">
        <f>'Base de Datos Pagos-Notas'!N121</f>
        <v>0</v>
      </c>
      <c r="H124" s="12">
        <f>'Base de Datos Pagos-Notas'!O121</f>
        <v>0</v>
      </c>
      <c r="I124" s="12">
        <f>'Base de Datos Pagos-Notas'!P121</f>
        <v>0</v>
      </c>
      <c r="J124" s="12">
        <f>'Base de Datos Pagos-Notas'!Q121</f>
        <v>0</v>
      </c>
      <c r="K124" s="12">
        <f>'Base de Datos Pagos-Notas'!R121</f>
        <v>0</v>
      </c>
      <c r="L124" s="12">
        <f>'Base de Datos Pagos-Notas'!S121</f>
        <v>0</v>
      </c>
      <c r="M124" s="12">
        <f>'Base de Datos Pagos-Notas'!T121</f>
        <v>0</v>
      </c>
      <c r="N124" s="13">
        <f t="shared" si="3"/>
        <v>0</v>
      </c>
    </row>
    <row r="125" spans="1:25" ht="12.95" customHeight="1" x14ac:dyDescent="0.2">
      <c r="A125" s="10">
        <f>'Base de Datos Pagos-Notas'!C122</f>
        <v>0</v>
      </c>
      <c r="B125" s="10">
        <f>'Base de Datos Pagos-Notas'!D122</f>
        <v>0</v>
      </c>
      <c r="C125" s="11">
        <f>'Base de Datos Pagos-Notas'!F122</f>
        <v>0</v>
      </c>
      <c r="D125" s="10" t="str">
        <f t="shared" si="2"/>
        <v>Nota Crédito</v>
      </c>
      <c r="E125" s="11">
        <f>'Base de Datos Pagos-Notas'!L122</f>
        <v>0</v>
      </c>
      <c r="F125" s="12">
        <f>'Base de Datos Pagos-Notas'!M122</f>
        <v>0</v>
      </c>
      <c r="G125" s="12">
        <f>'Base de Datos Pagos-Notas'!N122</f>
        <v>0</v>
      </c>
      <c r="H125" s="12">
        <f>'Base de Datos Pagos-Notas'!O122</f>
        <v>0</v>
      </c>
      <c r="I125" s="12">
        <f>'Base de Datos Pagos-Notas'!P122</f>
        <v>0</v>
      </c>
      <c r="J125" s="12">
        <f>'Base de Datos Pagos-Notas'!Q122</f>
        <v>0</v>
      </c>
      <c r="K125" s="12">
        <f>'Base de Datos Pagos-Notas'!R122</f>
        <v>0</v>
      </c>
      <c r="L125" s="12">
        <f>'Base de Datos Pagos-Notas'!S122</f>
        <v>0</v>
      </c>
      <c r="M125" s="12">
        <f>'Base de Datos Pagos-Notas'!T122</f>
        <v>0</v>
      </c>
      <c r="N125" s="13">
        <f t="shared" si="3"/>
        <v>0</v>
      </c>
    </row>
    <row r="126" spans="1:25" ht="12.95" customHeight="1" x14ac:dyDescent="0.2">
      <c r="A126" s="10">
        <f>'Base de Datos Pagos-Notas'!C123</f>
        <v>0</v>
      </c>
      <c r="B126" s="10">
        <f>'Base de Datos Pagos-Notas'!D123</f>
        <v>0</v>
      </c>
      <c r="C126" s="11">
        <f>'Base de Datos Pagos-Notas'!F123</f>
        <v>0</v>
      </c>
      <c r="D126" s="10" t="str">
        <f t="shared" si="2"/>
        <v>Nota Crédito</v>
      </c>
      <c r="E126" s="11">
        <f>'Base de Datos Pagos-Notas'!L123</f>
        <v>0</v>
      </c>
      <c r="F126" s="12">
        <f>'Base de Datos Pagos-Notas'!M123</f>
        <v>0</v>
      </c>
      <c r="G126" s="12">
        <f>'Base de Datos Pagos-Notas'!N123</f>
        <v>0</v>
      </c>
      <c r="H126" s="12">
        <f>'Base de Datos Pagos-Notas'!O123</f>
        <v>0</v>
      </c>
      <c r="I126" s="12">
        <f>'Base de Datos Pagos-Notas'!P123</f>
        <v>0</v>
      </c>
      <c r="J126" s="12">
        <f>'Base de Datos Pagos-Notas'!Q123</f>
        <v>0</v>
      </c>
      <c r="K126" s="12">
        <f>'Base de Datos Pagos-Notas'!R123</f>
        <v>0</v>
      </c>
      <c r="L126" s="12">
        <f>'Base de Datos Pagos-Notas'!S123</f>
        <v>0</v>
      </c>
      <c r="M126" s="12">
        <f>'Base de Datos Pagos-Notas'!T123</f>
        <v>0</v>
      </c>
      <c r="N126" s="13">
        <f t="shared" si="3"/>
        <v>0</v>
      </c>
    </row>
    <row r="127" spans="1:25" ht="12.95" customHeight="1" x14ac:dyDescent="0.2">
      <c r="A127" s="10">
        <f>'Base de Datos Pagos-Notas'!C124</f>
        <v>0</v>
      </c>
      <c r="B127" s="10">
        <f>'Base de Datos Pagos-Notas'!D124</f>
        <v>0</v>
      </c>
      <c r="C127" s="11">
        <f>'Base de Datos Pagos-Notas'!F124</f>
        <v>0</v>
      </c>
      <c r="D127" s="10" t="str">
        <f t="shared" si="2"/>
        <v>Nota Crédito</v>
      </c>
      <c r="E127" s="11">
        <f>'Base de Datos Pagos-Notas'!L124</f>
        <v>0</v>
      </c>
      <c r="F127" s="12">
        <f>'Base de Datos Pagos-Notas'!M124</f>
        <v>0</v>
      </c>
      <c r="G127" s="12">
        <f>'Base de Datos Pagos-Notas'!N124</f>
        <v>0</v>
      </c>
      <c r="H127" s="12">
        <f>'Base de Datos Pagos-Notas'!O124</f>
        <v>0</v>
      </c>
      <c r="I127" s="12">
        <f>'Base de Datos Pagos-Notas'!P124</f>
        <v>0</v>
      </c>
      <c r="J127" s="12">
        <f>'Base de Datos Pagos-Notas'!Q124</f>
        <v>0</v>
      </c>
      <c r="K127" s="12">
        <f>'Base de Datos Pagos-Notas'!R124</f>
        <v>0</v>
      </c>
      <c r="L127" s="12">
        <f>'Base de Datos Pagos-Notas'!S124</f>
        <v>0</v>
      </c>
      <c r="M127" s="12">
        <f>'Base de Datos Pagos-Notas'!T124</f>
        <v>0</v>
      </c>
      <c r="N127" s="13">
        <f t="shared" si="3"/>
        <v>0</v>
      </c>
    </row>
    <row r="128" spans="1:25" ht="12.95" customHeight="1" x14ac:dyDescent="0.2">
      <c r="A128" s="10">
        <f>'Base de Datos Pagos-Notas'!C125</f>
        <v>0</v>
      </c>
      <c r="B128" s="10">
        <f>'Base de Datos Pagos-Notas'!D125</f>
        <v>0</v>
      </c>
      <c r="C128" s="11">
        <f>'Base de Datos Pagos-Notas'!F125</f>
        <v>0</v>
      </c>
      <c r="D128" s="10" t="str">
        <f t="shared" si="2"/>
        <v>Nota Crédito</v>
      </c>
      <c r="E128" s="11">
        <f>'Base de Datos Pagos-Notas'!L125</f>
        <v>0</v>
      </c>
      <c r="F128" s="12">
        <f>'Base de Datos Pagos-Notas'!M125</f>
        <v>0</v>
      </c>
      <c r="G128" s="12">
        <f>'Base de Datos Pagos-Notas'!N125</f>
        <v>0</v>
      </c>
      <c r="H128" s="12">
        <f>'Base de Datos Pagos-Notas'!O125</f>
        <v>0</v>
      </c>
      <c r="I128" s="12">
        <f>'Base de Datos Pagos-Notas'!P125</f>
        <v>0</v>
      </c>
      <c r="J128" s="12">
        <f>'Base de Datos Pagos-Notas'!Q125</f>
        <v>0</v>
      </c>
      <c r="K128" s="12">
        <f>'Base de Datos Pagos-Notas'!R125</f>
        <v>0</v>
      </c>
      <c r="L128" s="12">
        <f>'Base de Datos Pagos-Notas'!S125</f>
        <v>0</v>
      </c>
      <c r="M128" s="12">
        <f>'Base de Datos Pagos-Notas'!T125</f>
        <v>0</v>
      </c>
      <c r="N128" s="13">
        <f t="shared" si="3"/>
        <v>0</v>
      </c>
    </row>
    <row r="129" spans="1:14" ht="12.95" customHeight="1" x14ac:dyDescent="0.2">
      <c r="A129" s="10">
        <f>'Base de Datos Pagos-Notas'!C126</f>
        <v>0</v>
      </c>
      <c r="B129" s="10">
        <f>'Base de Datos Pagos-Notas'!D126</f>
        <v>0</v>
      </c>
      <c r="C129" s="11">
        <f>'Base de Datos Pagos-Notas'!F126</f>
        <v>0</v>
      </c>
      <c r="D129" s="10" t="str">
        <f t="shared" si="2"/>
        <v>Nota Crédito</v>
      </c>
      <c r="E129" s="11">
        <f>'Base de Datos Pagos-Notas'!L126</f>
        <v>0</v>
      </c>
      <c r="F129" s="12">
        <f>'Base de Datos Pagos-Notas'!M126</f>
        <v>0</v>
      </c>
      <c r="G129" s="12">
        <f>'Base de Datos Pagos-Notas'!N126</f>
        <v>0</v>
      </c>
      <c r="H129" s="12">
        <f>'Base de Datos Pagos-Notas'!O126</f>
        <v>0</v>
      </c>
      <c r="I129" s="12">
        <f>'Base de Datos Pagos-Notas'!P126</f>
        <v>0</v>
      </c>
      <c r="J129" s="12">
        <f>'Base de Datos Pagos-Notas'!Q126</f>
        <v>0</v>
      </c>
      <c r="K129" s="12">
        <f>'Base de Datos Pagos-Notas'!R126</f>
        <v>0</v>
      </c>
      <c r="L129" s="12">
        <f>'Base de Datos Pagos-Notas'!S126</f>
        <v>0</v>
      </c>
      <c r="M129" s="12">
        <f>'Base de Datos Pagos-Notas'!T126</f>
        <v>0</v>
      </c>
      <c r="N129" s="13">
        <f t="shared" si="3"/>
        <v>0</v>
      </c>
    </row>
    <row r="130" spans="1:14" ht="12.95" customHeight="1" x14ac:dyDescent="0.2">
      <c r="A130" s="10">
        <f>'Base de Datos Pagos-Notas'!C127</f>
        <v>0</v>
      </c>
      <c r="B130" s="10">
        <f>'Base de Datos Pagos-Notas'!D127</f>
        <v>0</v>
      </c>
      <c r="C130" s="11">
        <f>'Base de Datos Pagos-Notas'!F127</f>
        <v>0</v>
      </c>
      <c r="D130" s="10" t="str">
        <f t="shared" si="2"/>
        <v>Nota Crédito</v>
      </c>
      <c r="E130" s="11">
        <f>'Base de Datos Pagos-Notas'!L127</f>
        <v>0</v>
      </c>
      <c r="F130" s="12">
        <f>'Base de Datos Pagos-Notas'!M127</f>
        <v>0</v>
      </c>
      <c r="G130" s="12">
        <f>'Base de Datos Pagos-Notas'!N127</f>
        <v>0</v>
      </c>
      <c r="H130" s="12">
        <f>'Base de Datos Pagos-Notas'!O127</f>
        <v>0</v>
      </c>
      <c r="I130" s="12">
        <f>'Base de Datos Pagos-Notas'!P127</f>
        <v>0</v>
      </c>
      <c r="J130" s="12">
        <f>'Base de Datos Pagos-Notas'!Q127</f>
        <v>0</v>
      </c>
      <c r="K130" s="12">
        <f>'Base de Datos Pagos-Notas'!R127</f>
        <v>0</v>
      </c>
      <c r="L130" s="12">
        <f>'Base de Datos Pagos-Notas'!S127</f>
        <v>0</v>
      </c>
      <c r="M130" s="12">
        <f>'Base de Datos Pagos-Notas'!T127</f>
        <v>0</v>
      </c>
      <c r="N130" s="13">
        <f t="shared" si="3"/>
        <v>0</v>
      </c>
    </row>
    <row r="131" spans="1:14" ht="12.95" customHeight="1" x14ac:dyDescent="0.2">
      <c r="A131" s="10">
        <f>'Base de Datos Pagos-Notas'!C128</f>
        <v>0</v>
      </c>
      <c r="B131" s="10">
        <f>'Base de Datos Pagos-Notas'!D128</f>
        <v>0</v>
      </c>
      <c r="C131" s="11">
        <f>'Base de Datos Pagos-Notas'!F128</f>
        <v>0</v>
      </c>
      <c r="D131" s="10" t="str">
        <f t="shared" si="2"/>
        <v>Nota Crédito</v>
      </c>
      <c r="E131" s="11">
        <f>'Base de Datos Pagos-Notas'!L128</f>
        <v>0</v>
      </c>
      <c r="F131" s="12">
        <f>'Base de Datos Pagos-Notas'!M128</f>
        <v>0</v>
      </c>
      <c r="G131" s="12">
        <f>'Base de Datos Pagos-Notas'!N128</f>
        <v>0</v>
      </c>
      <c r="H131" s="12">
        <f>'Base de Datos Pagos-Notas'!O128</f>
        <v>0</v>
      </c>
      <c r="I131" s="12">
        <f>'Base de Datos Pagos-Notas'!P128</f>
        <v>0</v>
      </c>
      <c r="J131" s="12">
        <f>'Base de Datos Pagos-Notas'!Q128</f>
        <v>0</v>
      </c>
      <c r="K131" s="12">
        <f>'Base de Datos Pagos-Notas'!R128</f>
        <v>0</v>
      </c>
      <c r="L131" s="12">
        <f>'Base de Datos Pagos-Notas'!S128</f>
        <v>0</v>
      </c>
      <c r="M131" s="12">
        <f>'Base de Datos Pagos-Notas'!T128</f>
        <v>0</v>
      </c>
      <c r="N131" s="13">
        <f t="shared" si="3"/>
        <v>0</v>
      </c>
    </row>
    <row r="132" spans="1:14" ht="12.95" customHeight="1" x14ac:dyDescent="0.2">
      <c r="A132" s="10">
        <f>'Base de Datos Pagos-Notas'!C129</f>
        <v>0</v>
      </c>
      <c r="B132" s="10">
        <f>'Base de Datos Pagos-Notas'!D129</f>
        <v>0</v>
      </c>
      <c r="C132" s="11">
        <f>'Base de Datos Pagos-Notas'!F129</f>
        <v>0</v>
      </c>
      <c r="D132" s="10" t="str">
        <f t="shared" si="2"/>
        <v>Nota Crédito</v>
      </c>
      <c r="E132" s="11">
        <f>'Base de Datos Pagos-Notas'!L129</f>
        <v>0</v>
      </c>
      <c r="F132" s="12">
        <f>'Base de Datos Pagos-Notas'!M129</f>
        <v>0</v>
      </c>
      <c r="G132" s="12">
        <f>'Base de Datos Pagos-Notas'!N129</f>
        <v>0</v>
      </c>
      <c r="H132" s="12">
        <f>'Base de Datos Pagos-Notas'!O129</f>
        <v>0</v>
      </c>
      <c r="I132" s="12">
        <f>'Base de Datos Pagos-Notas'!P129</f>
        <v>0</v>
      </c>
      <c r="J132" s="12">
        <f>'Base de Datos Pagos-Notas'!Q129</f>
        <v>0</v>
      </c>
      <c r="K132" s="12">
        <f>'Base de Datos Pagos-Notas'!R129</f>
        <v>0</v>
      </c>
      <c r="L132" s="12">
        <f>'Base de Datos Pagos-Notas'!S129</f>
        <v>0</v>
      </c>
      <c r="M132" s="12">
        <f>'Base de Datos Pagos-Notas'!T129</f>
        <v>0</v>
      </c>
      <c r="N132" s="13">
        <f t="shared" si="3"/>
        <v>0</v>
      </c>
    </row>
    <row r="133" spans="1:14" ht="12.95" customHeight="1" x14ac:dyDescent="0.2">
      <c r="A133" s="10">
        <f>'Base de Datos Pagos-Notas'!C130</f>
        <v>0</v>
      </c>
      <c r="B133" s="10">
        <f>'Base de Datos Pagos-Notas'!D130</f>
        <v>0</v>
      </c>
      <c r="C133" s="11">
        <f>'Base de Datos Pagos-Notas'!F130</f>
        <v>0</v>
      </c>
      <c r="D133" s="10" t="str">
        <f t="shared" ref="D133:D196" si="4">IF(E133="1","Pago","Nota Crédito")</f>
        <v>Nota Crédito</v>
      </c>
      <c r="E133" s="11">
        <f>'Base de Datos Pagos-Notas'!L130</f>
        <v>0</v>
      </c>
      <c r="F133" s="12">
        <f>'Base de Datos Pagos-Notas'!M130</f>
        <v>0</v>
      </c>
      <c r="G133" s="12">
        <f>'Base de Datos Pagos-Notas'!N130</f>
        <v>0</v>
      </c>
      <c r="H133" s="12">
        <f>'Base de Datos Pagos-Notas'!O130</f>
        <v>0</v>
      </c>
      <c r="I133" s="12">
        <f>'Base de Datos Pagos-Notas'!P130</f>
        <v>0</v>
      </c>
      <c r="J133" s="12">
        <f>'Base de Datos Pagos-Notas'!Q130</f>
        <v>0</v>
      </c>
      <c r="K133" s="12">
        <f>'Base de Datos Pagos-Notas'!R130</f>
        <v>0</v>
      </c>
      <c r="L133" s="12">
        <f>'Base de Datos Pagos-Notas'!S130</f>
        <v>0</v>
      </c>
      <c r="M133" s="12">
        <f>'Base de Datos Pagos-Notas'!T130</f>
        <v>0</v>
      </c>
      <c r="N133" s="13">
        <f t="shared" ref="N133:N196" si="5">SUM(F133:M133)</f>
        <v>0</v>
      </c>
    </row>
    <row r="134" spans="1:14" ht="12.95" customHeight="1" x14ac:dyDescent="0.2">
      <c r="A134" s="10">
        <f>'Base de Datos Pagos-Notas'!C131</f>
        <v>0</v>
      </c>
      <c r="B134" s="10">
        <f>'Base de Datos Pagos-Notas'!D131</f>
        <v>0</v>
      </c>
      <c r="C134" s="11">
        <f>'Base de Datos Pagos-Notas'!F131</f>
        <v>0</v>
      </c>
      <c r="D134" s="10" t="str">
        <f t="shared" si="4"/>
        <v>Nota Crédito</v>
      </c>
      <c r="E134" s="11">
        <f>'Base de Datos Pagos-Notas'!L131</f>
        <v>0</v>
      </c>
      <c r="F134" s="12">
        <f>'Base de Datos Pagos-Notas'!M131</f>
        <v>0</v>
      </c>
      <c r="G134" s="12">
        <f>'Base de Datos Pagos-Notas'!N131</f>
        <v>0</v>
      </c>
      <c r="H134" s="12">
        <f>'Base de Datos Pagos-Notas'!O131</f>
        <v>0</v>
      </c>
      <c r="I134" s="12">
        <f>'Base de Datos Pagos-Notas'!P131</f>
        <v>0</v>
      </c>
      <c r="J134" s="12">
        <f>'Base de Datos Pagos-Notas'!Q131</f>
        <v>0</v>
      </c>
      <c r="K134" s="12">
        <f>'Base de Datos Pagos-Notas'!R131</f>
        <v>0</v>
      </c>
      <c r="L134" s="12">
        <f>'Base de Datos Pagos-Notas'!S131</f>
        <v>0</v>
      </c>
      <c r="M134" s="12">
        <f>'Base de Datos Pagos-Notas'!T131</f>
        <v>0</v>
      </c>
      <c r="N134" s="13">
        <f t="shared" si="5"/>
        <v>0</v>
      </c>
    </row>
    <row r="135" spans="1:14" ht="12.95" customHeight="1" x14ac:dyDescent="0.2">
      <c r="A135" s="10">
        <f>'Base de Datos Pagos-Notas'!C132</f>
        <v>0</v>
      </c>
      <c r="B135" s="10">
        <f>'Base de Datos Pagos-Notas'!D132</f>
        <v>0</v>
      </c>
      <c r="C135" s="11">
        <f>'Base de Datos Pagos-Notas'!F132</f>
        <v>0</v>
      </c>
      <c r="D135" s="10" t="str">
        <f t="shared" si="4"/>
        <v>Nota Crédito</v>
      </c>
      <c r="E135" s="11">
        <f>'Base de Datos Pagos-Notas'!L132</f>
        <v>0</v>
      </c>
      <c r="F135" s="12">
        <f>'Base de Datos Pagos-Notas'!M132</f>
        <v>0</v>
      </c>
      <c r="G135" s="12">
        <f>'Base de Datos Pagos-Notas'!N132</f>
        <v>0</v>
      </c>
      <c r="H135" s="12">
        <f>'Base de Datos Pagos-Notas'!O132</f>
        <v>0</v>
      </c>
      <c r="I135" s="12">
        <f>'Base de Datos Pagos-Notas'!P132</f>
        <v>0</v>
      </c>
      <c r="J135" s="12">
        <f>'Base de Datos Pagos-Notas'!Q132</f>
        <v>0</v>
      </c>
      <c r="K135" s="12">
        <f>'Base de Datos Pagos-Notas'!R132</f>
        <v>0</v>
      </c>
      <c r="L135" s="12">
        <f>'Base de Datos Pagos-Notas'!S132</f>
        <v>0</v>
      </c>
      <c r="M135" s="12">
        <f>'Base de Datos Pagos-Notas'!T132</f>
        <v>0</v>
      </c>
      <c r="N135" s="13">
        <f t="shared" si="5"/>
        <v>0</v>
      </c>
    </row>
    <row r="136" spans="1:14" ht="12.95" customHeight="1" x14ac:dyDescent="0.2">
      <c r="A136" s="10">
        <f>'Base de Datos Pagos-Notas'!C133</f>
        <v>0</v>
      </c>
      <c r="B136" s="10">
        <f>'Base de Datos Pagos-Notas'!D133</f>
        <v>0</v>
      </c>
      <c r="C136" s="11">
        <f>'Base de Datos Pagos-Notas'!F133</f>
        <v>0</v>
      </c>
      <c r="D136" s="10" t="str">
        <f t="shared" si="4"/>
        <v>Nota Crédito</v>
      </c>
      <c r="E136" s="11">
        <f>'Base de Datos Pagos-Notas'!L133</f>
        <v>0</v>
      </c>
      <c r="F136" s="12">
        <f>'Base de Datos Pagos-Notas'!M133</f>
        <v>0</v>
      </c>
      <c r="G136" s="12">
        <f>'Base de Datos Pagos-Notas'!N133</f>
        <v>0</v>
      </c>
      <c r="H136" s="12">
        <f>'Base de Datos Pagos-Notas'!O133</f>
        <v>0</v>
      </c>
      <c r="I136" s="12">
        <f>'Base de Datos Pagos-Notas'!P133</f>
        <v>0</v>
      </c>
      <c r="J136" s="12">
        <f>'Base de Datos Pagos-Notas'!Q133</f>
        <v>0</v>
      </c>
      <c r="K136" s="12">
        <f>'Base de Datos Pagos-Notas'!R133</f>
        <v>0</v>
      </c>
      <c r="L136" s="12">
        <f>'Base de Datos Pagos-Notas'!S133</f>
        <v>0</v>
      </c>
      <c r="M136" s="12">
        <f>'Base de Datos Pagos-Notas'!T133</f>
        <v>0</v>
      </c>
      <c r="N136" s="13">
        <f t="shared" si="5"/>
        <v>0</v>
      </c>
    </row>
    <row r="137" spans="1:14" ht="12.95" customHeight="1" x14ac:dyDescent="0.2">
      <c r="A137" s="10">
        <f>'Base de Datos Pagos-Notas'!C134</f>
        <v>0</v>
      </c>
      <c r="B137" s="10">
        <f>'Base de Datos Pagos-Notas'!D134</f>
        <v>0</v>
      </c>
      <c r="C137" s="11">
        <f>'Base de Datos Pagos-Notas'!F134</f>
        <v>0</v>
      </c>
      <c r="D137" s="10" t="str">
        <f t="shared" si="4"/>
        <v>Nota Crédito</v>
      </c>
      <c r="E137" s="11">
        <f>'Base de Datos Pagos-Notas'!L134</f>
        <v>0</v>
      </c>
      <c r="F137" s="12">
        <f>'Base de Datos Pagos-Notas'!M134</f>
        <v>0</v>
      </c>
      <c r="G137" s="12">
        <f>'Base de Datos Pagos-Notas'!N134</f>
        <v>0</v>
      </c>
      <c r="H137" s="12">
        <f>'Base de Datos Pagos-Notas'!O134</f>
        <v>0</v>
      </c>
      <c r="I137" s="12">
        <f>'Base de Datos Pagos-Notas'!P134</f>
        <v>0</v>
      </c>
      <c r="J137" s="12">
        <f>'Base de Datos Pagos-Notas'!Q134</f>
        <v>0</v>
      </c>
      <c r="K137" s="12">
        <f>'Base de Datos Pagos-Notas'!R134</f>
        <v>0</v>
      </c>
      <c r="L137" s="12">
        <f>'Base de Datos Pagos-Notas'!S134</f>
        <v>0</v>
      </c>
      <c r="M137" s="12">
        <f>'Base de Datos Pagos-Notas'!T134</f>
        <v>0</v>
      </c>
      <c r="N137" s="13">
        <f t="shared" si="5"/>
        <v>0</v>
      </c>
    </row>
    <row r="138" spans="1:14" ht="12.95" customHeight="1" x14ac:dyDescent="0.2">
      <c r="A138" s="10">
        <f>'Base de Datos Pagos-Notas'!C135</f>
        <v>0</v>
      </c>
      <c r="B138" s="10">
        <f>'Base de Datos Pagos-Notas'!D135</f>
        <v>0</v>
      </c>
      <c r="C138" s="11">
        <f>'Base de Datos Pagos-Notas'!F135</f>
        <v>0</v>
      </c>
      <c r="D138" s="10" t="str">
        <f t="shared" si="4"/>
        <v>Nota Crédito</v>
      </c>
      <c r="E138" s="11">
        <f>'Base de Datos Pagos-Notas'!L135</f>
        <v>0</v>
      </c>
      <c r="F138" s="12">
        <f>'Base de Datos Pagos-Notas'!M135</f>
        <v>0</v>
      </c>
      <c r="G138" s="12">
        <f>'Base de Datos Pagos-Notas'!N135</f>
        <v>0</v>
      </c>
      <c r="H138" s="12">
        <f>'Base de Datos Pagos-Notas'!O135</f>
        <v>0</v>
      </c>
      <c r="I138" s="12">
        <f>'Base de Datos Pagos-Notas'!P135</f>
        <v>0</v>
      </c>
      <c r="J138" s="12">
        <f>'Base de Datos Pagos-Notas'!Q135</f>
        <v>0</v>
      </c>
      <c r="K138" s="12">
        <f>'Base de Datos Pagos-Notas'!R135</f>
        <v>0</v>
      </c>
      <c r="L138" s="12">
        <f>'Base de Datos Pagos-Notas'!S135</f>
        <v>0</v>
      </c>
      <c r="M138" s="12">
        <f>'Base de Datos Pagos-Notas'!T135</f>
        <v>0</v>
      </c>
      <c r="N138" s="13">
        <f t="shared" si="5"/>
        <v>0</v>
      </c>
    </row>
    <row r="139" spans="1:14" ht="12.95" customHeight="1" x14ac:dyDescent="0.2">
      <c r="A139" s="10">
        <f>'Base de Datos Pagos-Notas'!C136</f>
        <v>0</v>
      </c>
      <c r="B139" s="10">
        <f>'Base de Datos Pagos-Notas'!D136</f>
        <v>0</v>
      </c>
      <c r="C139" s="11">
        <f>'Base de Datos Pagos-Notas'!F136</f>
        <v>0</v>
      </c>
      <c r="D139" s="10" t="str">
        <f t="shared" si="4"/>
        <v>Nota Crédito</v>
      </c>
      <c r="E139" s="11">
        <f>'Base de Datos Pagos-Notas'!L136</f>
        <v>0</v>
      </c>
      <c r="F139" s="12">
        <f>'Base de Datos Pagos-Notas'!M136</f>
        <v>0</v>
      </c>
      <c r="G139" s="12">
        <f>'Base de Datos Pagos-Notas'!N136</f>
        <v>0</v>
      </c>
      <c r="H139" s="12">
        <f>'Base de Datos Pagos-Notas'!O136</f>
        <v>0</v>
      </c>
      <c r="I139" s="12">
        <f>'Base de Datos Pagos-Notas'!P136</f>
        <v>0</v>
      </c>
      <c r="J139" s="12">
        <f>'Base de Datos Pagos-Notas'!Q136</f>
        <v>0</v>
      </c>
      <c r="K139" s="12">
        <f>'Base de Datos Pagos-Notas'!R136</f>
        <v>0</v>
      </c>
      <c r="L139" s="12">
        <f>'Base de Datos Pagos-Notas'!S136</f>
        <v>0</v>
      </c>
      <c r="M139" s="12">
        <f>'Base de Datos Pagos-Notas'!T136</f>
        <v>0</v>
      </c>
      <c r="N139" s="13">
        <f t="shared" si="5"/>
        <v>0</v>
      </c>
    </row>
    <row r="140" spans="1:14" ht="12.95" customHeight="1" x14ac:dyDescent="0.2">
      <c r="A140" s="10">
        <f>'Base de Datos Pagos-Notas'!C137</f>
        <v>0</v>
      </c>
      <c r="B140" s="10">
        <f>'Base de Datos Pagos-Notas'!D137</f>
        <v>0</v>
      </c>
      <c r="C140" s="11">
        <f>'Base de Datos Pagos-Notas'!F137</f>
        <v>0</v>
      </c>
      <c r="D140" s="10" t="str">
        <f t="shared" si="4"/>
        <v>Nota Crédito</v>
      </c>
      <c r="E140" s="11">
        <f>'Base de Datos Pagos-Notas'!L137</f>
        <v>0</v>
      </c>
      <c r="F140" s="12">
        <f>'Base de Datos Pagos-Notas'!M137</f>
        <v>0</v>
      </c>
      <c r="G140" s="12">
        <f>'Base de Datos Pagos-Notas'!N137</f>
        <v>0</v>
      </c>
      <c r="H140" s="12">
        <f>'Base de Datos Pagos-Notas'!O137</f>
        <v>0</v>
      </c>
      <c r="I140" s="12">
        <f>'Base de Datos Pagos-Notas'!P137</f>
        <v>0</v>
      </c>
      <c r="J140" s="12">
        <f>'Base de Datos Pagos-Notas'!Q137</f>
        <v>0</v>
      </c>
      <c r="K140" s="12">
        <f>'Base de Datos Pagos-Notas'!R137</f>
        <v>0</v>
      </c>
      <c r="L140" s="12">
        <f>'Base de Datos Pagos-Notas'!S137</f>
        <v>0</v>
      </c>
      <c r="M140" s="12">
        <f>'Base de Datos Pagos-Notas'!T137</f>
        <v>0</v>
      </c>
      <c r="N140" s="13">
        <f t="shared" si="5"/>
        <v>0</v>
      </c>
    </row>
    <row r="141" spans="1:14" ht="12.95" customHeight="1" x14ac:dyDescent="0.2">
      <c r="A141" s="10">
        <f>'Base de Datos Pagos-Notas'!C138</f>
        <v>0</v>
      </c>
      <c r="B141" s="10">
        <f>'Base de Datos Pagos-Notas'!D138</f>
        <v>0</v>
      </c>
      <c r="C141" s="11">
        <f>'Base de Datos Pagos-Notas'!F138</f>
        <v>0</v>
      </c>
      <c r="D141" s="10" t="str">
        <f t="shared" si="4"/>
        <v>Nota Crédito</v>
      </c>
      <c r="E141" s="11">
        <f>'Base de Datos Pagos-Notas'!L138</f>
        <v>0</v>
      </c>
      <c r="F141" s="12">
        <f>'Base de Datos Pagos-Notas'!M138</f>
        <v>0</v>
      </c>
      <c r="G141" s="12">
        <f>'Base de Datos Pagos-Notas'!N138</f>
        <v>0</v>
      </c>
      <c r="H141" s="12">
        <f>'Base de Datos Pagos-Notas'!O138</f>
        <v>0</v>
      </c>
      <c r="I141" s="12">
        <f>'Base de Datos Pagos-Notas'!P138</f>
        <v>0</v>
      </c>
      <c r="J141" s="12">
        <f>'Base de Datos Pagos-Notas'!Q138</f>
        <v>0</v>
      </c>
      <c r="K141" s="12">
        <f>'Base de Datos Pagos-Notas'!R138</f>
        <v>0</v>
      </c>
      <c r="L141" s="12">
        <f>'Base de Datos Pagos-Notas'!S138</f>
        <v>0</v>
      </c>
      <c r="M141" s="12">
        <f>'Base de Datos Pagos-Notas'!T138</f>
        <v>0</v>
      </c>
      <c r="N141" s="13">
        <f t="shared" si="5"/>
        <v>0</v>
      </c>
    </row>
    <row r="142" spans="1:14" ht="12.95" customHeight="1" x14ac:dyDescent="0.2">
      <c r="A142" s="10">
        <f>'Base de Datos Pagos-Notas'!C139</f>
        <v>0</v>
      </c>
      <c r="B142" s="10">
        <f>'Base de Datos Pagos-Notas'!D139</f>
        <v>0</v>
      </c>
      <c r="C142" s="11">
        <f>'Base de Datos Pagos-Notas'!F139</f>
        <v>0</v>
      </c>
      <c r="D142" s="10" t="str">
        <f t="shared" si="4"/>
        <v>Nota Crédito</v>
      </c>
      <c r="E142" s="11">
        <f>'Base de Datos Pagos-Notas'!L139</f>
        <v>0</v>
      </c>
      <c r="F142" s="12">
        <f>'Base de Datos Pagos-Notas'!M139</f>
        <v>0</v>
      </c>
      <c r="G142" s="12">
        <f>'Base de Datos Pagos-Notas'!N139</f>
        <v>0</v>
      </c>
      <c r="H142" s="12">
        <f>'Base de Datos Pagos-Notas'!O139</f>
        <v>0</v>
      </c>
      <c r="I142" s="12">
        <f>'Base de Datos Pagos-Notas'!P139</f>
        <v>0</v>
      </c>
      <c r="J142" s="12">
        <f>'Base de Datos Pagos-Notas'!Q139</f>
        <v>0</v>
      </c>
      <c r="K142" s="12">
        <f>'Base de Datos Pagos-Notas'!R139</f>
        <v>0</v>
      </c>
      <c r="L142" s="12">
        <f>'Base de Datos Pagos-Notas'!S139</f>
        <v>0</v>
      </c>
      <c r="M142" s="12">
        <f>'Base de Datos Pagos-Notas'!T139</f>
        <v>0</v>
      </c>
      <c r="N142" s="13">
        <f t="shared" si="5"/>
        <v>0</v>
      </c>
    </row>
    <row r="143" spans="1:14" ht="12.95" customHeight="1" x14ac:dyDescent="0.2">
      <c r="A143" s="10">
        <f>'Base de Datos Pagos-Notas'!C140</f>
        <v>0</v>
      </c>
      <c r="B143" s="10">
        <f>'Base de Datos Pagos-Notas'!D140</f>
        <v>0</v>
      </c>
      <c r="C143" s="11">
        <f>'Base de Datos Pagos-Notas'!F140</f>
        <v>0</v>
      </c>
      <c r="D143" s="10" t="str">
        <f t="shared" si="4"/>
        <v>Nota Crédito</v>
      </c>
      <c r="E143" s="11">
        <f>'Base de Datos Pagos-Notas'!L140</f>
        <v>0</v>
      </c>
      <c r="F143" s="12">
        <f>'Base de Datos Pagos-Notas'!M140</f>
        <v>0</v>
      </c>
      <c r="G143" s="12">
        <f>'Base de Datos Pagos-Notas'!N140</f>
        <v>0</v>
      </c>
      <c r="H143" s="12">
        <f>'Base de Datos Pagos-Notas'!O140</f>
        <v>0</v>
      </c>
      <c r="I143" s="12">
        <f>'Base de Datos Pagos-Notas'!P140</f>
        <v>0</v>
      </c>
      <c r="J143" s="12">
        <f>'Base de Datos Pagos-Notas'!Q140</f>
        <v>0</v>
      </c>
      <c r="K143" s="12">
        <f>'Base de Datos Pagos-Notas'!R140</f>
        <v>0</v>
      </c>
      <c r="L143" s="12">
        <f>'Base de Datos Pagos-Notas'!S140</f>
        <v>0</v>
      </c>
      <c r="M143" s="12">
        <f>'Base de Datos Pagos-Notas'!T140</f>
        <v>0</v>
      </c>
      <c r="N143" s="13">
        <f t="shared" si="5"/>
        <v>0</v>
      </c>
    </row>
    <row r="144" spans="1:14" ht="12.95" customHeight="1" x14ac:dyDescent="0.2">
      <c r="A144" s="10">
        <f>'Base de Datos Pagos-Notas'!C141</f>
        <v>0</v>
      </c>
      <c r="B144" s="10">
        <f>'Base de Datos Pagos-Notas'!D141</f>
        <v>0</v>
      </c>
      <c r="C144" s="11">
        <f>'Base de Datos Pagos-Notas'!F141</f>
        <v>0</v>
      </c>
      <c r="D144" s="10" t="str">
        <f t="shared" si="4"/>
        <v>Nota Crédito</v>
      </c>
      <c r="E144" s="11">
        <f>'Base de Datos Pagos-Notas'!L141</f>
        <v>0</v>
      </c>
      <c r="F144" s="12">
        <f>'Base de Datos Pagos-Notas'!M141</f>
        <v>0</v>
      </c>
      <c r="G144" s="12">
        <f>'Base de Datos Pagos-Notas'!N141</f>
        <v>0</v>
      </c>
      <c r="H144" s="12">
        <f>'Base de Datos Pagos-Notas'!O141</f>
        <v>0</v>
      </c>
      <c r="I144" s="12">
        <f>'Base de Datos Pagos-Notas'!P141</f>
        <v>0</v>
      </c>
      <c r="J144" s="12">
        <f>'Base de Datos Pagos-Notas'!Q141</f>
        <v>0</v>
      </c>
      <c r="K144" s="12">
        <f>'Base de Datos Pagos-Notas'!R141</f>
        <v>0</v>
      </c>
      <c r="L144" s="12">
        <f>'Base de Datos Pagos-Notas'!S141</f>
        <v>0</v>
      </c>
      <c r="M144" s="12">
        <f>'Base de Datos Pagos-Notas'!T141</f>
        <v>0</v>
      </c>
      <c r="N144" s="13">
        <f t="shared" si="5"/>
        <v>0</v>
      </c>
    </row>
    <row r="145" spans="1:14" ht="12.95" customHeight="1" x14ac:dyDescent="0.2">
      <c r="A145" s="10">
        <f>'Base de Datos Pagos-Notas'!C142</f>
        <v>0</v>
      </c>
      <c r="B145" s="10">
        <f>'Base de Datos Pagos-Notas'!D142</f>
        <v>0</v>
      </c>
      <c r="C145" s="11">
        <f>'Base de Datos Pagos-Notas'!F142</f>
        <v>0</v>
      </c>
      <c r="D145" s="10" t="str">
        <f t="shared" si="4"/>
        <v>Nota Crédito</v>
      </c>
      <c r="E145" s="11">
        <f>'Base de Datos Pagos-Notas'!L142</f>
        <v>0</v>
      </c>
      <c r="F145" s="12">
        <f>'Base de Datos Pagos-Notas'!M142</f>
        <v>0</v>
      </c>
      <c r="G145" s="12">
        <f>'Base de Datos Pagos-Notas'!N142</f>
        <v>0</v>
      </c>
      <c r="H145" s="12">
        <f>'Base de Datos Pagos-Notas'!O142</f>
        <v>0</v>
      </c>
      <c r="I145" s="12">
        <f>'Base de Datos Pagos-Notas'!P142</f>
        <v>0</v>
      </c>
      <c r="J145" s="12">
        <f>'Base de Datos Pagos-Notas'!Q142</f>
        <v>0</v>
      </c>
      <c r="K145" s="12">
        <f>'Base de Datos Pagos-Notas'!R142</f>
        <v>0</v>
      </c>
      <c r="L145" s="12">
        <f>'Base de Datos Pagos-Notas'!S142</f>
        <v>0</v>
      </c>
      <c r="M145" s="12">
        <f>'Base de Datos Pagos-Notas'!T142</f>
        <v>0</v>
      </c>
      <c r="N145" s="13">
        <f t="shared" si="5"/>
        <v>0</v>
      </c>
    </row>
    <row r="146" spans="1:14" ht="12.95" customHeight="1" x14ac:dyDescent="0.2">
      <c r="A146" s="10">
        <f>'Base de Datos Pagos-Notas'!C143</f>
        <v>0</v>
      </c>
      <c r="B146" s="10">
        <f>'Base de Datos Pagos-Notas'!D143</f>
        <v>0</v>
      </c>
      <c r="C146" s="11">
        <f>'Base de Datos Pagos-Notas'!F143</f>
        <v>0</v>
      </c>
      <c r="D146" s="10" t="str">
        <f t="shared" si="4"/>
        <v>Nota Crédito</v>
      </c>
      <c r="E146" s="11">
        <f>'Base de Datos Pagos-Notas'!L143</f>
        <v>0</v>
      </c>
      <c r="F146" s="12">
        <f>'Base de Datos Pagos-Notas'!M143</f>
        <v>0</v>
      </c>
      <c r="G146" s="12">
        <f>'Base de Datos Pagos-Notas'!N143</f>
        <v>0</v>
      </c>
      <c r="H146" s="12">
        <f>'Base de Datos Pagos-Notas'!O143</f>
        <v>0</v>
      </c>
      <c r="I146" s="12">
        <f>'Base de Datos Pagos-Notas'!P143</f>
        <v>0</v>
      </c>
      <c r="J146" s="12">
        <f>'Base de Datos Pagos-Notas'!Q143</f>
        <v>0</v>
      </c>
      <c r="K146" s="12">
        <f>'Base de Datos Pagos-Notas'!R143</f>
        <v>0</v>
      </c>
      <c r="L146" s="12">
        <f>'Base de Datos Pagos-Notas'!S143</f>
        <v>0</v>
      </c>
      <c r="M146" s="12">
        <f>'Base de Datos Pagos-Notas'!T143</f>
        <v>0</v>
      </c>
      <c r="N146" s="13">
        <f t="shared" si="5"/>
        <v>0</v>
      </c>
    </row>
    <row r="147" spans="1:14" ht="12.95" customHeight="1" x14ac:dyDescent="0.2">
      <c r="A147" s="10">
        <f>'Base de Datos Pagos-Notas'!C144</f>
        <v>0</v>
      </c>
      <c r="B147" s="10">
        <f>'Base de Datos Pagos-Notas'!D144</f>
        <v>0</v>
      </c>
      <c r="C147" s="11">
        <f>'Base de Datos Pagos-Notas'!F144</f>
        <v>0</v>
      </c>
      <c r="D147" s="10" t="str">
        <f t="shared" si="4"/>
        <v>Nota Crédito</v>
      </c>
      <c r="E147" s="11">
        <f>'Base de Datos Pagos-Notas'!L144</f>
        <v>0</v>
      </c>
      <c r="F147" s="12">
        <f>'Base de Datos Pagos-Notas'!M144</f>
        <v>0</v>
      </c>
      <c r="G147" s="12">
        <f>'Base de Datos Pagos-Notas'!N144</f>
        <v>0</v>
      </c>
      <c r="H147" s="12">
        <f>'Base de Datos Pagos-Notas'!O144</f>
        <v>0</v>
      </c>
      <c r="I147" s="12">
        <f>'Base de Datos Pagos-Notas'!P144</f>
        <v>0</v>
      </c>
      <c r="J147" s="12">
        <f>'Base de Datos Pagos-Notas'!Q144</f>
        <v>0</v>
      </c>
      <c r="K147" s="12">
        <f>'Base de Datos Pagos-Notas'!R144</f>
        <v>0</v>
      </c>
      <c r="L147" s="12">
        <f>'Base de Datos Pagos-Notas'!S144</f>
        <v>0</v>
      </c>
      <c r="M147" s="12">
        <f>'Base de Datos Pagos-Notas'!T144</f>
        <v>0</v>
      </c>
      <c r="N147" s="13">
        <f t="shared" si="5"/>
        <v>0</v>
      </c>
    </row>
    <row r="148" spans="1:14" ht="12.95" customHeight="1" x14ac:dyDescent="0.2">
      <c r="A148" s="10">
        <f>'Base de Datos Pagos-Notas'!C145</f>
        <v>0</v>
      </c>
      <c r="B148" s="10">
        <f>'Base de Datos Pagos-Notas'!D145</f>
        <v>0</v>
      </c>
      <c r="C148" s="11">
        <f>'Base de Datos Pagos-Notas'!F145</f>
        <v>0</v>
      </c>
      <c r="D148" s="10" t="str">
        <f t="shared" si="4"/>
        <v>Nota Crédito</v>
      </c>
      <c r="E148" s="11">
        <f>'Base de Datos Pagos-Notas'!L145</f>
        <v>0</v>
      </c>
      <c r="F148" s="12">
        <f>'Base de Datos Pagos-Notas'!M145</f>
        <v>0</v>
      </c>
      <c r="G148" s="12">
        <f>'Base de Datos Pagos-Notas'!N145</f>
        <v>0</v>
      </c>
      <c r="H148" s="12">
        <f>'Base de Datos Pagos-Notas'!O145</f>
        <v>0</v>
      </c>
      <c r="I148" s="12">
        <f>'Base de Datos Pagos-Notas'!P145</f>
        <v>0</v>
      </c>
      <c r="J148" s="12">
        <f>'Base de Datos Pagos-Notas'!Q145</f>
        <v>0</v>
      </c>
      <c r="K148" s="12">
        <f>'Base de Datos Pagos-Notas'!R145</f>
        <v>0</v>
      </c>
      <c r="L148" s="12">
        <f>'Base de Datos Pagos-Notas'!S145</f>
        <v>0</v>
      </c>
      <c r="M148" s="12">
        <f>'Base de Datos Pagos-Notas'!T145</f>
        <v>0</v>
      </c>
      <c r="N148" s="13">
        <f t="shared" si="5"/>
        <v>0</v>
      </c>
    </row>
    <row r="149" spans="1:14" ht="12.95" customHeight="1" x14ac:dyDescent="0.2">
      <c r="A149" s="10">
        <f>'Base de Datos Pagos-Notas'!C146</f>
        <v>0</v>
      </c>
      <c r="B149" s="10">
        <f>'Base de Datos Pagos-Notas'!D146</f>
        <v>0</v>
      </c>
      <c r="C149" s="11">
        <f>'Base de Datos Pagos-Notas'!F146</f>
        <v>0</v>
      </c>
      <c r="D149" s="10" t="str">
        <f t="shared" si="4"/>
        <v>Nota Crédito</v>
      </c>
      <c r="E149" s="11">
        <f>'Base de Datos Pagos-Notas'!L146</f>
        <v>0</v>
      </c>
      <c r="F149" s="12">
        <f>'Base de Datos Pagos-Notas'!M146</f>
        <v>0</v>
      </c>
      <c r="G149" s="12">
        <f>'Base de Datos Pagos-Notas'!N146</f>
        <v>0</v>
      </c>
      <c r="H149" s="12">
        <f>'Base de Datos Pagos-Notas'!O146</f>
        <v>0</v>
      </c>
      <c r="I149" s="12">
        <f>'Base de Datos Pagos-Notas'!P146</f>
        <v>0</v>
      </c>
      <c r="J149" s="12">
        <f>'Base de Datos Pagos-Notas'!Q146</f>
        <v>0</v>
      </c>
      <c r="K149" s="12">
        <f>'Base de Datos Pagos-Notas'!R146</f>
        <v>0</v>
      </c>
      <c r="L149" s="12">
        <f>'Base de Datos Pagos-Notas'!S146</f>
        <v>0</v>
      </c>
      <c r="M149" s="12">
        <f>'Base de Datos Pagos-Notas'!T146</f>
        <v>0</v>
      </c>
      <c r="N149" s="13">
        <f t="shared" si="5"/>
        <v>0</v>
      </c>
    </row>
    <row r="150" spans="1:14" ht="12.95" customHeight="1" x14ac:dyDescent="0.2">
      <c r="A150" s="10">
        <f>'Base de Datos Pagos-Notas'!C147</f>
        <v>0</v>
      </c>
      <c r="B150" s="10">
        <f>'Base de Datos Pagos-Notas'!D147</f>
        <v>0</v>
      </c>
      <c r="C150" s="11">
        <f>'Base de Datos Pagos-Notas'!F147</f>
        <v>0</v>
      </c>
      <c r="D150" s="10" t="str">
        <f t="shared" si="4"/>
        <v>Nota Crédito</v>
      </c>
      <c r="E150" s="11">
        <f>'Base de Datos Pagos-Notas'!L147</f>
        <v>0</v>
      </c>
      <c r="F150" s="12">
        <f>'Base de Datos Pagos-Notas'!M147</f>
        <v>0</v>
      </c>
      <c r="G150" s="12">
        <f>'Base de Datos Pagos-Notas'!N147</f>
        <v>0</v>
      </c>
      <c r="H150" s="12">
        <f>'Base de Datos Pagos-Notas'!O147</f>
        <v>0</v>
      </c>
      <c r="I150" s="12">
        <f>'Base de Datos Pagos-Notas'!P147</f>
        <v>0</v>
      </c>
      <c r="J150" s="12">
        <f>'Base de Datos Pagos-Notas'!Q147</f>
        <v>0</v>
      </c>
      <c r="K150" s="12">
        <f>'Base de Datos Pagos-Notas'!R147</f>
        <v>0</v>
      </c>
      <c r="L150" s="12">
        <f>'Base de Datos Pagos-Notas'!S147</f>
        <v>0</v>
      </c>
      <c r="M150" s="12">
        <f>'Base de Datos Pagos-Notas'!T147</f>
        <v>0</v>
      </c>
      <c r="N150" s="13">
        <f t="shared" si="5"/>
        <v>0</v>
      </c>
    </row>
    <row r="151" spans="1:14" ht="12.95" customHeight="1" x14ac:dyDescent="0.2">
      <c r="A151" s="10">
        <f>'Base de Datos Pagos-Notas'!C148</f>
        <v>0</v>
      </c>
      <c r="B151" s="10">
        <f>'Base de Datos Pagos-Notas'!D148</f>
        <v>0</v>
      </c>
      <c r="C151" s="11">
        <f>'Base de Datos Pagos-Notas'!F148</f>
        <v>0</v>
      </c>
      <c r="D151" s="10" t="str">
        <f t="shared" si="4"/>
        <v>Nota Crédito</v>
      </c>
      <c r="E151" s="11">
        <f>'Base de Datos Pagos-Notas'!L148</f>
        <v>0</v>
      </c>
      <c r="F151" s="12">
        <f>'Base de Datos Pagos-Notas'!M148</f>
        <v>0</v>
      </c>
      <c r="G151" s="12">
        <f>'Base de Datos Pagos-Notas'!N148</f>
        <v>0</v>
      </c>
      <c r="H151" s="12">
        <f>'Base de Datos Pagos-Notas'!O148</f>
        <v>0</v>
      </c>
      <c r="I151" s="12">
        <f>'Base de Datos Pagos-Notas'!P148</f>
        <v>0</v>
      </c>
      <c r="J151" s="12">
        <f>'Base de Datos Pagos-Notas'!Q148</f>
        <v>0</v>
      </c>
      <c r="K151" s="12">
        <f>'Base de Datos Pagos-Notas'!R148</f>
        <v>0</v>
      </c>
      <c r="L151" s="12">
        <f>'Base de Datos Pagos-Notas'!S148</f>
        <v>0</v>
      </c>
      <c r="M151" s="12">
        <f>'Base de Datos Pagos-Notas'!T148</f>
        <v>0</v>
      </c>
      <c r="N151" s="13">
        <f t="shared" si="5"/>
        <v>0</v>
      </c>
    </row>
    <row r="152" spans="1:14" ht="12.95" customHeight="1" x14ac:dyDescent="0.2">
      <c r="A152" s="10">
        <f>'Base de Datos Pagos-Notas'!C149</f>
        <v>0</v>
      </c>
      <c r="B152" s="10">
        <f>'Base de Datos Pagos-Notas'!D149</f>
        <v>0</v>
      </c>
      <c r="C152" s="11">
        <f>'Base de Datos Pagos-Notas'!F149</f>
        <v>0</v>
      </c>
      <c r="D152" s="10" t="str">
        <f t="shared" si="4"/>
        <v>Nota Crédito</v>
      </c>
      <c r="E152" s="11">
        <f>'Base de Datos Pagos-Notas'!L149</f>
        <v>0</v>
      </c>
      <c r="F152" s="12">
        <f>'Base de Datos Pagos-Notas'!M149</f>
        <v>0</v>
      </c>
      <c r="G152" s="12">
        <f>'Base de Datos Pagos-Notas'!N149</f>
        <v>0</v>
      </c>
      <c r="H152" s="12">
        <f>'Base de Datos Pagos-Notas'!O149</f>
        <v>0</v>
      </c>
      <c r="I152" s="12">
        <f>'Base de Datos Pagos-Notas'!P149</f>
        <v>0</v>
      </c>
      <c r="J152" s="12">
        <f>'Base de Datos Pagos-Notas'!Q149</f>
        <v>0</v>
      </c>
      <c r="K152" s="12">
        <f>'Base de Datos Pagos-Notas'!R149</f>
        <v>0</v>
      </c>
      <c r="L152" s="12">
        <f>'Base de Datos Pagos-Notas'!S149</f>
        <v>0</v>
      </c>
      <c r="M152" s="12">
        <f>'Base de Datos Pagos-Notas'!T149</f>
        <v>0</v>
      </c>
      <c r="N152" s="13">
        <f t="shared" si="5"/>
        <v>0</v>
      </c>
    </row>
    <row r="153" spans="1:14" s="20" customFormat="1" ht="12.95" customHeight="1" x14ac:dyDescent="0.2">
      <c r="A153" s="10">
        <f>'Base de Datos Pagos-Notas'!C150</f>
        <v>0</v>
      </c>
      <c r="B153" s="10">
        <f>'Base de Datos Pagos-Notas'!D150</f>
        <v>0</v>
      </c>
      <c r="C153" s="11">
        <f>'Base de Datos Pagos-Notas'!F150</f>
        <v>0</v>
      </c>
      <c r="D153" s="10" t="str">
        <f t="shared" si="4"/>
        <v>Nota Crédito</v>
      </c>
      <c r="E153" s="11">
        <f>'Base de Datos Pagos-Notas'!L150</f>
        <v>0</v>
      </c>
      <c r="F153" s="12">
        <f>'Base de Datos Pagos-Notas'!M150</f>
        <v>0</v>
      </c>
      <c r="G153" s="12">
        <f>'Base de Datos Pagos-Notas'!N150</f>
        <v>0</v>
      </c>
      <c r="H153" s="12">
        <f>'Base de Datos Pagos-Notas'!O150</f>
        <v>0</v>
      </c>
      <c r="I153" s="12">
        <f>'Base de Datos Pagos-Notas'!P150</f>
        <v>0</v>
      </c>
      <c r="J153" s="12">
        <f>'Base de Datos Pagos-Notas'!Q150</f>
        <v>0</v>
      </c>
      <c r="K153" s="12">
        <f>'Base de Datos Pagos-Notas'!R150</f>
        <v>0</v>
      </c>
      <c r="L153" s="12">
        <f>'Base de Datos Pagos-Notas'!S150</f>
        <v>0</v>
      </c>
      <c r="M153" s="12">
        <f>'Base de Datos Pagos-Notas'!T150</f>
        <v>0</v>
      </c>
      <c r="N153" s="13">
        <f t="shared" si="5"/>
        <v>0</v>
      </c>
    </row>
    <row r="154" spans="1:14" s="20" customFormat="1" ht="12.95" customHeight="1" x14ac:dyDescent="0.2">
      <c r="A154" s="10">
        <f>'Base de Datos Pagos-Notas'!C151</f>
        <v>0</v>
      </c>
      <c r="B154" s="10">
        <f>'Base de Datos Pagos-Notas'!D151</f>
        <v>0</v>
      </c>
      <c r="C154" s="11">
        <f>'Base de Datos Pagos-Notas'!F151</f>
        <v>0</v>
      </c>
      <c r="D154" s="10" t="str">
        <f t="shared" si="4"/>
        <v>Nota Crédito</v>
      </c>
      <c r="E154" s="11">
        <f>'Base de Datos Pagos-Notas'!L151</f>
        <v>0</v>
      </c>
      <c r="F154" s="12">
        <f>'Base de Datos Pagos-Notas'!M151</f>
        <v>0</v>
      </c>
      <c r="G154" s="12">
        <f>'Base de Datos Pagos-Notas'!N151</f>
        <v>0</v>
      </c>
      <c r="H154" s="12">
        <f>'Base de Datos Pagos-Notas'!O151</f>
        <v>0</v>
      </c>
      <c r="I154" s="12">
        <f>'Base de Datos Pagos-Notas'!P151</f>
        <v>0</v>
      </c>
      <c r="J154" s="12">
        <f>'Base de Datos Pagos-Notas'!Q151</f>
        <v>0</v>
      </c>
      <c r="K154" s="12">
        <f>'Base de Datos Pagos-Notas'!R151</f>
        <v>0</v>
      </c>
      <c r="L154" s="12">
        <f>'Base de Datos Pagos-Notas'!S151</f>
        <v>0</v>
      </c>
      <c r="M154" s="12">
        <f>'Base de Datos Pagos-Notas'!T151</f>
        <v>0</v>
      </c>
      <c r="N154" s="13">
        <f t="shared" si="5"/>
        <v>0</v>
      </c>
    </row>
    <row r="155" spans="1:14" s="20" customFormat="1" ht="12.95" customHeight="1" x14ac:dyDescent="0.2">
      <c r="A155" s="10">
        <f>'Base de Datos Pagos-Notas'!C152</f>
        <v>0</v>
      </c>
      <c r="B155" s="10">
        <f>'Base de Datos Pagos-Notas'!D152</f>
        <v>0</v>
      </c>
      <c r="C155" s="11">
        <f>'Base de Datos Pagos-Notas'!F152</f>
        <v>0</v>
      </c>
      <c r="D155" s="10" t="str">
        <f t="shared" si="4"/>
        <v>Nota Crédito</v>
      </c>
      <c r="E155" s="11">
        <f>'Base de Datos Pagos-Notas'!L152</f>
        <v>0</v>
      </c>
      <c r="F155" s="12">
        <f>'Base de Datos Pagos-Notas'!M152</f>
        <v>0</v>
      </c>
      <c r="G155" s="12">
        <f>'Base de Datos Pagos-Notas'!N152</f>
        <v>0</v>
      </c>
      <c r="H155" s="12">
        <f>'Base de Datos Pagos-Notas'!O152</f>
        <v>0</v>
      </c>
      <c r="I155" s="12">
        <f>'Base de Datos Pagos-Notas'!P152</f>
        <v>0</v>
      </c>
      <c r="J155" s="12">
        <f>'Base de Datos Pagos-Notas'!Q152</f>
        <v>0</v>
      </c>
      <c r="K155" s="12">
        <f>'Base de Datos Pagos-Notas'!R152</f>
        <v>0</v>
      </c>
      <c r="L155" s="12">
        <f>'Base de Datos Pagos-Notas'!S152</f>
        <v>0</v>
      </c>
      <c r="M155" s="12">
        <f>'Base de Datos Pagos-Notas'!T152</f>
        <v>0</v>
      </c>
      <c r="N155" s="13">
        <f t="shared" si="5"/>
        <v>0</v>
      </c>
    </row>
    <row r="156" spans="1:14" s="20" customFormat="1" ht="12.95" customHeight="1" x14ac:dyDescent="0.2">
      <c r="A156" s="10">
        <f>'Base de Datos Pagos-Notas'!C153</f>
        <v>0</v>
      </c>
      <c r="B156" s="10">
        <f>'Base de Datos Pagos-Notas'!D153</f>
        <v>0</v>
      </c>
      <c r="C156" s="11">
        <f>'Base de Datos Pagos-Notas'!F153</f>
        <v>0</v>
      </c>
      <c r="D156" s="10" t="str">
        <f t="shared" si="4"/>
        <v>Nota Crédito</v>
      </c>
      <c r="E156" s="11">
        <f>'Base de Datos Pagos-Notas'!L153</f>
        <v>0</v>
      </c>
      <c r="F156" s="12">
        <f>'Base de Datos Pagos-Notas'!M153</f>
        <v>0</v>
      </c>
      <c r="G156" s="12">
        <f>'Base de Datos Pagos-Notas'!N153</f>
        <v>0</v>
      </c>
      <c r="H156" s="12">
        <f>'Base de Datos Pagos-Notas'!O153</f>
        <v>0</v>
      </c>
      <c r="I156" s="12">
        <f>'Base de Datos Pagos-Notas'!P153</f>
        <v>0</v>
      </c>
      <c r="J156" s="12">
        <f>'Base de Datos Pagos-Notas'!Q153</f>
        <v>0</v>
      </c>
      <c r="K156" s="12">
        <f>'Base de Datos Pagos-Notas'!R153</f>
        <v>0</v>
      </c>
      <c r="L156" s="12">
        <f>'Base de Datos Pagos-Notas'!S153</f>
        <v>0</v>
      </c>
      <c r="M156" s="12">
        <f>'Base de Datos Pagos-Notas'!T153</f>
        <v>0</v>
      </c>
      <c r="N156" s="13">
        <f t="shared" si="5"/>
        <v>0</v>
      </c>
    </row>
    <row r="157" spans="1:14" s="20" customFormat="1" ht="12.95" customHeight="1" x14ac:dyDescent="0.2">
      <c r="A157" s="10">
        <f>'Base de Datos Pagos-Notas'!C154</f>
        <v>0</v>
      </c>
      <c r="B157" s="10">
        <f>'Base de Datos Pagos-Notas'!D154</f>
        <v>0</v>
      </c>
      <c r="C157" s="11">
        <f>'Base de Datos Pagos-Notas'!F154</f>
        <v>0</v>
      </c>
      <c r="D157" s="10" t="str">
        <f t="shared" si="4"/>
        <v>Nota Crédito</v>
      </c>
      <c r="E157" s="11">
        <f>'Base de Datos Pagos-Notas'!L154</f>
        <v>0</v>
      </c>
      <c r="F157" s="12">
        <f>'Base de Datos Pagos-Notas'!M154</f>
        <v>0</v>
      </c>
      <c r="G157" s="12">
        <f>'Base de Datos Pagos-Notas'!N154</f>
        <v>0</v>
      </c>
      <c r="H157" s="12">
        <f>'Base de Datos Pagos-Notas'!O154</f>
        <v>0</v>
      </c>
      <c r="I157" s="12">
        <f>'Base de Datos Pagos-Notas'!P154</f>
        <v>0</v>
      </c>
      <c r="J157" s="12">
        <f>'Base de Datos Pagos-Notas'!Q154</f>
        <v>0</v>
      </c>
      <c r="K157" s="12">
        <f>'Base de Datos Pagos-Notas'!R154</f>
        <v>0</v>
      </c>
      <c r="L157" s="12">
        <f>'Base de Datos Pagos-Notas'!S154</f>
        <v>0</v>
      </c>
      <c r="M157" s="12">
        <f>'Base de Datos Pagos-Notas'!T154</f>
        <v>0</v>
      </c>
      <c r="N157" s="13">
        <f t="shared" si="5"/>
        <v>0</v>
      </c>
    </row>
    <row r="158" spans="1:14" s="20" customFormat="1" ht="12.95" customHeight="1" x14ac:dyDescent="0.2">
      <c r="A158" s="10">
        <f>'Base de Datos Pagos-Notas'!C155</f>
        <v>0</v>
      </c>
      <c r="B158" s="10">
        <f>'Base de Datos Pagos-Notas'!D155</f>
        <v>0</v>
      </c>
      <c r="C158" s="11">
        <f>'Base de Datos Pagos-Notas'!F155</f>
        <v>0</v>
      </c>
      <c r="D158" s="10" t="str">
        <f t="shared" si="4"/>
        <v>Nota Crédito</v>
      </c>
      <c r="E158" s="11">
        <f>'Base de Datos Pagos-Notas'!L155</f>
        <v>0</v>
      </c>
      <c r="F158" s="12">
        <f>'Base de Datos Pagos-Notas'!M155</f>
        <v>0</v>
      </c>
      <c r="G158" s="12">
        <f>'Base de Datos Pagos-Notas'!N155</f>
        <v>0</v>
      </c>
      <c r="H158" s="12">
        <f>'Base de Datos Pagos-Notas'!O155</f>
        <v>0</v>
      </c>
      <c r="I158" s="12">
        <f>'Base de Datos Pagos-Notas'!P155</f>
        <v>0</v>
      </c>
      <c r="J158" s="12">
        <f>'Base de Datos Pagos-Notas'!Q155</f>
        <v>0</v>
      </c>
      <c r="K158" s="12">
        <f>'Base de Datos Pagos-Notas'!R155</f>
        <v>0</v>
      </c>
      <c r="L158" s="12">
        <f>'Base de Datos Pagos-Notas'!S155</f>
        <v>0</v>
      </c>
      <c r="M158" s="12">
        <f>'Base de Datos Pagos-Notas'!T155</f>
        <v>0</v>
      </c>
      <c r="N158" s="13">
        <f t="shared" si="5"/>
        <v>0</v>
      </c>
    </row>
    <row r="159" spans="1:14" s="20" customFormat="1" ht="12.95" customHeight="1" x14ac:dyDescent="0.2">
      <c r="A159" s="10">
        <f>'Base de Datos Pagos-Notas'!C156</f>
        <v>0</v>
      </c>
      <c r="B159" s="10">
        <f>'Base de Datos Pagos-Notas'!D156</f>
        <v>0</v>
      </c>
      <c r="C159" s="11">
        <f>'Base de Datos Pagos-Notas'!F156</f>
        <v>0</v>
      </c>
      <c r="D159" s="10" t="str">
        <f t="shared" si="4"/>
        <v>Nota Crédito</v>
      </c>
      <c r="E159" s="11">
        <f>'Base de Datos Pagos-Notas'!L156</f>
        <v>0</v>
      </c>
      <c r="F159" s="12">
        <f>'Base de Datos Pagos-Notas'!M156</f>
        <v>0</v>
      </c>
      <c r="G159" s="12">
        <f>'Base de Datos Pagos-Notas'!N156</f>
        <v>0</v>
      </c>
      <c r="H159" s="12">
        <f>'Base de Datos Pagos-Notas'!O156</f>
        <v>0</v>
      </c>
      <c r="I159" s="12">
        <f>'Base de Datos Pagos-Notas'!P156</f>
        <v>0</v>
      </c>
      <c r="J159" s="12">
        <f>'Base de Datos Pagos-Notas'!Q156</f>
        <v>0</v>
      </c>
      <c r="K159" s="12">
        <f>'Base de Datos Pagos-Notas'!R156</f>
        <v>0</v>
      </c>
      <c r="L159" s="12">
        <f>'Base de Datos Pagos-Notas'!S156</f>
        <v>0</v>
      </c>
      <c r="M159" s="12">
        <f>'Base de Datos Pagos-Notas'!T156</f>
        <v>0</v>
      </c>
      <c r="N159" s="13">
        <f t="shared" si="5"/>
        <v>0</v>
      </c>
    </row>
    <row r="160" spans="1:14" s="20" customFormat="1" ht="12.95" customHeight="1" x14ac:dyDescent="0.2">
      <c r="A160" s="10">
        <f>'Base de Datos Pagos-Notas'!C157</f>
        <v>0</v>
      </c>
      <c r="B160" s="10">
        <f>'Base de Datos Pagos-Notas'!D157</f>
        <v>0</v>
      </c>
      <c r="C160" s="11">
        <f>'Base de Datos Pagos-Notas'!F157</f>
        <v>0</v>
      </c>
      <c r="D160" s="10" t="str">
        <f t="shared" si="4"/>
        <v>Nota Crédito</v>
      </c>
      <c r="E160" s="11">
        <f>'Base de Datos Pagos-Notas'!L157</f>
        <v>0</v>
      </c>
      <c r="F160" s="12">
        <f>'Base de Datos Pagos-Notas'!M157</f>
        <v>0</v>
      </c>
      <c r="G160" s="12">
        <f>'Base de Datos Pagos-Notas'!N157</f>
        <v>0</v>
      </c>
      <c r="H160" s="12">
        <f>'Base de Datos Pagos-Notas'!O157</f>
        <v>0</v>
      </c>
      <c r="I160" s="12">
        <f>'Base de Datos Pagos-Notas'!P157</f>
        <v>0</v>
      </c>
      <c r="J160" s="12">
        <f>'Base de Datos Pagos-Notas'!Q157</f>
        <v>0</v>
      </c>
      <c r="K160" s="12">
        <f>'Base de Datos Pagos-Notas'!R157</f>
        <v>0</v>
      </c>
      <c r="L160" s="12">
        <f>'Base de Datos Pagos-Notas'!S157</f>
        <v>0</v>
      </c>
      <c r="M160" s="12">
        <f>'Base de Datos Pagos-Notas'!T157</f>
        <v>0</v>
      </c>
      <c r="N160" s="13">
        <f t="shared" si="5"/>
        <v>0</v>
      </c>
    </row>
    <row r="161" spans="1:14" s="20" customFormat="1" ht="12.95" customHeight="1" x14ac:dyDescent="0.2">
      <c r="A161" s="10">
        <f>'Base de Datos Pagos-Notas'!C158</f>
        <v>0</v>
      </c>
      <c r="B161" s="10">
        <f>'Base de Datos Pagos-Notas'!D158</f>
        <v>0</v>
      </c>
      <c r="C161" s="11">
        <f>'Base de Datos Pagos-Notas'!F158</f>
        <v>0</v>
      </c>
      <c r="D161" s="10" t="str">
        <f t="shared" si="4"/>
        <v>Nota Crédito</v>
      </c>
      <c r="E161" s="11">
        <f>'Base de Datos Pagos-Notas'!L158</f>
        <v>0</v>
      </c>
      <c r="F161" s="12">
        <f>'Base de Datos Pagos-Notas'!M158</f>
        <v>0</v>
      </c>
      <c r="G161" s="12">
        <f>'Base de Datos Pagos-Notas'!N158</f>
        <v>0</v>
      </c>
      <c r="H161" s="12">
        <f>'Base de Datos Pagos-Notas'!O158</f>
        <v>0</v>
      </c>
      <c r="I161" s="12">
        <f>'Base de Datos Pagos-Notas'!P158</f>
        <v>0</v>
      </c>
      <c r="J161" s="12">
        <f>'Base de Datos Pagos-Notas'!Q158</f>
        <v>0</v>
      </c>
      <c r="K161" s="12">
        <f>'Base de Datos Pagos-Notas'!R158</f>
        <v>0</v>
      </c>
      <c r="L161" s="12">
        <f>'Base de Datos Pagos-Notas'!S158</f>
        <v>0</v>
      </c>
      <c r="M161" s="12">
        <f>'Base de Datos Pagos-Notas'!T158</f>
        <v>0</v>
      </c>
      <c r="N161" s="13">
        <f t="shared" si="5"/>
        <v>0</v>
      </c>
    </row>
    <row r="162" spans="1:14" s="20" customFormat="1" ht="12.95" customHeight="1" x14ac:dyDescent="0.2">
      <c r="A162" s="10">
        <f>'Base de Datos Pagos-Notas'!C159</f>
        <v>0</v>
      </c>
      <c r="B162" s="10">
        <f>'Base de Datos Pagos-Notas'!D159</f>
        <v>0</v>
      </c>
      <c r="C162" s="11">
        <f>'Base de Datos Pagos-Notas'!F159</f>
        <v>0</v>
      </c>
      <c r="D162" s="10" t="str">
        <f t="shared" si="4"/>
        <v>Nota Crédito</v>
      </c>
      <c r="E162" s="11">
        <f>'Base de Datos Pagos-Notas'!L159</f>
        <v>0</v>
      </c>
      <c r="F162" s="12">
        <f>'Base de Datos Pagos-Notas'!M159</f>
        <v>0</v>
      </c>
      <c r="G162" s="12">
        <f>'Base de Datos Pagos-Notas'!N159</f>
        <v>0</v>
      </c>
      <c r="H162" s="12">
        <f>'Base de Datos Pagos-Notas'!O159</f>
        <v>0</v>
      </c>
      <c r="I162" s="12">
        <f>'Base de Datos Pagos-Notas'!P159</f>
        <v>0</v>
      </c>
      <c r="J162" s="12">
        <f>'Base de Datos Pagos-Notas'!Q159</f>
        <v>0</v>
      </c>
      <c r="K162" s="12">
        <f>'Base de Datos Pagos-Notas'!R159</f>
        <v>0</v>
      </c>
      <c r="L162" s="12">
        <f>'Base de Datos Pagos-Notas'!S159</f>
        <v>0</v>
      </c>
      <c r="M162" s="12">
        <f>'Base de Datos Pagos-Notas'!T159</f>
        <v>0</v>
      </c>
      <c r="N162" s="13">
        <f t="shared" si="5"/>
        <v>0</v>
      </c>
    </row>
    <row r="163" spans="1:14" s="20" customFormat="1" ht="12.95" customHeight="1" x14ac:dyDescent="0.2">
      <c r="A163" s="10">
        <f>'Base de Datos Pagos-Notas'!C160</f>
        <v>0</v>
      </c>
      <c r="B163" s="10">
        <f>'Base de Datos Pagos-Notas'!D160</f>
        <v>0</v>
      </c>
      <c r="C163" s="11">
        <f>'Base de Datos Pagos-Notas'!F160</f>
        <v>0</v>
      </c>
      <c r="D163" s="10" t="str">
        <f t="shared" si="4"/>
        <v>Nota Crédito</v>
      </c>
      <c r="E163" s="11">
        <f>'Base de Datos Pagos-Notas'!L160</f>
        <v>0</v>
      </c>
      <c r="F163" s="12">
        <f>'Base de Datos Pagos-Notas'!M160</f>
        <v>0</v>
      </c>
      <c r="G163" s="12">
        <f>'Base de Datos Pagos-Notas'!N160</f>
        <v>0</v>
      </c>
      <c r="H163" s="12">
        <f>'Base de Datos Pagos-Notas'!O160</f>
        <v>0</v>
      </c>
      <c r="I163" s="12">
        <f>'Base de Datos Pagos-Notas'!P160</f>
        <v>0</v>
      </c>
      <c r="J163" s="12">
        <f>'Base de Datos Pagos-Notas'!Q160</f>
        <v>0</v>
      </c>
      <c r="K163" s="12">
        <f>'Base de Datos Pagos-Notas'!R160</f>
        <v>0</v>
      </c>
      <c r="L163" s="12">
        <f>'Base de Datos Pagos-Notas'!S160</f>
        <v>0</v>
      </c>
      <c r="M163" s="12">
        <f>'Base de Datos Pagos-Notas'!T160</f>
        <v>0</v>
      </c>
      <c r="N163" s="13">
        <f t="shared" si="5"/>
        <v>0</v>
      </c>
    </row>
    <row r="164" spans="1:14" s="20" customFormat="1" ht="12.95" customHeight="1" x14ac:dyDescent="0.2">
      <c r="A164" s="10">
        <f>'Base de Datos Pagos-Notas'!C161</f>
        <v>0</v>
      </c>
      <c r="B164" s="10">
        <f>'Base de Datos Pagos-Notas'!D161</f>
        <v>0</v>
      </c>
      <c r="C164" s="11">
        <f>'Base de Datos Pagos-Notas'!F161</f>
        <v>0</v>
      </c>
      <c r="D164" s="10" t="str">
        <f t="shared" si="4"/>
        <v>Nota Crédito</v>
      </c>
      <c r="E164" s="11">
        <f>'Base de Datos Pagos-Notas'!L161</f>
        <v>0</v>
      </c>
      <c r="F164" s="12">
        <f>'Base de Datos Pagos-Notas'!M161</f>
        <v>0</v>
      </c>
      <c r="G164" s="12">
        <f>'Base de Datos Pagos-Notas'!N161</f>
        <v>0</v>
      </c>
      <c r="H164" s="12">
        <f>'Base de Datos Pagos-Notas'!O161</f>
        <v>0</v>
      </c>
      <c r="I164" s="12">
        <f>'Base de Datos Pagos-Notas'!P161</f>
        <v>0</v>
      </c>
      <c r="J164" s="12">
        <f>'Base de Datos Pagos-Notas'!Q161</f>
        <v>0</v>
      </c>
      <c r="K164" s="12">
        <f>'Base de Datos Pagos-Notas'!R161</f>
        <v>0</v>
      </c>
      <c r="L164" s="12">
        <f>'Base de Datos Pagos-Notas'!S161</f>
        <v>0</v>
      </c>
      <c r="M164" s="12">
        <f>'Base de Datos Pagos-Notas'!T161</f>
        <v>0</v>
      </c>
      <c r="N164" s="13">
        <f t="shared" si="5"/>
        <v>0</v>
      </c>
    </row>
    <row r="165" spans="1:14" s="20" customFormat="1" ht="12.95" customHeight="1" x14ac:dyDescent="0.2">
      <c r="A165" s="10">
        <f>'Base de Datos Pagos-Notas'!C162</f>
        <v>0</v>
      </c>
      <c r="B165" s="10">
        <f>'Base de Datos Pagos-Notas'!D162</f>
        <v>0</v>
      </c>
      <c r="C165" s="11">
        <f>'Base de Datos Pagos-Notas'!F162</f>
        <v>0</v>
      </c>
      <c r="D165" s="10" t="str">
        <f t="shared" si="4"/>
        <v>Nota Crédito</v>
      </c>
      <c r="E165" s="11">
        <f>'Base de Datos Pagos-Notas'!L162</f>
        <v>0</v>
      </c>
      <c r="F165" s="12">
        <f>'Base de Datos Pagos-Notas'!M162</f>
        <v>0</v>
      </c>
      <c r="G165" s="12">
        <f>'Base de Datos Pagos-Notas'!N162</f>
        <v>0</v>
      </c>
      <c r="H165" s="12">
        <f>'Base de Datos Pagos-Notas'!O162</f>
        <v>0</v>
      </c>
      <c r="I165" s="12">
        <f>'Base de Datos Pagos-Notas'!P162</f>
        <v>0</v>
      </c>
      <c r="J165" s="12">
        <f>'Base de Datos Pagos-Notas'!Q162</f>
        <v>0</v>
      </c>
      <c r="K165" s="12">
        <f>'Base de Datos Pagos-Notas'!R162</f>
        <v>0</v>
      </c>
      <c r="L165" s="12">
        <f>'Base de Datos Pagos-Notas'!S162</f>
        <v>0</v>
      </c>
      <c r="M165" s="12">
        <f>'Base de Datos Pagos-Notas'!T162</f>
        <v>0</v>
      </c>
      <c r="N165" s="13">
        <f t="shared" si="5"/>
        <v>0</v>
      </c>
    </row>
    <row r="166" spans="1:14" s="20" customFormat="1" ht="12.95" customHeight="1" x14ac:dyDescent="0.2">
      <c r="A166" s="10">
        <f>'Base de Datos Pagos-Notas'!C163</f>
        <v>0</v>
      </c>
      <c r="B166" s="10">
        <f>'Base de Datos Pagos-Notas'!D163</f>
        <v>0</v>
      </c>
      <c r="C166" s="11">
        <f>'Base de Datos Pagos-Notas'!F163</f>
        <v>0</v>
      </c>
      <c r="D166" s="10" t="str">
        <f t="shared" si="4"/>
        <v>Nota Crédito</v>
      </c>
      <c r="E166" s="11">
        <f>'Base de Datos Pagos-Notas'!L163</f>
        <v>0</v>
      </c>
      <c r="F166" s="12">
        <f>'Base de Datos Pagos-Notas'!M163</f>
        <v>0</v>
      </c>
      <c r="G166" s="12">
        <f>'Base de Datos Pagos-Notas'!N163</f>
        <v>0</v>
      </c>
      <c r="H166" s="12">
        <f>'Base de Datos Pagos-Notas'!O163</f>
        <v>0</v>
      </c>
      <c r="I166" s="12">
        <f>'Base de Datos Pagos-Notas'!P163</f>
        <v>0</v>
      </c>
      <c r="J166" s="12">
        <f>'Base de Datos Pagos-Notas'!Q163</f>
        <v>0</v>
      </c>
      <c r="K166" s="12">
        <f>'Base de Datos Pagos-Notas'!R163</f>
        <v>0</v>
      </c>
      <c r="L166" s="12">
        <f>'Base de Datos Pagos-Notas'!S163</f>
        <v>0</v>
      </c>
      <c r="M166" s="12">
        <f>'Base de Datos Pagos-Notas'!T163</f>
        <v>0</v>
      </c>
      <c r="N166" s="13">
        <f t="shared" si="5"/>
        <v>0</v>
      </c>
    </row>
    <row r="167" spans="1:14" s="20" customFormat="1" ht="12.95" customHeight="1" x14ac:dyDescent="0.2">
      <c r="A167" s="10">
        <f>'Base de Datos Pagos-Notas'!C164</f>
        <v>0</v>
      </c>
      <c r="B167" s="10">
        <f>'Base de Datos Pagos-Notas'!D164</f>
        <v>0</v>
      </c>
      <c r="C167" s="11">
        <f>'Base de Datos Pagos-Notas'!F164</f>
        <v>0</v>
      </c>
      <c r="D167" s="10" t="str">
        <f t="shared" si="4"/>
        <v>Nota Crédito</v>
      </c>
      <c r="E167" s="11">
        <f>'Base de Datos Pagos-Notas'!L164</f>
        <v>0</v>
      </c>
      <c r="F167" s="12">
        <f>'Base de Datos Pagos-Notas'!M164</f>
        <v>0</v>
      </c>
      <c r="G167" s="12">
        <f>'Base de Datos Pagos-Notas'!N164</f>
        <v>0</v>
      </c>
      <c r="H167" s="12">
        <f>'Base de Datos Pagos-Notas'!O164</f>
        <v>0</v>
      </c>
      <c r="I167" s="12">
        <f>'Base de Datos Pagos-Notas'!P164</f>
        <v>0</v>
      </c>
      <c r="J167" s="12">
        <f>'Base de Datos Pagos-Notas'!Q164</f>
        <v>0</v>
      </c>
      <c r="K167" s="12">
        <f>'Base de Datos Pagos-Notas'!R164</f>
        <v>0</v>
      </c>
      <c r="L167" s="12">
        <f>'Base de Datos Pagos-Notas'!S164</f>
        <v>0</v>
      </c>
      <c r="M167" s="12">
        <f>'Base de Datos Pagos-Notas'!T164</f>
        <v>0</v>
      </c>
      <c r="N167" s="13">
        <f t="shared" si="5"/>
        <v>0</v>
      </c>
    </row>
    <row r="168" spans="1:14" s="20" customFormat="1" ht="12.95" customHeight="1" x14ac:dyDescent="0.2">
      <c r="A168" s="10">
        <f>'Base de Datos Pagos-Notas'!C165</f>
        <v>0</v>
      </c>
      <c r="B168" s="10">
        <f>'Base de Datos Pagos-Notas'!D165</f>
        <v>0</v>
      </c>
      <c r="C168" s="11">
        <f>'Base de Datos Pagos-Notas'!F165</f>
        <v>0</v>
      </c>
      <c r="D168" s="10" t="str">
        <f t="shared" si="4"/>
        <v>Nota Crédito</v>
      </c>
      <c r="E168" s="11">
        <f>'Base de Datos Pagos-Notas'!L165</f>
        <v>0</v>
      </c>
      <c r="F168" s="12">
        <f>'Base de Datos Pagos-Notas'!M165</f>
        <v>0</v>
      </c>
      <c r="G168" s="12">
        <f>'Base de Datos Pagos-Notas'!N165</f>
        <v>0</v>
      </c>
      <c r="H168" s="12">
        <f>'Base de Datos Pagos-Notas'!O165</f>
        <v>0</v>
      </c>
      <c r="I168" s="12">
        <f>'Base de Datos Pagos-Notas'!P165</f>
        <v>0</v>
      </c>
      <c r="J168" s="12">
        <f>'Base de Datos Pagos-Notas'!Q165</f>
        <v>0</v>
      </c>
      <c r="K168" s="12">
        <f>'Base de Datos Pagos-Notas'!R165</f>
        <v>0</v>
      </c>
      <c r="L168" s="12">
        <f>'Base de Datos Pagos-Notas'!S165</f>
        <v>0</v>
      </c>
      <c r="M168" s="12">
        <f>'Base de Datos Pagos-Notas'!T165</f>
        <v>0</v>
      </c>
      <c r="N168" s="13">
        <f t="shared" si="5"/>
        <v>0</v>
      </c>
    </row>
    <row r="169" spans="1:14" s="20" customFormat="1" ht="12.95" customHeight="1" x14ac:dyDescent="0.2">
      <c r="A169" s="10">
        <f>'Base de Datos Pagos-Notas'!C166</f>
        <v>0</v>
      </c>
      <c r="B169" s="10">
        <f>'Base de Datos Pagos-Notas'!D166</f>
        <v>0</v>
      </c>
      <c r="C169" s="11">
        <f>'Base de Datos Pagos-Notas'!F166</f>
        <v>0</v>
      </c>
      <c r="D169" s="10" t="str">
        <f t="shared" si="4"/>
        <v>Nota Crédito</v>
      </c>
      <c r="E169" s="11">
        <f>'Base de Datos Pagos-Notas'!L166</f>
        <v>0</v>
      </c>
      <c r="F169" s="12">
        <f>'Base de Datos Pagos-Notas'!M166</f>
        <v>0</v>
      </c>
      <c r="G169" s="12">
        <f>'Base de Datos Pagos-Notas'!N166</f>
        <v>0</v>
      </c>
      <c r="H169" s="12">
        <f>'Base de Datos Pagos-Notas'!O166</f>
        <v>0</v>
      </c>
      <c r="I169" s="12">
        <f>'Base de Datos Pagos-Notas'!P166</f>
        <v>0</v>
      </c>
      <c r="J169" s="12">
        <f>'Base de Datos Pagos-Notas'!Q166</f>
        <v>0</v>
      </c>
      <c r="K169" s="12">
        <f>'Base de Datos Pagos-Notas'!R166</f>
        <v>0</v>
      </c>
      <c r="L169" s="12">
        <f>'Base de Datos Pagos-Notas'!S166</f>
        <v>0</v>
      </c>
      <c r="M169" s="12">
        <f>'Base de Datos Pagos-Notas'!T166</f>
        <v>0</v>
      </c>
      <c r="N169" s="13">
        <f t="shared" si="5"/>
        <v>0</v>
      </c>
    </row>
    <row r="170" spans="1:14" s="20" customFormat="1" ht="12.95" customHeight="1" x14ac:dyDescent="0.2">
      <c r="A170" s="10">
        <f>'Base de Datos Pagos-Notas'!C167</f>
        <v>0</v>
      </c>
      <c r="B170" s="10">
        <f>'Base de Datos Pagos-Notas'!D167</f>
        <v>0</v>
      </c>
      <c r="C170" s="11">
        <f>'Base de Datos Pagos-Notas'!F167</f>
        <v>0</v>
      </c>
      <c r="D170" s="10" t="str">
        <f t="shared" si="4"/>
        <v>Nota Crédito</v>
      </c>
      <c r="E170" s="11">
        <f>'Base de Datos Pagos-Notas'!L167</f>
        <v>0</v>
      </c>
      <c r="F170" s="12">
        <f>'Base de Datos Pagos-Notas'!M167</f>
        <v>0</v>
      </c>
      <c r="G170" s="12">
        <f>'Base de Datos Pagos-Notas'!N167</f>
        <v>0</v>
      </c>
      <c r="H170" s="12">
        <f>'Base de Datos Pagos-Notas'!O167</f>
        <v>0</v>
      </c>
      <c r="I170" s="12">
        <f>'Base de Datos Pagos-Notas'!P167</f>
        <v>0</v>
      </c>
      <c r="J170" s="12">
        <f>'Base de Datos Pagos-Notas'!Q167</f>
        <v>0</v>
      </c>
      <c r="K170" s="12">
        <f>'Base de Datos Pagos-Notas'!R167</f>
        <v>0</v>
      </c>
      <c r="L170" s="12">
        <f>'Base de Datos Pagos-Notas'!S167</f>
        <v>0</v>
      </c>
      <c r="M170" s="12">
        <f>'Base de Datos Pagos-Notas'!T167</f>
        <v>0</v>
      </c>
      <c r="N170" s="13">
        <f t="shared" si="5"/>
        <v>0</v>
      </c>
    </row>
    <row r="171" spans="1:14" s="20" customFormat="1" ht="12.95" customHeight="1" x14ac:dyDescent="0.2">
      <c r="A171" s="10">
        <f>'Base de Datos Pagos-Notas'!C168</f>
        <v>0</v>
      </c>
      <c r="B171" s="10">
        <f>'Base de Datos Pagos-Notas'!D168</f>
        <v>0</v>
      </c>
      <c r="C171" s="11">
        <f>'Base de Datos Pagos-Notas'!F168</f>
        <v>0</v>
      </c>
      <c r="D171" s="10" t="str">
        <f t="shared" si="4"/>
        <v>Nota Crédito</v>
      </c>
      <c r="E171" s="11">
        <f>'Base de Datos Pagos-Notas'!L168</f>
        <v>0</v>
      </c>
      <c r="F171" s="12">
        <f>'Base de Datos Pagos-Notas'!M168</f>
        <v>0</v>
      </c>
      <c r="G171" s="12">
        <f>'Base de Datos Pagos-Notas'!N168</f>
        <v>0</v>
      </c>
      <c r="H171" s="12">
        <f>'Base de Datos Pagos-Notas'!O168</f>
        <v>0</v>
      </c>
      <c r="I171" s="12">
        <f>'Base de Datos Pagos-Notas'!P168</f>
        <v>0</v>
      </c>
      <c r="J171" s="12">
        <f>'Base de Datos Pagos-Notas'!Q168</f>
        <v>0</v>
      </c>
      <c r="K171" s="12">
        <f>'Base de Datos Pagos-Notas'!R168</f>
        <v>0</v>
      </c>
      <c r="L171" s="12">
        <f>'Base de Datos Pagos-Notas'!S168</f>
        <v>0</v>
      </c>
      <c r="M171" s="12">
        <f>'Base de Datos Pagos-Notas'!T168</f>
        <v>0</v>
      </c>
      <c r="N171" s="13">
        <f t="shared" si="5"/>
        <v>0</v>
      </c>
    </row>
    <row r="172" spans="1:14" s="20" customFormat="1" ht="12.95" customHeight="1" x14ac:dyDescent="0.2">
      <c r="A172" s="10">
        <f>'Base de Datos Pagos-Notas'!C169</f>
        <v>0</v>
      </c>
      <c r="B172" s="10">
        <f>'Base de Datos Pagos-Notas'!D169</f>
        <v>0</v>
      </c>
      <c r="C172" s="11">
        <f>'Base de Datos Pagos-Notas'!F169</f>
        <v>0</v>
      </c>
      <c r="D172" s="10" t="str">
        <f t="shared" si="4"/>
        <v>Nota Crédito</v>
      </c>
      <c r="E172" s="11">
        <f>'Base de Datos Pagos-Notas'!L169</f>
        <v>0</v>
      </c>
      <c r="F172" s="12">
        <f>'Base de Datos Pagos-Notas'!M169</f>
        <v>0</v>
      </c>
      <c r="G172" s="12">
        <f>'Base de Datos Pagos-Notas'!N169</f>
        <v>0</v>
      </c>
      <c r="H172" s="12">
        <f>'Base de Datos Pagos-Notas'!O169</f>
        <v>0</v>
      </c>
      <c r="I172" s="12">
        <f>'Base de Datos Pagos-Notas'!P169</f>
        <v>0</v>
      </c>
      <c r="J172" s="12">
        <f>'Base de Datos Pagos-Notas'!Q169</f>
        <v>0</v>
      </c>
      <c r="K172" s="12">
        <f>'Base de Datos Pagos-Notas'!R169</f>
        <v>0</v>
      </c>
      <c r="L172" s="12">
        <f>'Base de Datos Pagos-Notas'!S169</f>
        <v>0</v>
      </c>
      <c r="M172" s="12">
        <f>'Base de Datos Pagos-Notas'!T169</f>
        <v>0</v>
      </c>
      <c r="N172" s="13">
        <f t="shared" si="5"/>
        <v>0</v>
      </c>
    </row>
    <row r="173" spans="1:14" s="20" customFormat="1" ht="12.95" customHeight="1" x14ac:dyDescent="0.2">
      <c r="A173" s="10">
        <f>'Base de Datos Pagos-Notas'!C170</f>
        <v>0</v>
      </c>
      <c r="B173" s="10">
        <f>'Base de Datos Pagos-Notas'!D170</f>
        <v>0</v>
      </c>
      <c r="C173" s="11">
        <f>'Base de Datos Pagos-Notas'!F170</f>
        <v>0</v>
      </c>
      <c r="D173" s="10" t="str">
        <f t="shared" si="4"/>
        <v>Nota Crédito</v>
      </c>
      <c r="E173" s="11">
        <f>'Base de Datos Pagos-Notas'!L170</f>
        <v>0</v>
      </c>
      <c r="F173" s="12">
        <f>'Base de Datos Pagos-Notas'!M170</f>
        <v>0</v>
      </c>
      <c r="G173" s="12">
        <f>'Base de Datos Pagos-Notas'!N170</f>
        <v>0</v>
      </c>
      <c r="H173" s="12">
        <f>'Base de Datos Pagos-Notas'!O170</f>
        <v>0</v>
      </c>
      <c r="I173" s="12">
        <f>'Base de Datos Pagos-Notas'!P170</f>
        <v>0</v>
      </c>
      <c r="J173" s="12">
        <f>'Base de Datos Pagos-Notas'!Q170</f>
        <v>0</v>
      </c>
      <c r="K173" s="12">
        <f>'Base de Datos Pagos-Notas'!R170</f>
        <v>0</v>
      </c>
      <c r="L173" s="12">
        <f>'Base de Datos Pagos-Notas'!S170</f>
        <v>0</v>
      </c>
      <c r="M173" s="12">
        <f>'Base de Datos Pagos-Notas'!T170</f>
        <v>0</v>
      </c>
      <c r="N173" s="13">
        <f t="shared" si="5"/>
        <v>0</v>
      </c>
    </row>
    <row r="174" spans="1:14" s="20" customFormat="1" ht="12.95" customHeight="1" x14ac:dyDescent="0.2">
      <c r="A174" s="10">
        <f>'Base de Datos Pagos-Notas'!C171</f>
        <v>0</v>
      </c>
      <c r="B174" s="10">
        <f>'Base de Datos Pagos-Notas'!D171</f>
        <v>0</v>
      </c>
      <c r="C174" s="11">
        <f>'Base de Datos Pagos-Notas'!F171</f>
        <v>0</v>
      </c>
      <c r="D174" s="10" t="str">
        <f t="shared" si="4"/>
        <v>Nota Crédito</v>
      </c>
      <c r="E174" s="11">
        <f>'Base de Datos Pagos-Notas'!L171</f>
        <v>0</v>
      </c>
      <c r="F174" s="12">
        <f>'Base de Datos Pagos-Notas'!M171</f>
        <v>0</v>
      </c>
      <c r="G174" s="12">
        <f>'Base de Datos Pagos-Notas'!N171</f>
        <v>0</v>
      </c>
      <c r="H174" s="12">
        <f>'Base de Datos Pagos-Notas'!O171</f>
        <v>0</v>
      </c>
      <c r="I174" s="12">
        <f>'Base de Datos Pagos-Notas'!P171</f>
        <v>0</v>
      </c>
      <c r="J174" s="12">
        <f>'Base de Datos Pagos-Notas'!Q171</f>
        <v>0</v>
      </c>
      <c r="K174" s="12">
        <f>'Base de Datos Pagos-Notas'!R171</f>
        <v>0</v>
      </c>
      <c r="L174" s="12">
        <f>'Base de Datos Pagos-Notas'!S171</f>
        <v>0</v>
      </c>
      <c r="M174" s="12">
        <f>'Base de Datos Pagos-Notas'!T171</f>
        <v>0</v>
      </c>
      <c r="N174" s="13">
        <f t="shared" si="5"/>
        <v>0</v>
      </c>
    </row>
    <row r="175" spans="1:14" s="20" customFormat="1" ht="12.95" customHeight="1" x14ac:dyDescent="0.2">
      <c r="A175" s="10">
        <f>'Base de Datos Pagos-Notas'!C172</f>
        <v>0</v>
      </c>
      <c r="B175" s="10">
        <f>'Base de Datos Pagos-Notas'!D172</f>
        <v>0</v>
      </c>
      <c r="C175" s="11">
        <f>'Base de Datos Pagos-Notas'!F172</f>
        <v>0</v>
      </c>
      <c r="D175" s="10" t="str">
        <f t="shared" si="4"/>
        <v>Nota Crédito</v>
      </c>
      <c r="E175" s="11">
        <f>'Base de Datos Pagos-Notas'!L172</f>
        <v>0</v>
      </c>
      <c r="F175" s="12">
        <f>'Base de Datos Pagos-Notas'!M172</f>
        <v>0</v>
      </c>
      <c r="G175" s="12">
        <f>'Base de Datos Pagos-Notas'!N172</f>
        <v>0</v>
      </c>
      <c r="H175" s="12">
        <f>'Base de Datos Pagos-Notas'!O172</f>
        <v>0</v>
      </c>
      <c r="I175" s="12">
        <f>'Base de Datos Pagos-Notas'!P172</f>
        <v>0</v>
      </c>
      <c r="J175" s="12">
        <f>'Base de Datos Pagos-Notas'!Q172</f>
        <v>0</v>
      </c>
      <c r="K175" s="12">
        <f>'Base de Datos Pagos-Notas'!R172</f>
        <v>0</v>
      </c>
      <c r="L175" s="12">
        <f>'Base de Datos Pagos-Notas'!S172</f>
        <v>0</v>
      </c>
      <c r="M175" s="12">
        <f>'Base de Datos Pagos-Notas'!T172</f>
        <v>0</v>
      </c>
      <c r="N175" s="13">
        <f t="shared" si="5"/>
        <v>0</v>
      </c>
    </row>
    <row r="176" spans="1:14" s="20" customFormat="1" ht="12.95" customHeight="1" x14ac:dyDescent="0.2">
      <c r="A176" s="10">
        <f>'Base de Datos Pagos-Notas'!C173</f>
        <v>0</v>
      </c>
      <c r="B176" s="10">
        <f>'Base de Datos Pagos-Notas'!D173</f>
        <v>0</v>
      </c>
      <c r="C176" s="11">
        <f>'Base de Datos Pagos-Notas'!F173</f>
        <v>0</v>
      </c>
      <c r="D176" s="10" t="str">
        <f t="shared" si="4"/>
        <v>Nota Crédito</v>
      </c>
      <c r="E176" s="11">
        <f>'Base de Datos Pagos-Notas'!L173</f>
        <v>0</v>
      </c>
      <c r="F176" s="12">
        <f>'Base de Datos Pagos-Notas'!M173</f>
        <v>0</v>
      </c>
      <c r="G176" s="12">
        <f>'Base de Datos Pagos-Notas'!N173</f>
        <v>0</v>
      </c>
      <c r="H176" s="12">
        <f>'Base de Datos Pagos-Notas'!O173</f>
        <v>0</v>
      </c>
      <c r="I176" s="12">
        <f>'Base de Datos Pagos-Notas'!P173</f>
        <v>0</v>
      </c>
      <c r="J176" s="12">
        <f>'Base de Datos Pagos-Notas'!Q173</f>
        <v>0</v>
      </c>
      <c r="K176" s="12">
        <f>'Base de Datos Pagos-Notas'!R173</f>
        <v>0</v>
      </c>
      <c r="L176" s="12">
        <f>'Base de Datos Pagos-Notas'!S173</f>
        <v>0</v>
      </c>
      <c r="M176" s="12">
        <f>'Base de Datos Pagos-Notas'!T173</f>
        <v>0</v>
      </c>
      <c r="N176" s="13">
        <f t="shared" si="5"/>
        <v>0</v>
      </c>
    </row>
    <row r="177" spans="1:14" s="20" customFormat="1" ht="12.95" customHeight="1" x14ac:dyDescent="0.2">
      <c r="A177" s="10">
        <f>'Base de Datos Pagos-Notas'!C174</f>
        <v>0</v>
      </c>
      <c r="B177" s="10">
        <f>'Base de Datos Pagos-Notas'!D174</f>
        <v>0</v>
      </c>
      <c r="C177" s="11">
        <f>'Base de Datos Pagos-Notas'!F174</f>
        <v>0</v>
      </c>
      <c r="D177" s="10" t="str">
        <f t="shared" si="4"/>
        <v>Nota Crédito</v>
      </c>
      <c r="E177" s="11">
        <f>'Base de Datos Pagos-Notas'!L174</f>
        <v>0</v>
      </c>
      <c r="F177" s="12">
        <f>'Base de Datos Pagos-Notas'!M174</f>
        <v>0</v>
      </c>
      <c r="G177" s="12">
        <f>'Base de Datos Pagos-Notas'!N174</f>
        <v>0</v>
      </c>
      <c r="H177" s="12">
        <f>'Base de Datos Pagos-Notas'!O174</f>
        <v>0</v>
      </c>
      <c r="I177" s="12">
        <f>'Base de Datos Pagos-Notas'!P174</f>
        <v>0</v>
      </c>
      <c r="J177" s="12">
        <f>'Base de Datos Pagos-Notas'!Q174</f>
        <v>0</v>
      </c>
      <c r="K177" s="12">
        <f>'Base de Datos Pagos-Notas'!R174</f>
        <v>0</v>
      </c>
      <c r="L177" s="12">
        <f>'Base de Datos Pagos-Notas'!S174</f>
        <v>0</v>
      </c>
      <c r="M177" s="12">
        <f>'Base de Datos Pagos-Notas'!T174</f>
        <v>0</v>
      </c>
      <c r="N177" s="13">
        <f t="shared" si="5"/>
        <v>0</v>
      </c>
    </row>
    <row r="178" spans="1:14" s="20" customFormat="1" ht="12.95" customHeight="1" x14ac:dyDescent="0.2">
      <c r="A178" s="10">
        <f>'Base de Datos Pagos-Notas'!C175</f>
        <v>0</v>
      </c>
      <c r="B178" s="10">
        <f>'Base de Datos Pagos-Notas'!D175</f>
        <v>0</v>
      </c>
      <c r="C178" s="11">
        <f>'Base de Datos Pagos-Notas'!F175</f>
        <v>0</v>
      </c>
      <c r="D178" s="10" t="str">
        <f t="shared" si="4"/>
        <v>Nota Crédito</v>
      </c>
      <c r="E178" s="11">
        <f>'Base de Datos Pagos-Notas'!L175</f>
        <v>0</v>
      </c>
      <c r="F178" s="12">
        <f>'Base de Datos Pagos-Notas'!M175</f>
        <v>0</v>
      </c>
      <c r="G178" s="12">
        <f>'Base de Datos Pagos-Notas'!N175</f>
        <v>0</v>
      </c>
      <c r="H178" s="12">
        <f>'Base de Datos Pagos-Notas'!O175</f>
        <v>0</v>
      </c>
      <c r="I178" s="12">
        <f>'Base de Datos Pagos-Notas'!P175</f>
        <v>0</v>
      </c>
      <c r="J178" s="12">
        <f>'Base de Datos Pagos-Notas'!Q175</f>
        <v>0</v>
      </c>
      <c r="K178" s="12">
        <f>'Base de Datos Pagos-Notas'!R175</f>
        <v>0</v>
      </c>
      <c r="L178" s="12">
        <f>'Base de Datos Pagos-Notas'!S175</f>
        <v>0</v>
      </c>
      <c r="M178" s="12">
        <f>'Base de Datos Pagos-Notas'!T175</f>
        <v>0</v>
      </c>
      <c r="N178" s="13">
        <f t="shared" si="5"/>
        <v>0</v>
      </c>
    </row>
    <row r="179" spans="1:14" s="20" customFormat="1" ht="12.95" customHeight="1" x14ac:dyDescent="0.2">
      <c r="A179" s="10">
        <f>'Base de Datos Pagos-Notas'!C176</f>
        <v>0</v>
      </c>
      <c r="B179" s="10">
        <f>'Base de Datos Pagos-Notas'!D176</f>
        <v>0</v>
      </c>
      <c r="C179" s="11">
        <f>'Base de Datos Pagos-Notas'!F176</f>
        <v>0</v>
      </c>
      <c r="D179" s="10" t="str">
        <f t="shared" si="4"/>
        <v>Nota Crédito</v>
      </c>
      <c r="E179" s="11">
        <f>'Base de Datos Pagos-Notas'!L176</f>
        <v>0</v>
      </c>
      <c r="F179" s="12">
        <f>'Base de Datos Pagos-Notas'!M176</f>
        <v>0</v>
      </c>
      <c r="G179" s="12">
        <f>'Base de Datos Pagos-Notas'!N176</f>
        <v>0</v>
      </c>
      <c r="H179" s="12">
        <f>'Base de Datos Pagos-Notas'!O176</f>
        <v>0</v>
      </c>
      <c r="I179" s="12">
        <f>'Base de Datos Pagos-Notas'!P176</f>
        <v>0</v>
      </c>
      <c r="J179" s="12">
        <f>'Base de Datos Pagos-Notas'!Q176</f>
        <v>0</v>
      </c>
      <c r="K179" s="12">
        <f>'Base de Datos Pagos-Notas'!R176</f>
        <v>0</v>
      </c>
      <c r="L179" s="12">
        <f>'Base de Datos Pagos-Notas'!S176</f>
        <v>0</v>
      </c>
      <c r="M179" s="12">
        <f>'Base de Datos Pagos-Notas'!T176</f>
        <v>0</v>
      </c>
      <c r="N179" s="13">
        <f t="shared" si="5"/>
        <v>0</v>
      </c>
    </row>
    <row r="180" spans="1:14" s="20" customFormat="1" ht="12.95" customHeight="1" x14ac:dyDescent="0.2">
      <c r="A180" s="10">
        <f>'Base de Datos Pagos-Notas'!C177</f>
        <v>0</v>
      </c>
      <c r="B180" s="10">
        <f>'Base de Datos Pagos-Notas'!D177</f>
        <v>0</v>
      </c>
      <c r="C180" s="11">
        <f>'Base de Datos Pagos-Notas'!F177</f>
        <v>0</v>
      </c>
      <c r="D180" s="10" t="str">
        <f t="shared" si="4"/>
        <v>Nota Crédito</v>
      </c>
      <c r="E180" s="11">
        <f>'Base de Datos Pagos-Notas'!L177</f>
        <v>0</v>
      </c>
      <c r="F180" s="12">
        <f>'Base de Datos Pagos-Notas'!M177</f>
        <v>0</v>
      </c>
      <c r="G180" s="12">
        <f>'Base de Datos Pagos-Notas'!N177</f>
        <v>0</v>
      </c>
      <c r="H180" s="12">
        <f>'Base de Datos Pagos-Notas'!O177</f>
        <v>0</v>
      </c>
      <c r="I180" s="12">
        <f>'Base de Datos Pagos-Notas'!P177</f>
        <v>0</v>
      </c>
      <c r="J180" s="12">
        <f>'Base de Datos Pagos-Notas'!Q177</f>
        <v>0</v>
      </c>
      <c r="K180" s="12">
        <f>'Base de Datos Pagos-Notas'!R177</f>
        <v>0</v>
      </c>
      <c r="L180" s="12">
        <f>'Base de Datos Pagos-Notas'!S177</f>
        <v>0</v>
      </c>
      <c r="M180" s="12">
        <f>'Base de Datos Pagos-Notas'!T177</f>
        <v>0</v>
      </c>
      <c r="N180" s="13">
        <f t="shared" si="5"/>
        <v>0</v>
      </c>
    </row>
    <row r="181" spans="1:14" s="20" customFormat="1" ht="12.95" customHeight="1" x14ac:dyDescent="0.2">
      <c r="A181" s="10">
        <f>'Base de Datos Pagos-Notas'!C178</f>
        <v>0</v>
      </c>
      <c r="B181" s="10">
        <f>'Base de Datos Pagos-Notas'!D178</f>
        <v>0</v>
      </c>
      <c r="C181" s="11">
        <f>'Base de Datos Pagos-Notas'!F178</f>
        <v>0</v>
      </c>
      <c r="D181" s="10" t="str">
        <f t="shared" si="4"/>
        <v>Nota Crédito</v>
      </c>
      <c r="E181" s="11">
        <f>'Base de Datos Pagos-Notas'!L178</f>
        <v>0</v>
      </c>
      <c r="F181" s="12">
        <f>'Base de Datos Pagos-Notas'!M178</f>
        <v>0</v>
      </c>
      <c r="G181" s="12">
        <f>'Base de Datos Pagos-Notas'!N178</f>
        <v>0</v>
      </c>
      <c r="H181" s="12">
        <f>'Base de Datos Pagos-Notas'!O178</f>
        <v>0</v>
      </c>
      <c r="I181" s="12">
        <f>'Base de Datos Pagos-Notas'!P178</f>
        <v>0</v>
      </c>
      <c r="J181" s="12">
        <f>'Base de Datos Pagos-Notas'!Q178</f>
        <v>0</v>
      </c>
      <c r="K181" s="12">
        <f>'Base de Datos Pagos-Notas'!R178</f>
        <v>0</v>
      </c>
      <c r="L181" s="12">
        <f>'Base de Datos Pagos-Notas'!S178</f>
        <v>0</v>
      </c>
      <c r="M181" s="12">
        <f>'Base de Datos Pagos-Notas'!T178</f>
        <v>0</v>
      </c>
      <c r="N181" s="13">
        <f t="shared" si="5"/>
        <v>0</v>
      </c>
    </row>
    <row r="182" spans="1:14" s="20" customFormat="1" ht="12.95" customHeight="1" x14ac:dyDescent="0.2">
      <c r="A182" s="10">
        <f>'Base de Datos Pagos-Notas'!C179</f>
        <v>0</v>
      </c>
      <c r="B182" s="10">
        <f>'Base de Datos Pagos-Notas'!D179</f>
        <v>0</v>
      </c>
      <c r="C182" s="11">
        <f>'Base de Datos Pagos-Notas'!F179</f>
        <v>0</v>
      </c>
      <c r="D182" s="10" t="str">
        <f t="shared" si="4"/>
        <v>Nota Crédito</v>
      </c>
      <c r="E182" s="11">
        <f>'Base de Datos Pagos-Notas'!L179</f>
        <v>0</v>
      </c>
      <c r="F182" s="12">
        <f>'Base de Datos Pagos-Notas'!M179</f>
        <v>0</v>
      </c>
      <c r="G182" s="12">
        <f>'Base de Datos Pagos-Notas'!N179</f>
        <v>0</v>
      </c>
      <c r="H182" s="12">
        <f>'Base de Datos Pagos-Notas'!O179</f>
        <v>0</v>
      </c>
      <c r="I182" s="12">
        <f>'Base de Datos Pagos-Notas'!P179</f>
        <v>0</v>
      </c>
      <c r="J182" s="12">
        <f>'Base de Datos Pagos-Notas'!Q179</f>
        <v>0</v>
      </c>
      <c r="K182" s="12">
        <f>'Base de Datos Pagos-Notas'!R179</f>
        <v>0</v>
      </c>
      <c r="L182" s="12">
        <f>'Base de Datos Pagos-Notas'!S179</f>
        <v>0</v>
      </c>
      <c r="M182" s="12">
        <f>'Base de Datos Pagos-Notas'!T179</f>
        <v>0</v>
      </c>
      <c r="N182" s="13">
        <f t="shared" si="5"/>
        <v>0</v>
      </c>
    </row>
    <row r="183" spans="1:14" s="20" customFormat="1" ht="12.95" customHeight="1" x14ac:dyDescent="0.2">
      <c r="A183" s="10">
        <f>'Base de Datos Pagos-Notas'!C180</f>
        <v>0</v>
      </c>
      <c r="B183" s="10">
        <f>'Base de Datos Pagos-Notas'!D180</f>
        <v>0</v>
      </c>
      <c r="C183" s="11">
        <f>'Base de Datos Pagos-Notas'!F180</f>
        <v>0</v>
      </c>
      <c r="D183" s="10" t="str">
        <f t="shared" si="4"/>
        <v>Nota Crédito</v>
      </c>
      <c r="E183" s="11">
        <f>'Base de Datos Pagos-Notas'!L180</f>
        <v>0</v>
      </c>
      <c r="F183" s="12">
        <f>'Base de Datos Pagos-Notas'!M180</f>
        <v>0</v>
      </c>
      <c r="G183" s="12">
        <f>'Base de Datos Pagos-Notas'!N180</f>
        <v>0</v>
      </c>
      <c r="H183" s="12">
        <f>'Base de Datos Pagos-Notas'!O180</f>
        <v>0</v>
      </c>
      <c r="I183" s="12">
        <f>'Base de Datos Pagos-Notas'!P180</f>
        <v>0</v>
      </c>
      <c r="J183" s="12">
        <f>'Base de Datos Pagos-Notas'!Q180</f>
        <v>0</v>
      </c>
      <c r="K183" s="12">
        <f>'Base de Datos Pagos-Notas'!R180</f>
        <v>0</v>
      </c>
      <c r="L183" s="12">
        <f>'Base de Datos Pagos-Notas'!S180</f>
        <v>0</v>
      </c>
      <c r="M183" s="12">
        <f>'Base de Datos Pagos-Notas'!T180</f>
        <v>0</v>
      </c>
      <c r="N183" s="13">
        <f t="shared" si="5"/>
        <v>0</v>
      </c>
    </row>
    <row r="184" spans="1:14" s="20" customFormat="1" ht="12.95" customHeight="1" x14ac:dyDescent="0.2">
      <c r="A184" s="10">
        <f>'Base de Datos Pagos-Notas'!C181</f>
        <v>0</v>
      </c>
      <c r="B184" s="10">
        <f>'Base de Datos Pagos-Notas'!D181</f>
        <v>0</v>
      </c>
      <c r="C184" s="11">
        <f>'Base de Datos Pagos-Notas'!F181</f>
        <v>0</v>
      </c>
      <c r="D184" s="10" t="str">
        <f t="shared" si="4"/>
        <v>Nota Crédito</v>
      </c>
      <c r="E184" s="11">
        <f>'Base de Datos Pagos-Notas'!L181</f>
        <v>0</v>
      </c>
      <c r="F184" s="12">
        <f>'Base de Datos Pagos-Notas'!M181</f>
        <v>0</v>
      </c>
      <c r="G184" s="12">
        <f>'Base de Datos Pagos-Notas'!N181</f>
        <v>0</v>
      </c>
      <c r="H184" s="12">
        <f>'Base de Datos Pagos-Notas'!O181</f>
        <v>0</v>
      </c>
      <c r="I184" s="12">
        <f>'Base de Datos Pagos-Notas'!P181</f>
        <v>0</v>
      </c>
      <c r="J184" s="12">
        <f>'Base de Datos Pagos-Notas'!Q181</f>
        <v>0</v>
      </c>
      <c r="K184" s="12">
        <f>'Base de Datos Pagos-Notas'!R181</f>
        <v>0</v>
      </c>
      <c r="L184" s="12">
        <f>'Base de Datos Pagos-Notas'!S181</f>
        <v>0</v>
      </c>
      <c r="M184" s="12">
        <f>'Base de Datos Pagos-Notas'!T181</f>
        <v>0</v>
      </c>
      <c r="N184" s="13">
        <f t="shared" si="5"/>
        <v>0</v>
      </c>
    </row>
    <row r="185" spans="1:14" s="20" customFormat="1" ht="12.95" customHeight="1" x14ac:dyDescent="0.2">
      <c r="A185" s="10">
        <f>'Base de Datos Pagos-Notas'!C182</f>
        <v>0</v>
      </c>
      <c r="B185" s="10">
        <f>'Base de Datos Pagos-Notas'!D182</f>
        <v>0</v>
      </c>
      <c r="C185" s="11">
        <f>'Base de Datos Pagos-Notas'!F182</f>
        <v>0</v>
      </c>
      <c r="D185" s="10" t="str">
        <f t="shared" si="4"/>
        <v>Nota Crédito</v>
      </c>
      <c r="E185" s="11">
        <f>'Base de Datos Pagos-Notas'!L182</f>
        <v>0</v>
      </c>
      <c r="F185" s="12">
        <f>'Base de Datos Pagos-Notas'!M182</f>
        <v>0</v>
      </c>
      <c r="G185" s="12">
        <f>'Base de Datos Pagos-Notas'!N182</f>
        <v>0</v>
      </c>
      <c r="H185" s="12">
        <f>'Base de Datos Pagos-Notas'!O182</f>
        <v>0</v>
      </c>
      <c r="I185" s="12">
        <f>'Base de Datos Pagos-Notas'!P182</f>
        <v>0</v>
      </c>
      <c r="J185" s="12">
        <f>'Base de Datos Pagos-Notas'!Q182</f>
        <v>0</v>
      </c>
      <c r="K185" s="12">
        <f>'Base de Datos Pagos-Notas'!R182</f>
        <v>0</v>
      </c>
      <c r="L185" s="12">
        <f>'Base de Datos Pagos-Notas'!S182</f>
        <v>0</v>
      </c>
      <c r="M185" s="12">
        <f>'Base de Datos Pagos-Notas'!T182</f>
        <v>0</v>
      </c>
      <c r="N185" s="13">
        <f t="shared" si="5"/>
        <v>0</v>
      </c>
    </row>
    <row r="186" spans="1:14" s="20" customFormat="1" ht="12.95" customHeight="1" x14ac:dyDescent="0.2">
      <c r="A186" s="10">
        <f>'Base de Datos Pagos-Notas'!C183</f>
        <v>0</v>
      </c>
      <c r="B186" s="10">
        <f>'Base de Datos Pagos-Notas'!D183</f>
        <v>0</v>
      </c>
      <c r="C186" s="11">
        <f>'Base de Datos Pagos-Notas'!F183</f>
        <v>0</v>
      </c>
      <c r="D186" s="10" t="str">
        <f t="shared" si="4"/>
        <v>Nota Crédito</v>
      </c>
      <c r="E186" s="11">
        <f>'Base de Datos Pagos-Notas'!L183</f>
        <v>0</v>
      </c>
      <c r="F186" s="12">
        <f>'Base de Datos Pagos-Notas'!M183</f>
        <v>0</v>
      </c>
      <c r="G186" s="12">
        <f>'Base de Datos Pagos-Notas'!N183</f>
        <v>0</v>
      </c>
      <c r="H186" s="12">
        <f>'Base de Datos Pagos-Notas'!O183</f>
        <v>0</v>
      </c>
      <c r="I186" s="12">
        <f>'Base de Datos Pagos-Notas'!P183</f>
        <v>0</v>
      </c>
      <c r="J186" s="12">
        <f>'Base de Datos Pagos-Notas'!Q183</f>
        <v>0</v>
      </c>
      <c r="K186" s="12">
        <f>'Base de Datos Pagos-Notas'!R183</f>
        <v>0</v>
      </c>
      <c r="L186" s="12">
        <f>'Base de Datos Pagos-Notas'!S183</f>
        <v>0</v>
      </c>
      <c r="M186" s="12">
        <f>'Base de Datos Pagos-Notas'!T183</f>
        <v>0</v>
      </c>
      <c r="N186" s="13">
        <f t="shared" si="5"/>
        <v>0</v>
      </c>
    </row>
    <row r="187" spans="1:14" s="20" customFormat="1" ht="12.95" customHeight="1" x14ac:dyDescent="0.2">
      <c r="A187" s="10">
        <f>'Base de Datos Pagos-Notas'!C184</f>
        <v>0</v>
      </c>
      <c r="B187" s="10">
        <f>'Base de Datos Pagos-Notas'!D184</f>
        <v>0</v>
      </c>
      <c r="C187" s="11">
        <f>'Base de Datos Pagos-Notas'!F184</f>
        <v>0</v>
      </c>
      <c r="D187" s="10" t="str">
        <f t="shared" si="4"/>
        <v>Nota Crédito</v>
      </c>
      <c r="E187" s="11">
        <f>'Base de Datos Pagos-Notas'!L184</f>
        <v>0</v>
      </c>
      <c r="F187" s="12">
        <f>'Base de Datos Pagos-Notas'!M184</f>
        <v>0</v>
      </c>
      <c r="G187" s="12">
        <f>'Base de Datos Pagos-Notas'!N184</f>
        <v>0</v>
      </c>
      <c r="H187" s="12">
        <f>'Base de Datos Pagos-Notas'!O184</f>
        <v>0</v>
      </c>
      <c r="I187" s="12">
        <f>'Base de Datos Pagos-Notas'!P184</f>
        <v>0</v>
      </c>
      <c r="J187" s="12">
        <f>'Base de Datos Pagos-Notas'!Q184</f>
        <v>0</v>
      </c>
      <c r="K187" s="12">
        <f>'Base de Datos Pagos-Notas'!R184</f>
        <v>0</v>
      </c>
      <c r="L187" s="12">
        <f>'Base de Datos Pagos-Notas'!S184</f>
        <v>0</v>
      </c>
      <c r="M187" s="12">
        <f>'Base de Datos Pagos-Notas'!T184</f>
        <v>0</v>
      </c>
      <c r="N187" s="13">
        <f t="shared" si="5"/>
        <v>0</v>
      </c>
    </row>
    <row r="188" spans="1:14" s="20" customFormat="1" ht="12.95" customHeight="1" x14ac:dyDescent="0.2">
      <c r="A188" s="10">
        <f>'Base de Datos Pagos-Notas'!C185</f>
        <v>0</v>
      </c>
      <c r="B188" s="10">
        <f>'Base de Datos Pagos-Notas'!D185</f>
        <v>0</v>
      </c>
      <c r="C188" s="11">
        <f>'Base de Datos Pagos-Notas'!F185</f>
        <v>0</v>
      </c>
      <c r="D188" s="10" t="str">
        <f t="shared" si="4"/>
        <v>Nota Crédito</v>
      </c>
      <c r="E188" s="11">
        <f>'Base de Datos Pagos-Notas'!L185</f>
        <v>0</v>
      </c>
      <c r="F188" s="12">
        <f>'Base de Datos Pagos-Notas'!M185</f>
        <v>0</v>
      </c>
      <c r="G188" s="12">
        <f>'Base de Datos Pagos-Notas'!N185</f>
        <v>0</v>
      </c>
      <c r="H188" s="12">
        <f>'Base de Datos Pagos-Notas'!O185</f>
        <v>0</v>
      </c>
      <c r="I188" s="12">
        <f>'Base de Datos Pagos-Notas'!P185</f>
        <v>0</v>
      </c>
      <c r="J188" s="12">
        <f>'Base de Datos Pagos-Notas'!Q185</f>
        <v>0</v>
      </c>
      <c r="K188" s="12">
        <f>'Base de Datos Pagos-Notas'!R185</f>
        <v>0</v>
      </c>
      <c r="L188" s="12">
        <f>'Base de Datos Pagos-Notas'!S185</f>
        <v>0</v>
      </c>
      <c r="M188" s="12">
        <f>'Base de Datos Pagos-Notas'!T185</f>
        <v>0</v>
      </c>
      <c r="N188" s="13">
        <f t="shared" si="5"/>
        <v>0</v>
      </c>
    </row>
    <row r="189" spans="1:14" s="20" customFormat="1" ht="12.95" customHeight="1" x14ac:dyDescent="0.2">
      <c r="A189" s="10">
        <f>'Base de Datos Pagos-Notas'!C186</f>
        <v>0</v>
      </c>
      <c r="B189" s="10">
        <f>'Base de Datos Pagos-Notas'!D186</f>
        <v>0</v>
      </c>
      <c r="C189" s="11">
        <f>'Base de Datos Pagos-Notas'!F186</f>
        <v>0</v>
      </c>
      <c r="D189" s="10" t="str">
        <f t="shared" si="4"/>
        <v>Nota Crédito</v>
      </c>
      <c r="E189" s="11">
        <f>'Base de Datos Pagos-Notas'!L186</f>
        <v>0</v>
      </c>
      <c r="F189" s="12">
        <f>'Base de Datos Pagos-Notas'!M186</f>
        <v>0</v>
      </c>
      <c r="G189" s="12">
        <f>'Base de Datos Pagos-Notas'!N186</f>
        <v>0</v>
      </c>
      <c r="H189" s="12">
        <f>'Base de Datos Pagos-Notas'!O186</f>
        <v>0</v>
      </c>
      <c r="I189" s="12">
        <f>'Base de Datos Pagos-Notas'!P186</f>
        <v>0</v>
      </c>
      <c r="J189" s="12">
        <f>'Base de Datos Pagos-Notas'!Q186</f>
        <v>0</v>
      </c>
      <c r="K189" s="12">
        <f>'Base de Datos Pagos-Notas'!R186</f>
        <v>0</v>
      </c>
      <c r="L189" s="12">
        <f>'Base de Datos Pagos-Notas'!S186</f>
        <v>0</v>
      </c>
      <c r="M189" s="12">
        <f>'Base de Datos Pagos-Notas'!T186</f>
        <v>0</v>
      </c>
      <c r="N189" s="13">
        <f t="shared" si="5"/>
        <v>0</v>
      </c>
    </row>
    <row r="190" spans="1:14" s="20" customFormat="1" ht="12.95" customHeight="1" x14ac:dyDescent="0.2">
      <c r="A190" s="10">
        <f>'Base de Datos Pagos-Notas'!C187</f>
        <v>0</v>
      </c>
      <c r="B190" s="10">
        <f>'Base de Datos Pagos-Notas'!D187</f>
        <v>0</v>
      </c>
      <c r="C190" s="11">
        <f>'Base de Datos Pagos-Notas'!F187</f>
        <v>0</v>
      </c>
      <c r="D190" s="10" t="str">
        <f t="shared" si="4"/>
        <v>Nota Crédito</v>
      </c>
      <c r="E190" s="11">
        <f>'Base de Datos Pagos-Notas'!L187</f>
        <v>0</v>
      </c>
      <c r="F190" s="12">
        <f>'Base de Datos Pagos-Notas'!M187</f>
        <v>0</v>
      </c>
      <c r="G190" s="12">
        <f>'Base de Datos Pagos-Notas'!N187</f>
        <v>0</v>
      </c>
      <c r="H190" s="12">
        <f>'Base de Datos Pagos-Notas'!O187</f>
        <v>0</v>
      </c>
      <c r="I190" s="12">
        <f>'Base de Datos Pagos-Notas'!P187</f>
        <v>0</v>
      </c>
      <c r="J190" s="12">
        <f>'Base de Datos Pagos-Notas'!Q187</f>
        <v>0</v>
      </c>
      <c r="K190" s="12">
        <f>'Base de Datos Pagos-Notas'!R187</f>
        <v>0</v>
      </c>
      <c r="L190" s="12">
        <f>'Base de Datos Pagos-Notas'!S187</f>
        <v>0</v>
      </c>
      <c r="M190" s="12">
        <f>'Base de Datos Pagos-Notas'!T187</f>
        <v>0</v>
      </c>
      <c r="N190" s="13">
        <f t="shared" si="5"/>
        <v>0</v>
      </c>
    </row>
    <row r="191" spans="1:14" s="20" customFormat="1" ht="12.95" customHeight="1" x14ac:dyDescent="0.2">
      <c r="A191" s="10">
        <f>'Base de Datos Pagos-Notas'!C188</f>
        <v>0</v>
      </c>
      <c r="B191" s="10">
        <f>'Base de Datos Pagos-Notas'!D188</f>
        <v>0</v>
      </c>
      <c r="C191" s="11">
        <f>'Base de Datos Pagos-Notas'!F188</f>
        <v>0</v>
      </c>
      <c r="D191" s="10" t="str">
        <f t="shared" si="4"/>
        <v>Nota Crédito</v>
      </c>
      <c r="E191" s="11">
        <f>'Base de Datos Pagos-Notas'!L188</f>
        <v>0</v>
      </c>
      <c r="F191" s="12">
        <f>'Base de Datos Pagos-Notas'!M188</f>
        <v>0</v>
      </c>
      <c r="G191" s="12">
        <f>'Base de Datos Pagos-Notas'!N188</f>
        <v>0</v>
      </c>
      <c r="H191" s="12">
        <f>'Base de Datos Pagos-Notas'!O188</f>
        <v>0</v>
      </c>
      <c r="I191" s="12">
        <f>'Base de Datos Pagos-Notas'!P188</f>
        <v>0</v>
      </c>
      <c r="J191" s="12">
        <f>'Base de Datos Pagos-Notas'!Q188</f>
        <v>0</v>
      </c>
      <c r="K191" s="12">
        <f>'Base de Datos Pagos-Notas'!R188</f>
        <v>0</v>
      </c>
      <c r="L191" s="12">
        <f>'Base de Datos Pagos-Notas'!S188</f>
        <v>0</v>
      </c>
      <c r="M191" s="12">
        <f>'Base de Datos Pagos-Notas'!T188</f>
        <v>0</v>
      </c>
      <c r="N191" s="13">
        <f t="shared" si="5"/>
        <v>0</v>
      </c>
    </row>
    <row r="192" spans="1:14" s="20" customFormat="1" ht="12.95" customHeight="1" x14ac:dyDescent="0.2">
      <c r="A192" s="10">
        <f>'Base de Datos Pagos-Notas'!C189</f>
        <v>0</v>
      </c>
      <c r="B192" s="10">
        <f>'Base de Datos Pagos-Notas'!D189</f>
        <v>0</v>
      </c>
      <c r="C192" s="11">
        <f>'Base de Datos Pagos-Notas'!F189</f>
        <v>0</v>
      </c>
      <c r="D192" s="10" t="str">
        <f t="shared" si="4"/>
        <v>Nota Crédito</v>
      </c>
      <c r="E192" s="11">
        <f>'Base de Datos Pagos-Notas'!L189</f>
        <v>0</v>
      </c>
      <c r="F192" s="12">
        <f>'Base de Datos Pagos-Notas'!M189</f>
        <v>0</v>
      </c>
      <c r="G192" s="12">
        <f>'Base de Datos Pagos-Notas'!N189</f>
        <v>0</v>
      </c>
      <c r="H192" s="12">
        <f>'Base de Datos Pagos-Notas'!O189</f>
        <v>0</v>
      </c>
      <c r="I192" s="12">
        <f>'Base de Datos Pagos-Notas'!P189</f>
        <v>0</v>
      </c>
      <c r="J192" s="12">
        <f>'Base de Datos Pagos-Notas'!Q189</f>
        <v>0</v>
      </c>
      <c r="K192" s="12">
        <f>'Base de Datos Pagos-Notas'!R189</f>
        <v>0</v>
      </c>
      <c r="L192" s="12">
        <f>'Base de Datos Pagos-Notas'!S189</f>
        <v>0</v>
      </c>
      <c r="M192" s="12">
        <f>'Base de Datos Pagos-Notas'!T189</f>
        <v>0</v>
      </c>
      <c r="N192" s="13">
        <f t="shared" si="5"/>
        <v>0</v>
      </c>
    </row>
    <row r="193" spans="1:14" s="20" customFormat="1" ht="12.95" customHeight="1" x14ac:dyDescent="0.2">
      <c r="A193" s="10">
        <f>'Base de Datos Pagos-Notas'!C190</f>
        <v>0</v>
      </c>
      <c r="B193" s="10">
        <f>'Base de Datos Pagos-Notas'!D190</f>
        <v>0</v>
      </c>
      <c r="C193" s="11">
        <f>'Base de Datos Pagos-Notas'!F190</f>
        <v>0</v>
      </c>
      <c r="D193" s="10" t="str">
        <f t="shared" si="4"/>
        <v>Nota Crédito</v>
      </c>
      <c r="E193" s="11">
        <f>'Base de Datos Pagos-Notas'!L190</f>
        <v>0</v>
      </c>
      <c r="F193" s="12">
        <f>'Base de Datos Pagos-Notas'!M190</f>
        <v>0</v>
      </c>
      <c r="G193" s="12">
        <f>'Base de Datos Pagos-Notas'!N190</f>
        <v>0</v>
      </c>
      <c r="H193" s="12">
        <f>'Base de Datos Pagos-Notas'!O190</f>
        <v>0</v>
      </c>
      <c r="I193" s="12">
        <f>'Base de Datos Pagos-Notas'!P190</f>
        <v>0</v>
      </c>
      <c r="J193" s="12">
        <f>'Base de Datos Pagos-Notas'!Q190</f>
        <v>0</v>
      </c>
      <c r="K193" s="12">
        <f>'Base de Datos Pagos-Notas'!R190</f>
        <v>0</v>
      </c>
      <c r="L193" s="12">
        <f>'Base de Datos Pagos-Notas'!S190</f>
        <v>0</v>
      </c>
      <c r="M193" s="12">
        <f>'Base de Datos Pagos-Notas'!T190</f>
        <v>0</v>
      </c>
      <c r="N193" s="13">
        <f t="shared" si="5"/>
        <v>0</v>
      </c>
    </row>
    <row r="194" spans="1:14" s="20" customFormat="1" ht="12.95" customHeight="1" x14ac:dyDescent="0.2">
      <c r="A194" s="10">
        <f>'Base de Datos Pagos-Notas'!C191</f>
        <v>0</v>
      </c>
      <c r="B194" s="10">
        <f>'Base de Datos Pagos-Notas'!D191</f>
        <v>0</v>
      </c>
      <c r="C194" s="11">
        <f>'Base de Datos Pagos-Notas'!F191</f>
        <v>0</v>
      </c>
      <c r="D194" s="10" t="str">
        <f t="shared" si="4"/>
        <v>Nota Crédito</v>
      </c>
      <c r="E194" s="11">
        <f>'Base de Datos Pagos-Notas'!L191</f>
        <v>0</v>
      </c>
      <c r="F194" s="12">
        <f>'Base de Datos Pagos-Notas'!M191</f>
        <v>0</v>
      </c>
      <c r="G194" s="12">
        <f>'Base de Datos Pagos-Notas'!N191</f>
        <v>0</v>
      </c>
      <c r="H194" s="12">
        <f>'Base de Datos Pagos-Notas'!O191</f>
        <v>0</v>
      </c>
      <c r="I194" s="12">
        <f>'Base de Datos Pagos-Notas'!P191</f>
        <v>0</v>
      </c>
      <c r="J194" s="12">
        <f>'Base de Datos Pagos-Notas'!Q191</f>
        <v>0</v>
      </c>
      <c r="K194" s="12">
        <f>'Base de Datos Pagos-Notas'!R191</f>
        <v>0</v>
      </c>
      <c r="L194" s="12">
        <f>'Base de Datos Pagos-Notas'!S191</f>
        <v>0</v>
      </c>
      <c r="M194" s="12">
        <f>'Base de Datos Pagos-Notas'!T191</f>
        <v>0</v>
      </c>
      <c r="N194" s="13">
        <f t="shared" si="5"/>
        <v>0</v>
      </c>
    </row>
    <row r="195" spans="1:14" s="20" customFormat="1" ht="12.95" customHeight="1" x14ac:dyDescent="0.2">
      <c r="A195" s="10">
        <f>'Base de Datos Pagos-Notas'!C192</f>
        <v>0</v>
      </c>
      <c r="B195" s="10">
        <f>'Base de Datos Pagos-Notas'!D192</f>
        <v>0</v>
      </c>
      <c r="C195" s="11">
        <f>'Base de Datos Pagos-Notas'!F192</f>
        <v>0</v>
      </c>
      <c r="D195" s="10" t="str">
        <f t="shared" si="4"/>
        <v>Nota Crédito</v>
      </c>
      <c r="E195" s="11">
        <f>'Base de Datos Pagos-Notas'!L192</f>
        <v>0</v>
      </c>
      <c r="F195" s="12">
        <f>'Base de Datos Pagos-Notas'!M192</f>
        <v>0</v>
      </c>
      <c r="G195" s="12">
        <f>'Base de Datos Pagos-Notas'!N192</f>
        <v>0</v>
      </c>
      <c r="H195" s="12">
        <f>'Base de Datos Pagos-Notas'!O192</f>
        <v>0</v>
      </c>
      <c r="I195" s="12">
        <f>'Base de Datos Pagos-Notas'!P192</f>
        <v>0</v>
      </c>
      <c r="J195" s="12">
        <f>'Base de Datos Pagos-Notas'!Q192</f>
        <v>0</v>
      </c>
      <c r="K195" s="12">
        <f>'Base de Datos Pagos-Notas'!R192</f>
        <v>0</v>
      </c>
      <c r="L195" s="12">
        <f>'Base de Datos Pagos-Notas'!S192</f>
        <v>0</v>
      </c>
      <c r="M195" s="12">
        <f>'Base de Datos Pagos-Notas'!T192</f>
        <v>0</v>
      </c>
      <c r="N195" s="13">
        <f t="shared" si="5"/>
        <v>0</v>
      </c>
    </row>
    <row r="196" spans="1:14" s="20" customFormat="1" ht="12.95" customHeight="1" x14ac:dyDescent="0.2">
      <c r="A196" s="10">
        <f>'Base de Datos Pagos-Notas'!C193</f>
        <v>0</v>
      </c>
      <c r="B196" s="10">
        <f>'Base de Datos Pagos-Notas'!D193</f>
        <v>0</v>
      </c>
      <c r="C196" s="11">
        <f>'Base de Datos Pagos-Notas'!F193</f>
        <v>0</v>
      </c>
      <c r="D196" s="10" t="str">
        <f t="shared" si="4"/>
        <v>Nota Crédito</v>
      </c>
      <c r="E196" s="11">
        <f>'Base de Datos Pagos-Notas'!L193</f>
        <v>0</v>
      </c>
      <c r="F196" s="12">
        <f>'Base de Datos Pagos-Notas'!M193</f>
        <v>0</v>
      </c>
      <c r="G196" s="12">
        <f>'Base de Datos Pagos-Notas'!N193</f>
        <v>0</v>
      </c>
      <c r="H196" s="12">
        <f>'Base de Datos Pagos-Notas'!O193</f>
        <v>0</v>
      </c>
      <c r="I196" s="12">
        <f>'Base de Datos Pagos-Notas'!P193</f>
        <v>0</v>
      </c>
      <c r="J196" s="12">
        <f>'Base de Datos Pagos-Notas'!Q193</f>
        <v>0</v>
      </c>
      <c r="K196" s="12">
        <f>'Base de Datos Pagos-Notas'!R193</f>
        <v>0</v>
      </c>
      <c r="L196" s="12">
        <f>'Base de Datos Pagos-Notas'!S193</f>
        <v>0</v>
      </c>
      <c r="M196" s="12">
        <f>'Base de Datos Pagos-Notas'!T193</f>
        <v>0</v>
      </c>
      <c r="N196" s="13">
        <f t="shared" si="5"/>
        <v>0</v>
      </c>
    </row>
    <row r="197" spans="1:14" s="20" customFormat="1" ht="12.95" customHeight="1" x14ac:dyDescent="0.2">
      <c r="A197" s="10">
        <f>'Base de Datos Pagos-Notas'!C194</f>
        <v>0</v>
      </c>
      <c r="B197" s="10">
        <f>'Base de Datos Pagos-Notas'!D194</f>
        <v>0</v>
      </c>
      <c r="C197" s="11">
        <f>'Base de Datos Pagos-Notas'!F194</f>
        <v>0</v>
      </c>
      <c r="D197" s="10" t="str">
        <f t="shared" ref="D197:D260" si="6">IF(E197="1","Pago","Nota Crédito")</f>
        <v>Nota Crédito</v>
      </c>
      <c r="E197" s="11">
        <f>'Base de Datos Pagos-Notas'!L194</f>
        <v>0</v>
      </c>
      <c r="F197" s="12">
        <f>'Base de Datos Pagos-Notas'!M194</f>
        <v>0</v>
      </c>
      <c r="G197" s="12">
        <f>'Base de Datos Pagos-Notas'!N194</f>
        <v>0</v>
      </c>
      <c r="H197" s="12">
        <f>'Base de Datos Pagos-Notas'!O194</f>
        <v>0</v>
      </c>
      <c r="I197" s="12">
        <f>'Base de Datos Pagos-Notas'!P194</f>
        <v>0</v>
      </c>
      <c r="J197" s="12">
        <f>'Base de Datos Pagos-Notas'!Q194</f>
        <v>0</v>
      </c>
      <c r="K197" s="12">
        <f>'Base de Datos Pagos-Notas'!R194</f>
        <v>0</v>
      </c>
      <c r="L197" s="12">
        <f>'Base de Datos Pagos-Notas'!S194</f>
        <v>0</v>
      </c>
      <c r="M197" s="12">
        <f>'Base de Datos Pagos-Notas'!T194</f>
        <v>0</v>
      </c>
      <c r="N197" s="13">
        <f t="shared" ref="N197:N260" si="7">SUM(F197:M197)</f>
        <v>0</v>
      </c>
    </row>
    <row r="198" spans="1:14" s="20" customFormat="1" ht="12.95" customHeight="1" x14ac:dyDescent="0.2">
      <c r="A198" s="10">
        <f>'Base de Datos Pagos-Notas'!C195</f>
        <v>0</v>
      </c>
      <c r="B198" s="10">
        <f>'Base de Datos Pagos-Notas'!D195</f>
        <v>0</v>
      </c>
      <c r="C198" s="11">
        <f>'Base de Datos Pagos-Notas'!F195</f>
        <v>0</v>
      </c>
      <c r="D198" s="10" t="str">
        <f t="shared" si="6"/>
        <v>Nota Crédito</v>
      </c>
      <c r="E198" s="11">
        <f>'Base de Datos Pagos-Notas'!L195</f>
        <v>0</v>
      </c>
      <c r="F198" s="12">
        <f>'Base de Datos Pagos-Notas'!M195</f>
        <v>0</v>
      </c>
      <c r="G198" s="12">
        <f>'Base de Datos Pagos-Notas'!N195</f>
        <v>0</v>
      </c>
      <c r="H198" s="12">
        <f>'Base de Datos Pagos-Notas'!O195</f>
        <v>0</v>
      </c>
      <c r="I198" s="12">
        <f>'Base de Datos Pagos-Notas'!P195</f>
        <v>0</v>
      </c>
      <c r="J198" s="12">
        <f>'Base de Datos Pagos-Notas'!Q195</f>
        <v>0</v>
      </c>
      <c r="K198" s="12">
        <f>'Base de Datos Pagos-Notas'!R195</f>
        <v>0</v>
      </c>
      <c r="L198" s="12">
        <f>'Base de Datos Pagos-Notas'!S195</f>
        <v>0</v>
      </c>
      <c r="M198" s="12">
        <f>'Base de Datos Pagos-Notas'!T195</f>
        <v>0</v>
      </c>
      <c r="N198" s="13">
        <f t="shared" si="7"/>
        <v>0</v>
      </c>
    </row>
    <row r="199" spans="1:14" s="20" customFormat="1" ht="12.95" customHeight="1" x14ac:dyDescent="0.2">
      <c r="A199" s="10">
        <f>'Base de Datos Pagos-Notas'!C196</f>
        <v>0</v>
      </c>
      <c r="B199" s="10">
        <f>'Base de Datos Pagos-Notas'!D196</f>
        <v>0</v>
      </c>
      <c r="C199" s="11">
        <f>'Base de Datos Pagos-Notas'!F196</f>
        <v>0</v>
      </c>
      <c r="D199" s="10" t="str">
        <f t="shared" si="6"/>
        <v>Nota Crédito</v>
      </c>
      <c r="E199" s="11">
        <f>'Base de Datos Pagos-Notas'!L196</f>
        <v>0</v>
      </c>
      <c r="F199" s="12">
        <f>'Base de Datos Pagos-Notas'!M196</f>
        <v>0</v>
      </c>
      <c r="G199" s="12">
        <f>'Base de Datos Pagos-Notas'!N196</f>
        <v>0</v>
      </c>
      <c r="H199" s="12">
        <f>'Base de Datos Pagos-Notas'!O196</f>
        <v>0</v>
      </c>
      <c r="I199" s="12">
        <f>'Base de Datos Pagos-Notas'!P196</f>
        <v>0</v>
      </c>
      <c r="J199" s="12">
        <f>'Base de Datos Pagos-Notas'!Q196</f>
        <v>0</v>
      </c>
      <c r="K199" s="12">
        <f>'Base de Datos Pagos-Notas'!R196</f>
        <v>0</v>
      </c>
      <c r="L199" s="12">
        <f>'Base de Datos Pagos-Notas'!S196</f>
        <v>0</v>
      </c>
      <c r="M199" s="12">
        <f>'Base de Datos Pagos-Notas'!T196</f>
        <v>0</v>
      </c>
      <c r="N199" s="13">
        <f t="shared" si="7"/>
        <v>0</v>
      </c>
    </row>
    <row r="200" spans="1:14" s="20" customFormat="1" ht="12.95" customHeight="1" x14ac:dyDescent="0.2">
      <c r="A200" s="10">
        <f>'Base de Datos Pagos-Notas'!C197</f>
        <v>0</v>
      </c>
      <c r="B200" s="10">
        <f>'Base de Datos Pagos-Notas'!D197</f>
        <v>0</v>
      </c>
      <c r="C200" s="11">
        <f>'Base de Datos Pagos-Notas'!F197</f>
        <v>0</v>
      </c>
      <c r="D200" s="10" t="str">
        <f t="shared" si="6"/>
        <v>Nota Crédito</v>
      </c>
      <c r="E200" s="11">
        <f>'Base de Datos Pagos-Notas'!L197</f>
        <v>0</v>
      </c>
      <c r="F200" s="12">
        <f>'Base de Datos Pagos-Notas'!M197</f>
        <v>0</v>
      </c>
      <c r="G200" s="12">
        <f>'Base de Datos Pagos-Notas'!N197</f>
        <v>0</v>
      </c>
      <c r="H200" s="12">
        <f>'Base de Datos Pagos-Notas'!O197</f>
        <v>0</v>
      </c>
      <c r="I200" s="12">
        <f>'Base de Datos Pagos-Notas'!P197</f>
        <v>0</v>
      </c>
      <c r="J200" s="12">
        <f>'Base de Datos Pagos-Notas'!Q197</f>
        <v>0</v>
      </c>
      <c r="K200" s="12">
        <f>'Base de Datos Pagos-Notas'!R197</f>
        <v>0</v>
      </c>
      <c r="L200" s="12">
        <f>'Base de Datos Pagos-Notas'!S197</f>
        <v>0</v>
      </c>
      <c r="M200" s="12">
        <f>'Base de Datos Pagos-Notas'!T197</f>
        <v>0</v>
      </c>
      <c r="N200" s="13">
        <f t="shared" si="7"/>
        <v>0</v>
      </c>
    </row>
    <row r="201" spans="1:14" s="20" customFormat="1" ht="12.95" customHeight="1" x14ac:dyDescent="0.2">
      <c r="A201" s="10">
        <f>'Base de Datos Pagos-Notas'!C198</f>
        <v>0</v>
      </c>
      <c r="B201" s="10">
        <f>'Base de Datos Pagos-Notas'!D198</f>
        <v>0</v>
      </c>
      <c r="C201" s="11">
        <f>'Base de Datos Pagos-Notas'!F198</f>
        <v>0</v>
      </c>
      <c r="D201" s="10" t="str">
        <f t="shared" si="6"/>
        <v>Nota Crédito</v>
      </c>
      <c r="E201" s="11">
        <f>'Base de Datos Pagos-Notas'!L198</f>
        <v>0</v>
      </c>
      <c r="F201" s="12">
        <f>'Base de Datos Pagos-Notas'!M198</f>
        <v>0</v>
      </c>
      <c r="G201" s="12">
        <f>'Base de Datos Pagos-Notas'!N198</f>
        <v>0</v>
      </c>
      <c r="H201" s="12">
        <f>'Base de Datos Pagos-Notas'!O198</f>
        <v>0</v>
      </c>
      <c r="I201" s="12">
        <f>'Base de Datos Pagos-Notas'!P198</f>
        <v>0</v>
      </c>
      <c r="J201" s="12">
        <f>'Base de Datos Pagos-Notas'!Q198</f>
        <v>0</v>
      </c>
      <c r="K201" s="12">
        <f>'Base de Datos Pagos-Notas'!R198</f>
        <v>0</v>
      </c>
      <c r="L201" s="12">
        <f>'Base de Datos Pagos-Notas'!S198</f>
        <v>0</v>
      </c>
      <c r="M201" s="12">
        <f>'Base de Datos Pagos-Notas'!T198</f>
        <v>0</v>
      </c>
      <c r="N201" s="13">
        <f t="shared" si="7"/>
        <v>0</v>
      </c>
    </row>
    <row r="202" spans="1:14" s="20" customFormat="1" ht="12.95" customHeight="1" x14ac:dyDescent="0.2">
      <c r="A202" s="10">
        <f>'Base de Datos Pagos-Notas'!C199</f>
        <v>0</v>
      </c>
      <c r="B202" s="10">
        <f>'Base de Datos Pagos-Notas'!D199</f>
        <v>0</v>
      </c>
      <c r="C202" s="11">
        <f>'Base de Datos Pagos-Notas'!F199</f>
        <v>0</v>
      </c>
      <c r="D202" s="10" t="str">
        <f t="shared" si="6"/>
        <v>Nota Crédito</v>
      </c>
      <c r="E202" s="11">
        <f>'Base de Datos Pagos-Notas'!L199</f>
        <v>0</v>
      </c>
      <c r="F202" s="12">
        <f>'Base de Datos Pagos-Notas'!M199</f>
        <v>0</v>
      </c>
      <c r="G202" s="12">
        <f>'Base de Datos Pagos-Notas'!N199</f>
        <v>0</v>
      </c>
      <c r="H202" s="12">
        <f>'Base de Datos Pagos-Notas'!O199</f>
        <v>0</v>
      </c>
      <c r="I202" s="12">
        <f>'Base de Datos Pagos-Notas'!P199</f>
        <v>0</v>
      </c>
      <c r="J202" s="12">
        <f>'Base de Datos Pagos-Notas'!Q199</f>
        <v>0</v>
      </c>
      <c r="K202" s="12">
        <f>'Base de Datos Pagos-Notas'!R199</f>
        <v>0</v>
      </c>
      <c r="L202" s="12">
        <f>'Base de Datos Pagos-Notas'!S199</f>
        <v>0</v>
      </c>
      <c r="M202" s="12">
        <f>'Base de Datos Pagos-Notas'!T199</f>
        <v>0</v>
      </c>
      <c r="N202" s="13">
        <f t="shared" si="7"/>
        <v>0</v>
      </c>
    </row>
    <row r="203" spans="1:14" s="20" customFormat="1" ht="12.95" customHeight="1" x14ac:dyDescent="0.2">
      <c r="A203" s="10">
        <f>'Base de Datos Pagos-Notas'!C200</f>
        <v>0</v>
      </c>
      <c r="B203" s="10">
        <f>'Base de Datos Pagos-Notas'!D200</f>
        <v>0</v>
      </c>
      <c r="C203" s="11">
        <f>'Base de Datos Pagos-Notas'!F200</f>
        <v>0</v>
      </c>
      <c r="D203" s="10" t="str">
        <f t="shared" si="6"/>
        <v>Nota Crédito</v>
      </c>
      <c r="E203" s="11">
        <f>'Base de Datos Pagos-Notas'!L200</f>
        <v>0</v>
      </c>
      <c r="F203" s="12">
        <f>'Base de Datos Pagos-Notas'!M200</f>
        <v>0</v>
      </c>
      <c r="G203" s="12">
        <f>'Base de Datos Pagos-Notas'!N200</f>
        <v>0</v>
      </c>
      <c r="H203" s="12">
        <f>'Base de Datos Pagos-Notas'!O200</f>
        <v>0</v>
      </c>
      <c r="I203" s="12">
        <f>'Base de Datos Pagos-Notas'!P200</f>
        <v>0</v>
      </c>
      <c r="J203" s="12">
        <f>'Base de Datos Pagos-Notas'!Q200</f>
        <v>0</v>
      </c>
      <c r="K203" s="12">
        <f>'Base de Datos Pagos-Notas'!R200</f>
        <v>0</v>
      </c>
      <c r="L203" s="12">
        <f>'Base de Datos Pagos-Notas'!S200</f>
        <v>0</v>
      </c>
      <c r="M203" s="12">
        <f>'Base de Datos Pagos-Notas'!T200</f>
        <v>0</v>
      </c>
      <c r="N203" s="13">
        <f t="shared" si="7"/>
        <v>0</v>
      </c>
    </row>
    <row r="204" spans="1:14" s="20" customFormat="1" ht="12.95" customHeight="1" x14ac:dyDescent="0.2">
      <c r="A204" s="10">
        <f>'Base de Datos Pagos-Notas'!C201</f>
        <v>0</v>
      </c>
      <c r="B204" s="10">
        <f>'Base de Datos Pagos-Notas'!D201</f>
        <v>0</v>
      </c>
      <c r="C204" s="11">
        <f>'Base de Datos Pagos-Notas'!F201</f>
        <v>0</v>
      </c>
      <c r="D204" s="10" t="str">
        <f t="shared" si="6"/>
        <v>Nota Crédito</v>
      </c>
      <c r="E204" s="11">
        <f>'Base de Datos Pagos-Notas'!L201</f>
        <v>0</v>
      </c>
      <c r="F204" s="12">
        <f>'Base de Datos Pagos-Notas'!M201</f>
        <v>0</v>
      </c>
      <c r="G204" s="12">
        <f>'Base de Datos Pagos-Notas'!N201</f>
        <v>0</v>
      </c>
      <c r="H204" s="12">
        <f>'Base de Datos Pagos-Notas'!O201</f>
        <v>0</v>
      </c>
      <c r="I204" s="12">
        <f>'Base de Datos Pagos-Notas'!P201</f>
        <v>0</v>
      </c>
      <c r="J204" s="12">
        <f>'Base de Datos Pagos-Notas'!Q201</f>
        <v>0</v>
      </c>
      <c r="K204" s="12">
        <f>'Base de Datos Pagos-Notas'!R201</f>
        <v>0</v>
      </c>
      <c r="L204" s="12">
        <f>'Base de Datos Pagos-Notas'!S201</f>
        <v>0</v>
      </c>
      <c r="M204" s="12">
        <f>'Base de Datos Pagos-Notas'!T201</f>
        <v>0</v>
      </c>
      <c r="N204" s="13">
        <f t="shared" si="7"/>
        <v>0</v>
      </c>
    </row>
    <row r="205" spans="1:14" s="20" customFormat="1" ht="12.95" customHeight="1" x14ac:dyDescent="0.2">
      <c r="A205" s="10">
        <f>'Base de Datos Pagos-Notas'!C202</f>
        <v>0</v>
      </c>
      <c r="B205" s="10">
        <f>'Base de Datos Pagos-Notas'!D202</f>
        <v>0</v>
      </c>
      <c r="C205" s="11">
        <f>'Base de Datos Pagos-Notas'!F202</f>
        <v>0</v>
      </c>
      <c r="D205" s="10" t="str">
        <f t="shared" si="6"/>
        <v>Nota Crédito</v>
      </c>
      <c r="E205" s="11">
        <f>'Base de Datos Pagos-Notas'!L202</f>
        <v>0</v>
      </c>
      <c r="F205" s="12">
        <f>'Base de Datos Pagos-Notas'!M202</f>
        <v>0</v>
      </c>
      <c r="G205" s="12">
        <f>'Base de Datos Pagos-Notas'!N202</f>
        <v>0</v>
      </c>
      <c r="H205" s="12">
        <f>'Base de Datos Pagos-Notas'!O202</f>
        <v>0</v>
      </c>
      <c r="I205" s="12">
        <f>'Base de Datos Pagos-Notas'!P202</f>
        <v>0</v>
      </c>
      <c r="J205" s="12">
        <f>'Base de Datos Pagos-Notas'!Q202</f>
        <v>0</v>
      </c>
      <c r="K205" s="12">
        <f>'Base de Datos Pagos-Notas'!R202</f>
        <v>0</v>
      </c>
      <c r="L205" s="12">
        <f>'Base de Datos Pagos-Notas'!S202</f>
        <v>0</v>
      </c>
      <c r="M205" s="12">
        <f>'Base de Datos Pagos-Notas'!T202</f>
        <v>0</v>
      </c>
      <c r="N205" s="13">
        <f t="shared" si="7"/>
        <v>0</v>
      </c>
    </row>
    <row r="206" spans="1:14" s="20" customFormat="1" ht="12.95" customHeight="1" x14ac:dyDescent="0.2">
      <c r="A206" s="10">
        <f>'Base de Datos Pagos-Notas'!C203</f>
        <v>0</v>
      </c>
      <c r="B206" s="10">
        <f>'Base de Datos Pagos-Notas'!D203</f>
        <v>0</v>
      </c>
      <c r="C206" s="11">
        <f>'Base de Datos Pagos-Notas'!F203</f>
        <v>0</v>
      </c>
      <c r="D206" s="10" t="str">
        <f t="shared" si="6"/>
        <v>Nota Crédito</v>
      </c>
      <c r="E206" s="11">
        <f>'Base de Datos Pagos-Notas'!L203</f>
        <v>0</v>
      </c>
      <c r="F206" s="12">
        <f>'Base de Datos Pagos-Notas'!M203</f>
        <v>0</v>
      </c>
      <c r="G206" s="12">
        <f>'Base de Datos Pagos-Notas'!N203</f>
        <v>0</v>
      </c>
      <c r="H206" s="12">
        <f>'Base de Datos Pagos-Notas'!O203</f>
        <v>0</v>
      </c>
      <c r="I206" s="12">
        <f>'Base de Datos Pagos-Notas'!P203</f>
        <v>0</v>
      </c>
      <c r="J206" s="12">
        <f>'Base de Datos Pagos-Notas'!Q203</f>
        <v>0</v>
      </c>
      <c r="K206" s="12">
        <f>'Base de Datos Pagos-Notas'!R203</f>
        <v>0</v>
      </c>
      <c r="L206" s="12">
        <f>'Base de Datos Pagos-Notas'!S203</f>
        <v>0</v>
      </c>
      <c r="M206" s="12">
        <f>'Base de Datos Pagos-Notas'!T203</f>
        <v>0</v>
      </c>
      <c r="N206" s="13">
        <f t="shared" si="7"/>
        <v>0</v>
      </c>
    </row>
    <row r="207" spans="1:14" s="20" customFormat="1" ht="12.95" customHeight="1" x14ac:dyDescent="0.2">
      <c r="A207" s="10">
        <f>'Base de Datos Pagos-Notas'!C204</f>
        <v>0</v>
      </c>
      <c r="B207" s="10">
        <f>'Base de Datos Pagos-Notas'!D204</f>
        <v>0</v>
      </c>
      <c r="C207" s="11">
        <f>'Base de Datos Pagos-Notas'!F204</f>
        <v>0</v>
      </c>
      <c r="D207" s="10" t="str">
        <f t="shared" si="6"/>
        <v>Nota Crédito</v>
      </c>
      <c r="E207" s="11">
        <f>'Base de Datos Pagos-Notas'!L204</f>
        <v>0</v>
      </c>
      <c r="F207" s="12">
        <f>'Base de Datos Pagos-Notas'!M204</f>
        <v>0</v>
      </c>
      <c r="G207" s="12">
        <f>'Base de Datos Pagos-Notas'!N204</f>
        <v>0</v>
      </c>
      <c r="H207" s="12">
        <f>'Base de Datos Pagos-Notas'!O204</f>
        <v>0</v>
      </c>
      <c r="I207" s="12">
        <f>'Base de Datos Pagos-Notas'!P204</f>
        <v>0</v>
      </c>
      <c r="J207" s="12">
        <f>'Base de Datos Pagos-Notas'!Q204</f>
        <v>0</v>
      </c>
      <c r="K207" s="12">
        <f>'Base de Datos Pagos-Notas'!R204</f>
        <v>0</v>
      </c>
      <c r="L207" s="12">
        <f>'Base de Datos Pagos-Notas'!S204</f>
        <v>0</v>
      </c>
      <c r="M207" s="12">
        <f>'Base de Datos Pagos-Notas'!T204</f>
        <v>0</v>
      </c>
      <c r="N207" s="13">
        <f t="shared" si="7"/>
        <v>0</v>
      </c>
    </row>
    <row r="208" spans="1:14" s="20" customFormat="1" ht="12.95" customHeight="1" x14ac:dyDescent="0.2">
      <c r="A208" s="10">
        <f>'Base de Datos Pagos-Notas'!C205</f>
        <v>0</v>
      </c>
      <c r="B208" s="10">
        <f>'Base de Datos Pagos-Notas'!D205</f>
        <v>0</v>
      </c>
      <c r="C208" s="11">
        <f>'Base de Datos Pagos-Notas'!F205</f>
        <v>0</v>
      </c>
      <c r="D208" s="10" t="str">
        <f t="shared" si="6"/>
        <v>Nota Crédito</v>
      </c>
      <c r="E208" s="11">
        <f>'Base de Datos Pagos-Notas'!L205</f>
        <v>0</v>
      </c>
      <c r="F208" s="12">
        <f>'Base de Datos Pagos-Notas'!M205</f>
        <v>0</v>
      </c>
      <c r="G208" s="12">
        <f>'Base de Datos Pagos-Notas'!N205</f>
        <v>0</v>
      </c>
      <c r="H208" s="12">
        <f>'Base de Datos Pagos-Notas'!O205</f>
        <v>0</v>
      </c>
      <c r="I208" s="12">
        <f>'Base de Datos Pagos-Notas'!P205</f>
        <v>0</v>
      </c>
      <c r="J208" s="12">
        <f>'Base de Datos Pagos-Notas'!Q205</f>
        <v>0</v>
      </c>
      <c r="K208" s="12">
        <f>'Base de Datos Pagos-Notas'!R205</f>
        <v>0</v>
      </c>
      <c r="L208" s="12">
        <f>'Base de Datos Pagos-Notas'!S205</f>
        <v>0</v>
      </c>
      <c r="M208" s="12">
        <f>'Base de Datos Pagos-Notas'!T205</f>
        <v>0</v>
      </c>
      <c r="N208" s="13">
        <f t="shared" si="7"/>
        <v>0</v>
      </c>
    </row>
    <row r="209" spans="1:14" s="20" customFormat="1" ht="12.95" customHeight="1" x14ac:dyDescent="0.2">
      <c r="A209" s="10">
        <f>'Base de Datos Pagos-Notas'!C206</f>
        <v>0</v>
      </c>
      <c r="B209" s="10">
        <f>'Base de Datos Pagos-Notas'!D206</f>
        <v>0</v>
      </c>
      <c r="C209" s="11">
        <f>'Base de Datos Pagos-Notas'!F206</f>
        <v>0</v>
      </c>
      <c r="D209" s="10" t="str">
        <f t="shared" si="6"/>
        <v>Nota Crédito</v>
      </c>
      <c r="E209" s="11">
        <f>'Base de Datos Pagos-Notas'!L206</f>
        <v>0</v>
      </c>
      <c r="F209" s="12">
        <f>'Base de Datos Pagos-Notas'!M206</f>
        <v>0</v>
      </c>
      <c r="G209" s="12">
        <f>'Base de Datos Pagos-Notas'!N206</f>
        <v>0</v>
      </c>
      <c r="H209" s="12">
        <f>'Base de Datos Pagos-Notas'!O206</f>
        <v>0</v>
      </c>
      <c r="I209" s="12">
        <f>'Base de Datos Pagos-Notas'!P206</f>
        <v>0</v>
      </c>
      <c r="J209" s="12">
        <f>'Base de Datos Pagos-Notas'!Q206</f>
        <v>0</v>
      </c>
      <c r="K209" s="12">
        <f>'Base de Datos Pagos-Notas'!R206</f>
        <v>0</v>
      </c>
      <c r="L209" s="12">
        <f>'Base de Datos Pagos-Notas'!S206</f>
        <v>0</v>
      </c>
      <c r="M209" s="12">
        <f>'Base de Datos Pagos-Notas'!T206</f>
        <v>0</v>
      </c>
      <c r="N209" s="13">
        <f t="shared" si="7"/>
        <v>0</v>
      </c>
    </row>
    <row r="210" spans="1:14" s="20" customFormat="1" ht="12.95" customHeight="1" x14ac:dyDescent="0.2">
      <c r="A210" s="10">
        <f>'Base de Datos Pagos-Notas'!C207</f>
        <v>0</v>
      </c>
      <c r="B210" s="10">
        <f>'Base de Datos Pagos-Notas'!D207</f>
        <v>0</v>
      </c>
      <c r="C210" s="11">
        <f>'Base de Datos Pagos-Notas'!F207</f>
        <v>0</v>
      </c>
      <c r="D210" s="10" t="str">
        <f t="shared" si="6"/>
        <v>Nota Crédito</v>
      </c>
      <c r="E210" s="11">
        <f>'Base de Datos Pagos-Notas'!L207</f>
        <v>0</v>
      </c>
      <c r="F210" s="12">
        <f>'Base de Datos Pagos-Notas'!M207</f>
        <v>0</v>
      </c>
      <c r="G210" s="12">
        <f>'Base de Datos Pagos-Notas'!N207</f>
        <v>0</v>
      </c>
      <c r="H210" s="12">
        <f>'Base de Datos Pagos-Notas'!O207</f>
        <v>0</v>
      </c>
      <c r="I210" s="12">
        <f>'Base de Datos Pagos-Notas'!P207</f>
        <v>0</v>
      </c>
      <c r="J210" s="12">
        <f>'Base de Datos Pagos-Notas'!Q207</f>
        <v>0</v>
      </c>
      <c r="K210" s="12">
        <f>'Base de Datos Pagos-Notas'!R207</f>
        <v>0</v>
      </c>
      <c r="L210" s="12">
        <f>'Base de Datos Pagos-Notas'!S207</f>
        <v>0</v>
      </c>
      <c r="M210" s="12">
        <f>'Base de Datos Pagos-Notas'!T207</f>
        <v>0</v>
      </c>
      <c r="N210" s="13">
        <f t="shared" si="7"/>
        <v>0</v>
      </c>
    </row>
    <row r="211" spans="1:14" s="20" customFormat="1" ht="12.95" customHeight="1" x14ac:dyDescent="0.2">
      <c r="A211" s="10">
        <f>'Base de Datos Pagos-Notas'!C208</f>
        <v>0</v>
      </c>
      <c r="B211" s="10">
        <f>'Base de Datos Pagos-Notas'!D208</f>
        <v>0</v>
      </c>
      <c r="C211" s="11">
        <f>'Base de Datos Pagos-Notas'!F208</f>
        <v>0</v>
      </c>
      <c r="D211" s="10" t="str">
        <f t="shared" si="6"/>
        <v>Nota Crédito</v>
      </c>
      <c r="E211" s="11">
        <f>'Base de Datos Pagos-Notas'!L208</f>
        <v>0</v>
      </c>
      <c r="F211" s="12">
        <f>'Base de Datos Pagos-Notas'!M208</f>
        <v>0</v>
      </c>
      <c r="G211" s="12">
        <f>'Base de Datos Pagos-Notas'!N208</f>
        <v>0</v>
      </c>
      <c r="H211" s="12">
        <f>'Base de Datos Pagos-Notas'!O208</f>
        <v>0</v>
      </c>
      <c r="I211" s="12">
        <f>'Base de Datos Pagos-Notas'!P208</f>
        <v>0</v>
      </c>
      <c r="J211" s="12">
        <f>'Base de Datos Pagos-Notas'!Q208</f>
        <v>0</v>
      </c>
      <c r="K211" s="12">
        <f>'Base de Datos Pagos-Notas'!R208</f>
        <v>0</v>
      </c>
      <c r="L211" s="12">
        <f>'Base de Datos Pagos-Notas'!S208</f>
        <v>0</v>
      </c>
      <c r="M211" s="12">
        <f>'Base de Datos Pagos-Notas'!T208</f>
        <v>0</v>
      </c>
      <c r="N211" s="13">
        <f t="shared" si="7"/>
        <v>0</v>
      </c>
    </row>
    <row r="212" spans="1:14" s="20" customFormat="1" ht="12.95" customHeight="1" x14ac:dyDescent="0.2">
      <c r="A212" s="10">
        <f>'Base de Datos Pagos-Notas'!C209</f>
        <v>0</v>
      </c>
      <c r="B212" s="10">
        <f>'Base de Datos Pagos-Notas'!D209</f>
        <v>0</v>
      </c>
      <c r="C212" s="11">
        <f>'Base de Datos Pagos-Notas'!F209</f>
        <v>0</v>
      </c>
      <c r="D212" s="10" t="str">
        <f t="shared" si="6"/>
        <v>Nota Crédito</v>
      </c>
      <c r="E212" s="11">
        <f>'Base de Datos Pagos-Notas'!L209</f>
        <v>0</v>
      </c>
      <c r="F212" s="12">
        <f>'Base de Datos Pagos-Notas'!M209</f>
        <v>0</v>
      </c>
      <c r="G212" s="12">
        <f>'Base de Datos Pagos-Notas'!N209</f>
        <v>0</v>
      </c>
      <c r="H212" s="12">
        <f>'Base de Datos Pagos-Notas'!O209</f>
        <v>0</v>
      </c>
      <c r="I212" s="12">
        <f>'Base de Datos Pagos-Notas'!P209</f>
        <v>0</v>
      </c>
      <c r="J212" s="12">
        <f>'Base de Datos Pagos-Notas'!Q209</f>
        <v>0</v>
      </c>
      <c r="K212" s="12">
        <f>'Base de Datos Pagos-Notas'!R209</f>
        <v>0</v>
      </c>
      <c r="L212" s="12">
        <f>'Base de Datos Pagos-Notas'!S209</f>
        <v>0</v>
      </c>
      <c r="M212" s="12">
        <f>'Base de Datos Pagos-Notas'!T209</f>
        <v>0</v>
      </c>
      <c r="N212" s="13">
        <f t="shared" si="7"/>
        <v>0</v>
      </c>
    </row>
    <row r="213" spans="1:14" s="20" customFormat="1" ht="12.95" customHeight="1" x14ac:dyDescent="0.2">
      <c r="A213" s="10">
        <f>'Base de Datos Pagos-Notas'!C210</f>
        <v>0</v>
      </c>
      <c r="B213" s="10">
        <f>'Base de Datos Pagos-Notas'!D210</f>
        <v>0</v>
      </c>
      <c r="C213" s="11">
        <f>'Base de Datos Pagos-Notas'!F210</f>
        <v>0</v>
      </c>
      <c r="D213" s="10" t="str">
        <f t="shared" si="6"/>
        <v>Nota Crédito</v>
      </c>
      <c r="E213" s="11">
        <f>'Base de Datos Pagos-Notas'!L210</f>
        <v>0</v>
      </c>
      <c r="F213" s="12">
        <f>'Base de Datos Pagos-Notas'!M210</f>
        <v>0</v>
      </c>
      <c r="G213" s="12">
        <f>'Base de Datos Pagos-Notas'!N210</f>
        <v>0</v>
      </c>
      <c r="H213" s="12">
        <f>'Base de Datos Pagos-Notas'!O210</f>
        <v>0</v>
      </c>
      <c r="I213" s="12">
        <f>'Base de Datos Pagos-Notas'!P210</f>
        <v>0</v>
      </c>
      <c r="J213" s="12">
        <f>'Base de Datos Pagos-Notas'!Q210</f>
        <v>0</v>
      </c>
      <c r="K213" s="12">
        <f>'Base de Datos Pagos-Notas'!R210</f>
        <v>0</v>
      </c>
      <c r="L213" s="12">
        <f>'Base de Datos Pagos-Notas'!S210</f>
        <v>0</v>
      </c>
      <c r="M213" s="12">
        <f>'Base de Datos Pagos-Notas'!T210</f>
        <v>0</v>
      </c>
      <c r="N213" s="13">
        <f t="shared" si="7"/>
        <v>0</v>
      </c>
    </row>
    <row r="214" spans="1:14" s="20" customFormat="1" ht="12.95" customHeight="1" x14ac:dyDescent="0.2">
      <c r="A214" s="10">
        <f>'Base de Datos Pagos-Notas'!C211</f>
        <v>0</v>
      </c>
      <c r="B214" s="10">
        <f>'Base de Datos Pagos-Notas'!D211</f>
        <v>0</v>
      </c>
      <c r="C214" s="11">
        <f>'Base de Datos Pagos-Notas'!F211</f>
        <v>0</v>
      </c>
      <c r="D214" s="10" t="str">
        <f t="shared" si="6"/>
        <v>Nota Crédito</v>
      </c>
      <c r="E214" s="11">
        <f>'Base de Datos Pagos-Notas'!L211</f>
        <v>0</v>
      </c>
      <c r="F214" s="12">
        <f>'Base de Datos Pagos-Notas'!M211</f>
        <v>0</v>
      </c>
      <c r="G214" s="12">
        <f>'Base de Datos Pagos-Notas'!N211</f>
        <v>0</v>
      </c>
      <c r="H214" s="12">
        <f>'Base de Datos Pagos-Notas'!O211</f>
        <v>0</v>
      </c>
      <c r="I214" s="12">
        <f>'Base de Datos Pagos-Notas'!P211</f>
        <v>0</v>
      </c>
      <c r="J214" s="12">
        <f>'Base de Datos Pagos-Notas'!Q211</f>
        <v>0</v>
      </c>
      <c r="K214" s="12">
        <f>'Base de Datos Pagos-Notas'!R211</f>
        <v>0</v>
      </c>
      <c r="L214" s="12">
        <f>'Base de Datos Pagos-Notas'!S211</f>
        <v>0</v>
      </c>
      <c r="M214" s="12">
        <f>'Base de Datos Pagos-Notas'!T211</f>
        <v>0</v>
      </c>
      <c r="N214" s="13">
        <f t="shared" si="7"/>
        <v>0</v>
      </c>
    </row>
    <row r="215" spans="1:14" s="20" customFormat="1" ht="12.95" customHeight="1" x14ac:dyDescent="0.2">
      <c r="A215" s="10">
        <f>'Base de Datos Pagos-Notas'!C212</f>
        <v>0</v>
      </c>
      <c r="B215" s="10">
        <f>'Base de Datos Pagos-Notas'!D212</f>
        <v>0</v>
      </c>
      <c r="C215" s="11">
        <f>'Base de Datos Pagos-Notas'!F212</f>
        <v>0</v>
      </c>
      <c r="D215" s="10" t="str">
        <f t="shared" si="6"/>
        <v>Nota Crédito</v>
      </c>
      <c r="E215" s="11">
        <f>'Base de Datos Pagos-Notas'!L212</f>
        <v>0</v>
      </c>
      <c r="F215" s="12">
        <f>'Base de Datos Pagos-Notas'!M212</f>
        <v>0</v>
      </c>
      <c r="G215" s="12">
        <f>'Base de Datos Pagos-Notas'!N212</f>
        <v>0</v>
      </c>
      <c r="H215" s="12">
        <f>'Base de Datos Pagos-Notas'!O212</f>
        <v>0</v>
      </c>
      <c r="I215" s="12">
        <f>'Base de Datos Pagos-Notas'!P212</f>
        <v>0</v>
      </c>
      <c r="J215" s="12">
        <f>'Base de Datos Pagos-Notas'!Q212</f>
        <v>0</v>
      </c>
      <c r="K215" s="12">
        <f>'Base de Datos Pagos-Notas'!R212</f>
        <v>0</v>
      </c>
      <c r="L215" s="12">
        <f>'Base de Datos Pagos-Notas'!S212</f>
        <v>0</v>
      </c>
      <c r="M215" s="12">
        <f>'Base de Datos Pagos-Notas'!T212</f>
        <v>0</v>
      </c>
      <c r="N215" s="13">
        <f t="shared" si="7"/>
        <v>0</v>
      </c>
    </row>
    <row r="216" spans="1:14" s="20" customFormat="1" ht="12.95" customHeight="1" x14ac:dyDescent="0.2">
      <c r="A216" s="10">
        <f>'Base de Datos Pagos-Notas'!C213</f>
        <v>0</v>
      </c>
      <c r="B216" s="10">
        <f>'Base de Datos Pagos-Notas'!D213</f>
        <v>0</v>
      </c>
      <c r="C216" s="11">
        <f>'Base de Datos Pagos-Notas'!F213</f>
        <v>0</v>
      </c>
      <c r="D216" s="10" t="str">
        <f t="shared" si="6"/>
        <v>Nota Crédito</v>
      </c>
      <c r="E216" s="11">
        <f>'Base de Datos Pagos-Notas'!L213</f>
        <v>0</v>
      </c>
      <c r="F216" s="12">
        <f>'Base de Datos Pagos-Notas'!M213</f>
        <v>0</v>
      </c>
      <c r="G216" s="12">
        <f>'Base de Datos Pagos-Notas'!N213</f>
        <v>0</v>
      </c>
      <c r="H216" s="12">
        <f>'Base de Datos Pagos-Notas'!O213</f>
        <v>0</v>
      </c>
      <c r="I216" s="12">
        <f>'Base de Datos Pagos-Notas'!P213</f>
        <v>0</v>
      </c>
      <c r="J216" s="12">
        <f>'Base de Datos Pagos-Notas'!Q213</f>
        <v>0</v>
      </c>
      <c r="K216" s="12">
        <f>'Base de Datos Pagos-Notas'!R213</f>
        <v>0</v>
      </c>
      <c r="L216" s="12">
        <f>'Base de Datos Pagos-Notas'!S213</f>
        <v>0</v>
      </c>
      <c r="M216" s="12">
        <f>'Base de Datos Pagos-Notas'!T213</f>
        <v>0</v>
      </c>
      <c r="N216" s="13">
        <f t="shared" si="7"/>
        <v>0</v>
      </c>
    </row>
    <row r="217" spans="1:14" s="20" customFormat="1" ht="12.95" customHeight="1" x14ac:dyDescent="0.2">
      <c r="A217" s="10">
        <f>'Base de Datos Pagos-Notas'!C214</f>
        <v>0</v>
      </c>
      <c r="B217" s="10">
        <f>'Base de Datos Pagos-Notas'!D214</f>
        <v>0</v>
      </c>
      <c r="C217" s="11">
        <f>'Base de Datos Pagos-Notas'!F214</f>
        <v>0</v>
      </c>
      <c r="D217" s="10" t="str">
        <f t="shared" si="6"/>
        <v>Nota Crédito</v>
      </c>
      <c r="E217" s="11">
        <f>'Base de Datos Pagos-Notas'!L214</f>
        <v>0</v>
      </c>
      <c r="F217" s="12">
        <f>'Base de Datos Pagos-Notas'!M214</f>
        <v>0</v>
      </c>
      <c r="G217" s="12">
        <f>'Base de Datos Pagos-Notas'!N214</f>
        <v>0</v>
      </c>
      <c r="H217" s="12">
        <f>'Base de Datos Pagos-Notas'!O214</f>
        <v>0</v>
      </c>
      <c r="I217" s="12">
        <f>'Base de Datos Pagos-Notas'!P214</f>
        <v>0</v>
      </c>
      <c r="J217" s="12">
        <f>'Base de Datos Pagos-Notas'!Q214</f>
        <v>0</v>
      </c>
      <c r="K217" s="12">
        <f>'Base de Datos Pagos-Notas'!R214</f>
        <v>0</v>
      </c>
      <c r="L217" s="12">
        <f>'Base de Datos Pagos-Notas'!S214</f>
        <v>0</v>
      </c>
      <c r="M217" s="12">
        <f>'Base de Datos Pagos-Notas'!T214</f>
        <v>0</v>
      </c>
      <c r="N217" s="13">
        <f t="shared" si="7"/>
        <v>0</v>
      </c>
    </row>
    <row r="218" spans="1:14" s="20" customFormat="1" ht="12.95" customHeight="1" x14ac:dyDescent="0.2">
      <c r="A218" s="10">
        <f>'Base de Datos Pagos-Notas'!C215</f>
        <v>0</v>
      </c>
      <c r="B218" s="10">
        <f>'Base de Datos Pagos-Notas'!D215</f>
        <v>0</v>
      </c>
      <c r="C218" s="11">
        <f>'Base de Datos Pagos-Notas'!F215</f>
        <v>0</v>
      </c>
      <c r="D218" s="10" t="str">
        <f t="shared" si="6"/>
        <v>Nota Crédito</v>
      </c>
      <c r="E218" s="11">
        <f>'Base de Datos Pagos-Notas'!L215</f>
        <v>0</v>
      </c>
      <c r="F218" s="12">
        <f>'Base de Datos Pagos-Notas'!M215</f>
        <v>0</v>
      </c>
      <c r="G218" s="12">
        <f>'Base de Datos Pagos-Notas'!N215</f>
        <v>0</v>
      </c>
      <c r="H218" s="12">
        <f>'Base de Datos Pagos-Notas'!O215</f>
        <v>0</v>
      </c>
      <c r="I218" s="12">
        <f>'Base de Datos Pagos-Notas'!P215</f>
        <v>0</v>
      </c>
      <c r="J218" s="12">
        <f>'Base de Datos Pagos-Notas'!Q215</f>
        <v>0</v>
      </c>
      <c r="K218" s="12">
        <f>'Base de Datos Pagos-Notas'!R215</f>
        <v>0</v>
      </c>
      <c r="L218" s="12">
        <f>'Base de Datos Pagos-Notas'!S215</f>
        <v>0</v>
      </c>
      <c r="M218" s="12">
        <f>'Base de Datos Pagos-Notas'!T215</f>
        <v>0</v>
      </c>
      <c r="N218" s="13">
        <f t="shared" si="7"/>
        <v>0</v>
      </c>
    </row>
    <row r="219" spans="1:14" s="20" customFormat="1" ht="12.95" customHeight="1" x14ac:dyDescent="0.2">
      <c r="A219" s="10">
        <f>'Base de Datos Pagos-Notas'!C216</f>
        <v>0</v>
      </c>
      <c r="B219" s="10">
        <f>'Base de Datos Pagos-Notas'!D216</f>
        <v>0</v>
      </c>
      <c r="C219" s="11">
        <f>'Base de Datos Pagos-Notas'!F216</f>
        <v>0</v>
      </c>
      <c r="D219" s="10" t="str">
        <f t="shared" si="6"/>
        <v>Nota Crédito</v>
      </c>
      <c r="E219" s="11">
        <f>'Base de Datos Pagos-Notas'!L216</f>
        <v>0</v>
      </c>
      <c r="F219" s="12">
        <f>'Base de Datos Pagos-Notas'!M216</f>
        <v>0</v>
      </c>
      <c r="G219" s="12">
        <f>'Base de Datos Pagos-Notas'!N216</f>
        <v>0</v>
      </c>
      <c r="H219" s="12">
        <f>'Base de Datos Pagos-Notas'!O216</f>
        <v>0</v>
      </c>
      <c r="I219" s="12">
        <f>'Base de Datos Pagos-Notas'!P216</f>
        <v>0</v>
      </c>
      <c r="J219" s="12">
        <f>'Base de Datos Pagos-Notas'!Q216</f>
        <v>0</v>
      </c>
      <c r="K219" s="12">
        <f>'Base de Datos Pagos-Notas'!R216</f>
        <v>0</v>
      </c>
      <c r="L219" s="12">
        <f>'Base de Datos Pagos-Notas'!S216</f>
        <v>0</v>
      </c>
      <c r="M219" s="12">
        <f>'Base de Datos Pagos-Notas'!T216</f>
        <v>0</v>
      </c>
      <c r="N219" s="13">
        <f t="shared" si="7"/>
        <v>0</v>
      </c>
    </row>
    <row r="220" spans="1:14" s="20" customFormat="1" ht="12.95" customHeight="1" x14ac:dyDescent="0.2">
      <c r="A220" s="10">
        <f>'Base de Datos Pagos-Notas'!C217</f>
        <v>0</v>
      </c>
      <c r="B220" s="10">
        <f>'Base de Datos Pagos-Notas'!D217</f>
        <v>0</v>
      </c>
      <c r="C220" s="11">
        <f>'Base de Datos Pagos-Notas'!F217</f>
        <v>0</v>
      </c>
      <c r="D220" s="10" t="str">
        <f t="shared" si="6"/>
        <v>Nota Crédito</v>
      </c>
      <c r="E220" s="11">
        <f>'Base de Datos Pagos-Notas'!L217</f>
        <v>0</v>
      </c>
      <c r="F220" s="12">
        <f>'Base de Datos Pagos-Notas'!M217</f>
        <v>0</v>
      </c>
      <c r="G220" s="12">
        <f>'Base de Datos Pagos-Notas'!N217</f>
        <v>0</v>
      </c>
      <c r="H220" s="12">
        <f>'Base de Datos Pagos-Notas'!O217</f>
        <v>0</v>
      </c>
      <c r="I220" s="12">
        <f>'Base de Datos Pagos-Notas'!P217</f>
        <v>0</v>
      </c>
      <c r="J220" s="12">
        <f>'Base de Datos Pagos-Notas'!Q217</f>
        <v>0</v>
      </c>
      <c r="K220" s="12">
        <f>'Base de Datos Pagos-Notas'!R217</f>
        <v>0</v>
      </c>
      <c r="L220" s="12">
        <f>'Base de Datos Pagos-Notas'!S217</f>
        <v>0</v>
      </c>
      <c r="M220" s="12">
        <f>'Base de Datos Pagos-Notas'!T217</f>
        <v>0</v>
      </c>
      <c r="N220" s="13">
        <f t="shared" si="7"/>
        <v>0</v>
      </c>
    </row>
    <row r="221" spans="1:14" s="20" customFormat="1" ht="12.95" customHeight="1" x14ac:dyDescent="0.2">
      <c r="A221" s="10">
        <f>'Base de Datos Pagos-Notas'!C218</f>
        <v>0</v>
      </c>
      <c r="B221" s="10">
        <f>'Base de Datos Pagos-Notas'!D218</f>
        <v>0</v>
      </c>
      <c r="C221" s="11">
        <f>'Base de Datos Pagos-Notas'!F218</f>
        <v>0</v>
      </c>
      <c r="D221" s="10" t="str">
        <f t="shared" si="6"/>
        <v>Nota Crédito</v>
      </c>
      <c r="E221" s="11">
        <f>'Base de Datos Pagos-Notas'!L218</f>
        <v>0</v>
      </c>
      <c r="F221" s="12">
        <f>'Base de Datos Pagos-Notas'!M218</f>
        <v>0</v>
      </c>
      <c r="G221" s="12">
        <f>'Base de Datos Pagos-Notas'!N218</f>
        <v>0</v>
      </c>
      <c r="H221" s="12">
        <f>'Base de Datos Pagos-Notas'!O218</f>
        <v>0</v>
      </c>
      <c r="I221" s="12">
        <f>'Base de Datos Pagos-Notas'!P218</f>
        <v>0</v>
      </c>
      <c r="J221" s="12">
        <f>'Base de Datos Pagos-Notas'!Q218</f>
        <v>0</v>
      </c>
      <c r="K221" s="12">
        <f>'Base de Datos Pagos-Notas'!R218</f>
        <v>0</v>
      </c>
      <c r="L221" s="12">
        <f>'Base de Datos Pagos-Notas'!S218</f>
        <v>0</v>
      </c>
      <c r="M221" s="12">
        <f>'Base de Datos Pagos-Notas'!T218</f>
        <v>0</v>
      </c>
      <c r="N221" s="13">
        <f t="shared" si="7"/>
        <v>0</v>
      </c>
    </row>
    <row r="222" spans="1:14" s="20" customFormat="1" ht="12.95" customHeight="1" x14ac:dyDescent="0.2">
      <c r="A222" s="10">
        <f>'Base de Datos Pagos-Notas'!C219</f>
        <v>0</v>
      </c>
      <c r="B222" s="10">
        <f>'Base de Datos Pagos-Notas'!D219</f>
        <v>0</v>
      </c>
      <c r="C222" s="11">
        <f>'Base de Datos Pagos-Notas'!F219</f>
        <v>0</v>
      </c>
      <c r="D222" s="10" t="str">
        <f t="shared" si="6"/>
        <v>Nota Crédito</v>
      </c>
      <c r="E222" s="11">
        <f>'Base de Datos Pagos-Notas'!L219</f>
        <v>0</v>
      </c>
      <c r="F222" s="12">
        <f>'Base de Datos Pagos-Notas'!M219</f>
        <v>0</v>
      </c>
      <c r="G222" s="12">
        <f>'Base de Datos Pagos-Notas'!N219</f>
        <v>0</v>
      </c>
      <c r="H222" s="12">
        <f>'Base de Datos Pagos-Notas'!O219</f>
        <v>0</v>
      </c>
      <c r="I222" s="12">
        <f>'Base de Datos Pagos-Notas'!P219</f>
        <v>0</v>
      </c>
      <c r="J222" s="12">
        <f>'Base de Datos Pagos-Notas'!Q219</f>
        <v>0</v>
      </c>
      <c r="K222" s="12">
        <f>'Base de Datos Pagos-Notas'!R219</f>
        <v>0</v>
      </c>
      <c r="L222" s="12">
        <f>'Base de Datos Pagos-Notas'!S219</f>
        <v>0</v>
      </c>
      <c r="M222" s="12">
        <f>'Base de Datos Pagos-Notas'!T219</f>
        <v>0</v>
      </c>
      <c r="N222" s="13">
        <f t="shared" si="7"/>
        <v>0</v>
      </c>
    </row>
    <row r="223" spans="1:14" s="20" customFormat="1" ht="12.95" customHeight="1" x14ac:dyDescent="0.2">
      <c r="A223" s="10">
        <f>'Base de Datos Pagos-Notas'!C220</f>
        <v>0</v>
      </c>
      <c r="B223" s="10">
        <f>'Base de Datos Pagos-Notas'!D220</f>
        <v>0</v>
      </c>
      <c r="C223" s="11">
        <f>'Base de Datos Pagos-Notas'!F220</f>
        <v>0</v>
      </c>
      <c r="D223" s="10" t="str">
        <f t="shared" si="6"/>
        <v>Nota Crédito</v>
      </c>
      <c r="E223" s="11">
        <f>'Base de Datos Pagos-Notas'!L220</f>
        <v>0</v>
      </c>
      <c r="F223" s="12">
        <f>'Base de Datos Pagos-Notas'!M220</f>
        <v>0</v>
      </c>
      <c r="G223" s="12">
        <f>'Base de Datos Pagos-Notas'!N220</f>
        <v>0</v>
      </c>
      <c r="H223" s="12">
        <f>'Base de Datos Pagos-Notas'!O220</f>
        <v>0</v>
      </c>
      <c r="I223" s="12">
        <f>'Base de Datos Pagos-Notas'!P220</f>
        <v>0</v>
      </c>
      <c r="J223" s="12">
        <f>'Base de Datos Pagos-Notas'!Q220</f>
        <v>0</v>
      </c>
      <c r="K223" s="12">
        <f>'Base de Datos Pagos-Notas'!R220</f>
        <v>0</v>
      </c>
      <c r="L223" s="12">
        <f>'Base de Datos Pagos-Notas'!S220</f>
        <v>0</v>
      </c>
      <c r="M223" s="12">
        <f>'Base de Datos Pagos-Notas'!T220</f>
        <v>0</v>
      </c>
      <c r="N223" s="13">
        <f t="shared" si="7"/>
        <v>0</v>
      </c>
    </row>
    <row r="224" spans="1:14" s="20" customFormat="1" ht="12.95" customHeight="1" x14ac:dyDescent="0.2">
      <c r="A224" s="10">
        <f>'Base de Datos Pagos-Notas'!C221</f>
        <v>0</v>
      </c>
      <c r="B224" s="10">
        <f>'Base de Datos Pagos-Notas'!D221</f>
        <v>0</v>
      </c>
      <c r="C224" s="11">
        <f>'Base de Datos Pagos-Notas'!F221</f>
        <v>0</v>
      </c>
      <c r="D224" s="10" t="str">
        <f t="shared" si="6"/>
        <v>Nota Crédito</v>
      </c>
      <c r="E224" s="11">
        <f>'Base de Datos Pagos-Notas'!L221</f>
        <v>0</v>
      </c>
      <c r="F224" s="12">
        <f>'Base de Datos Pagos-Notas'!M221</f>
        <v>0</v>
      </c>
      <c r="G224" s="12">
        <f>'Base de Datos Pagos-Notas'!N221</f>
        <v>0</v>
      </c>
      <c r="H224" s="12">
        <f>'Base de Datos Pagos-Notas'!O221</f>
        <v>0</v>
      </c>
      <c r="I224" s="12">
        <f>'Base de Datos Pagos-Notas'!P221</f>
        <v>0</v>
      </c>
      <c r="J224" s="12">
        <f>'Base de Datos Pagos-Notas'!Q221</f>
        <v>0</v>
      </c>
      <c r="K224" s="12">
        <f>'Base de Datos Pagos-Notas'!R221</f>
        <v>0</v>
      </c>
      <c r="L224" s="12">
        <f>'Base de Datos Pagos-Notas'!S221</f>
        <v>0</v>
      </c>
      <c r="M224" s="12">
        <f>'Base de Datos Pagos-Notas'!T221</f>
        <v>0</v>
      </c>
      <c r="N224" s="13">
        <f t="shared" si="7"/>
        <v>0</v>
      </c>
    </row>
    <row r="225" spans="1:14" s="20" customFormat="1" ht="12.95" customHeight="1" x14ac:dyDescent="0.2">
      <c r="A225" s="10">
        <f>'Base de Datos Pagos-Notas'!C222</f>
        <v>0</v>
      </c>
      <c r="B225" s="10">
        <f>'Base de Datos Pagos-Notas'!D222</f>
        <v>0</v>
      </c>
      <c r="C225" s="11">
        <f>'Base de Datos Pagos-Notas'!F222</f>
        <v>0</v>
      </c>
      <c r="D225" s="10" t="str">
        <f t="shared" si="6"/>
        <v>Nota Crédito</v>
      </c>
      <c r="E225" s="11">
        <f>'Base de Datos Pagos-Notas'!L222</f>
        <v>0</v>
      </c>
      <c r="F225" s="12">
        <f>'Base de Datos Pagos-Notas'!M222</f>
        <v>0</v>
      </c>
      <c r="G225" s="12">
        <f>'Base de Datos Pagos-Notas'!N222</f>
        <v>0</v>
      </c>
      <c r="H225" s="12">
        <f>'Base de Datos Pagos-Notas'!O222</f>
        <v>0</v>
      </c>
      <c r="I225" s="12">
        <f>'Base de Datos Pagos-Notas'!P222</f>
        <v>0</v>
      </c>
      <c r="J225" s="12">
        <f>'Base de Datos Pagos-Notas'!Q222</f>
        <v>0</v>
      </c>
      <c r="K225" s="12">
        <f>'Base de Datos Pagos-Notas'!R222</f>
        <v>0</v>
      </c>
      <c r="L225" s="12">
        <f>'Base de Datos Pagos-Notas'!S222</f>
        <v>0</v>
      </c>
      <c r="M225" s="12">
        <f>'Base de Datos Pagos-Notas'!T222</f>
        <v>0</v>
      </c>
      <c r="N225" s="13">
        <f t="shared" si="7"/>
        <v>0</v>
      </c>
    </row>
    <row r="226" spans="1:14" s="20" customFormat="1" ht="12.95" customHeight="1" x14ac:dyDescent="0.2">
      <c r="A226" s="10">
        <f>'Base de Datos Pagos-Notas'!C223</f>
        <v>0</v>
      </c>
      <c r="B226" s="10">
        <f>'Base de Datos Pagos-Notas'!D223</f>
        <v>0</v>
      </c>
      <c r="C226" s="11">
        <f>'Base de Datos Pagos-Notas'!F223</f>
        <v>0</v>
      </c>
      <c r="D226" s="10" t="str">
        <f t="shared" si="6"/>
        <v>Nota Crédito</v>
      </c>
      <c r="E226" s="11">
        <f>'Base de Datos Pagos-Notas'!L223</f>
        <v>0</v>
      </c>
      <c r="F226" s="12">
        <f>'Base de Datos Pagos-Notas'!M223</f>
        <v>0</v>
      </c>
      <c r="G226" s="12">
        <f>'Base de Datos Pagos-Notas'!N223</f>
        <v>0</v>
      </c>
      <c r="H226" s="12">
        <f>'Base de Datos Pagos-Notas'!O223</f>
        <v>0</v>
      </c>
      <c r="I226" s="12">
        <f>'Base de Datos Pagos-Notas'!P223</f>
        <v>0</v>
      </c>
      <c r="J226" s="12">
        <f>'Base de Datos Pagos-Notas'!Q223</f>
        <v>0</v>
      </c>
      <c r="K226" s="12">
        <f>'Base de Datos Pagos-Notas'!R223</f>
        <v>0</v>
      </c>
      <c r="L226" s="12">
        <f>'Base de Datos Pagos-Notas'!S223</f>
        <v>0</v>
      </c>
      <c r="M226" s="12">
        <f>'Base de Datos Pagos-Notas'!T223</f>
        <v>0</v>
      </c>
      <c r="N226" s="13">
        <f t="shared" si="7"/>
        <v>0</v>
      </c>
    </row>
    <row r="227" spans="1:14" s="20" customFormat="1" ht="12.95" customHeight="1" x14ac:dyDescent="0.2">
      <c r="A227" s="10">
        <f>'Base de Datos Pagos-Notas'!C224</f>
        <v>0</v>
      </c>
      <c r="B227" s="10">
        <f>'Base de Datos Pagos-Notas'!D224</f>
        <v>0</v>
      </c>
      <c r="C227" s="11">
        <f>'Base de Datos Pagos-Notas'!F224</f>
        <v>0</v>
      </c>
      <c r="D227" s="10" t="str">
        <f t="shared" si="6"/>
        <v>Nota Crédito</v>
      </c>
      <c r="E227" s="11">
        <f>'Base de Datos Pagos-Notas'!L224</f>
        <v>0</v>
      </c>
      <c r="F227" s="12">
        <f>'Base de Datos Pagos-Notas'!M224</f>
        <v>0</v>
      </c>
      <c r="G227" s="12">
        <f>'Base de Datos Pagos-Notas'!N224</f>
        <v>0</v>
      </c>
      <c r="H227" s="12">
        <f>'Base de Datos Pagos-Notas'!O224</f>
        <v>0</v>
      </c>
      <c r="I227" s="12">
        <f>'Base de Datos Pagos-Notas'!P224</f>
        <v>0</v>
      </c>
      <c r="J227" s="12">
        <f>'Base de Datos Pagos-Notas'!Q224</f>
        <v>0</v>
      </c>
      <c r="K227" s="12">
        <f>'Base de Datos Pagos-Notas'!R224</f>
        <v>0</v>
      </c>
      <c r="L227" s="12">
        <f>'Base de Datos Pagos-Notas'!S224</f>
        <v>0</v>
      </c>
      <c r="M227" s="12">
        <f>'Base de Datos Pagos-Notas'!T224</f>
        <v>0</v>
      </c>
      <c r="N227" s="13">
        <f t="shared" si="7"/>
        <v>0</v>
      </c>
    </row>
    <row r="228" spans="1:14" s="20" customFormat="1" ht="12.95" customHeight="1" x14ac:dyDescent="0.2">
      <c r="A228" s="10">
        <f>'Base de Datos Pagos-Notas'!C225</f>
        <v>0</v>
      </c>
      <c r="B228" s="10">
        <f>'Base de Datos Pagos-Notas'!D225</f>
        <v>0</v>
      </c>
      <c r="C228" s="11">
        <f>'Base de Datos Pagos-Notas'!F225</f>
        <v>0</v>
      </c>
      <c r="D228" s="10" t="str">
        <f t="shared" si="6"/>
        <v>Nota Crédito</v>
      </c>
      <c r="E228" s="11">
        <f>'Base de Datos Pagos-Notas'!L225</f>
        <v>0</v>
      </c>
      <c r="F228" s="12">
        <f>'Base de Datos Pagos-Notas'!M225</f>
        <v>0</v>
      </c>
      <c r="G228" s="12">
        <f>'Base de Datos Pagos-Notas'!N225</f>
        <v>0</v>
      </c>
      <c r="H228" s="12">
        <f>'Base de Datos Pagos-Notas'!O225</f>
        <v>0</v>
      </c>
      <c r="I228" s="12">
        <f>'Base de Datos Pagos-Notas'!P225</f>
        <v>0</v>
      </c>
      <c r="J228" s="12">
        <f>'Base de Datos Pagos-Notas'!Q225</f>
        <v>0</v>
      </c>
      <c r="K228" s="12">
        <f>'Base de Datos Pagos-Notas'!R225</f>
        <v>0</v>
      </c>
      <c r="L228" s="12">
        <f>'Base de Datos Pagos-Notas'!S225</f>
        <v>0</v>
      </c>
      <c r="M228" s="12">
        <f>'Base de Datos Pagos-Notas'!T225</f>
        <v>0</v>
      </c>
      <c r="N228" s="13">
        <f t="shared" si="7"/>
        <v>0</v>
      </c>
    </row>
    <row r="229" spans="1:14" s="20" customFormat="1" ht="12.95" customHeight="1" x14ac:dyDescent="0.2">
      <c r="A229" s="10">
        <f>'Base de Datos Pagos-Notas'!C226</f>
        <v>0</v>
      </c>
      <c r="B229" s="10">
        <f>'Base de Datos Pagos-Notas'!D226</f>
        <v>0</v>
      </c>
      <c r="C229" s="11">
        <f>'Base de Datos Pagos-Notas'!F226</f>
        <v>0</v>
      </c>
      <c r="D229" s="10" t="str">
        <f t="shared" si="6"/>
        <v>Nota Crédito</v>
      </c>
      <c r="E229" s="11">
        <f>'Base de Datos Pagos-Notas'!L226</f>
        <v>0</v>
      </c>
      <c r="F229" s="12">
        <f>'Base de Datos Pagos-Notas'!M226</f>
        <v>0</v>
      </c>
      <c r="G229" s="12">
        <f>'Base de Datos Pagos-Notas'!N226</f>
        <v>0</v>
      </c>
      <c r="H229" s="12">
        <f>'Base de Datos Pagos-Notas'!O226</f>
        <v>0</v>
      </c>
      <c r="I229" s="12">
        <f>'Base de Datos Pagos-Notas'!P226</f>
        <v>0</v>
      </c>
      <c r="J229" s="12">
        <f>'Base de Datos Pagos-Notas'!Q226</f>
        <v>0</v>
      </c>
      <c r="K229" s="12">
        <f>'Base de Datos Pagos-Notas'!R226</f>
        <v>0</v>
      </c>
      <c r="L229" s="12">
        <f>'Base de Datos Pagos-Notas'!S226</f>
        <v>0</v>
      </c>
      <c r="M229" s="12">
        <f>'Base de Datos Pagos-Notas'!T226</f>
        <v>0</v>
      </c>
      <c r="N229" s="13">
        <f t="shared" si="7"/>
        <v>0</v>
      </c>
    </row>
    <row r="230" spans="1:14" s="20" customFormat="1" ht="12.95" customHeight="1" x14ac:dyDescent="0.2">
      <c r="A230" s="10">
        <f>'Base de Datos Pagos-Notas'!C227</f>
        <v>0</v>
      </c>
      <c r="B230" s="10">
        <f>'Base de Datos Pagos-Notas'!D227</f>
        <v>0</v>
      </c>
      <c r="C230" s="11">
        <f>'Base de Datos Pagos-Notas'!F227</f>
        <v>0</v>
      </c>
      <c r="D230" s="10" t="str">
        <f t="shared" si="6"/>
        <v>Nota Crédito</v>
      </c>
      <c r="E230" s="11">
        <f>'Base de Datos Pagos-Notas'!L227</f>
        <v>0</v>
      </c>
      <c r="F230" s="12">
        <f>'Base de Datos Pagos-Notas'!M227</f>
        <v>0</v>
      </c>
      <c r="G230" s="12">
        <f>'Base de Datos Pagos-Notas'!N227</f>
        <v>0</v>
      </c>
      <c r="H230" s="12">
        <f>'Base de Datos Pagos-Notas'!O227</f>
        <v>0</v>
      </c>
      <c r="I230" s="12">
        <f>'Base de Datos Pagos-Notas'!P227</f>
        <v>0</v>
      </c>
      <c r="J230" s="12">
        <f>'Base de Datos Pagos-Notas'!Q227</f>
        <v>0</v>
      </c>
      <c r="K230" s="12">
        <f>'Base de Datos Pagos-Notas'!R227</f>
        <v>0</v>
      </c>
      <c r="L230" s="12">
        <f>'Base de Datos Pagos-Notas'!S227</f>
        <v>0</v>
      </c>
      <c r="M230" s="12">
        <f>'Base de Datos Pagos-Notas'!T227</f>
        <v>0</v>
      </c>
      <c r="N230" s="13">
        <f t="shared" si="7"/>
        <v>0</v>
      </c>
    </row>
    <row r="231" spans="1:14" s="20" customFormat="1" ht="12.95" customHeight="1" x14ac:dyDescent="0.2">
      <c r="A231" s="10">
        <f>'Base de Datos Pagos-Notas'!C228</f>
        <v>0</v>
      </c>
      <c r="B231" s="10">
        <f>'Base de Datos Pagos-Notas'!D228</f>
        <v>0</v>
      </c>
      <c r="C231" s="11">
        <f>'Base de Datos Pagos-Notas'!F228</f>
        <v>0</v>
      </c>
      <c r="D231" s="10" t="str">
        <f t="shared" si="6"/>
        <v>Nota Crédito</v>
      </c>
      <c r="E231" s="11">
        <f>'Base de Datos Pagos-Notas'!L228</f>
        <v>0</v>
      </c>
      <c r="F231" s="12">
        <f>'Base de Datos Pagos-Notas'!M228</f>
        <v>0</v>
      </c>
      <c r="G231" s="12">
        <f>'Base de Datos Pagos-Notas'!N228</f>
        <v>0</v>
      </c>
      <c r="H231" s="12">
        <f>'Base de Datos Pagos-Notas'!O228</f>
        <v>0</v>
      </c>
      <c r="I231" s="12">
        <f>'Base de Datos Pagos-Notas'!P228</f>
        <v>0</v>
      </c>
      <c r="J231" s="12">
        <f>'Base de Datos Pagos-Notas'!Q228</f>
        <v>0</v>
      </c>
      <c r="K231" s="12">
        <f>'Base de Datos Pagos-Notas'!R228</f>
        <v>0</v>
      </c>
      <c r="L231" s="12">
        <f>'Base de Datos Pagos-Notas'!S228</f>
        <v>0</v>
      </c>
      <c r="M231" s="12">
        <f>'Base de Datos Pagos-Notas'!T228</f>
        <v>0</v>
      </c>
      <c r="N231" s="13">
        <f t="shared" si="7"/>
        <v>0</v>
      </c>
    </row>
    <row r="232" spans="1:14" s="20" customFormat="1" ht="12.95" customHeight="1" x14ac:dyDescent="0.2">
      <c r="A232" s="10">
        <f>'Base de Datos Pagos-Notas'!C229</f>
        <v>0</v>
      </c>
      <c r="B232" s="10">
        <f>'Base de Datos Pagos-Notas'!D229</f>
        <v>0</v>
      </c>
      <c r="C232" s="11">
        <f>'Base de Datos Pagos-Notas'!F229</f>
        <v>0</v>
      </c>
      <c r="D232" s="10" t="str">
        <f t="shared" si="6"/>
        <v>Nota Crédito</v>
      </c>
      <c r="E232" s="11">
        <f>'Base de Datos Pagos-Notas'!L229</f>
        <v>0</v>
      </c>
      <c r="F232" s="12">
        <f>'Base de Datos Pagos-Notas'!M229</f>
        <v>0</v>
      </c>
      <c r="G232" s="12">
        <f>'Base de Datos Pagos-Notas'!N229</f>
        <v>0</v>
      </c>
      <c r="H232" s="12">
        <f>'Base de Datos Pagos-Notas'!O229</f>
        <v>0</v>
      </c>
      <c r="I232" s="12">
        <f>'Base de Datos Pagos-Notas'!P229</f>
        <v>0</v>
      </c>
      <c r="J232" s="12">
        <f>'Base de Datos Pagos-Notas'!Q229</f>
        <v>0</v>
      </c>
      <c r="K232" s="12">
        <f>'Base de Datos Pagos-Notas'!R229</f>
        <v>0</v>
      </c>
      <c r="L232" s="12">
        <f>'Base de Datos Pagos-Notas'!S229</f>
        <v>0</v>
      </c>
      <c r="M232" s="12">
        <f>'Base de Datos Pagos-Notas'!T229</f>
        <v>0</v>
      </c>
      <c r="N232" s="13">
        <f t="shared" si="7"/>
        <v>0</v>
      </c>
    </row>
    <row r="233" spans="1:14" s="20" customFormat="1" ht="12.95" customHeight="1" x14ac:dyDescent="0.2">
      <c r="A233" s="10">
        <f>'Base de Datos Pagos-Notas'!C230</f>
        <v>0</v>
      </c>
      <c r="B233" s="10">
        <f>'Base de Datos Pagos-Notas'!D230</f>
        <v>0</v>
      </c>
      <c r="C233" s="11">
        <f>'Base de Datos Pagos-Notas'!F230</f>
        <v>0</v>
      </c>
      <c r="D233" s="10" t="str">
        <f t="shared" si="6"/>
        <v>Nota Crédito</v>
      </c>
      <c r="E233" s="11">
        <f>'Base de Datos Pagos-Notas'!L230</f>
        <v>0</v>
      </c>
      <c r="F233" s="12">
        <f>'Base de Datos Pagos-Notas'!M230</f>
        <v>0</v>
      </c>
      <c r="G233" s="12">
        <f>'Base de Datos Pagos-Notas'!N230</f>
        <v>0</v>
      </c>
      <c r="H233" s="12">
        <f>'Base de Datos Pagos-Notas'!O230</f>
        <v>0</v>
      </c>
      <c r="I233" s="12">
        <f>'Base de Datos Pagos-Notas'!P230</f>
        <v>0</v>
      </c>
      <c r="J233" s="12">
        <f>'Base de Datos Pagos-Notas'!Q230</f>
        <v>0</v>
      </c>
      <c r="K233" s="12">
        <f>'Base de Datos Pagos-Notas'!R230</f>
        <v>0</v>
      </c>
      <c r="L233" s="12">
        <f>'Base de Datos Pagos-Notas'!S230</f>
        <v>0</v>
      </c>
      <c r="M233" s="12">
        <f>'Base de Datos Pagos-Notas'!T230</f>
        <v>0</v>
      </c>
      <c r="N233" s="13">
        <f t="shared" si="7"/>
        <v>0</v>
      </c>
    </row>
    <row r="234" spans="1:14" s="20" customFormat="1" ht="12.95" customHeight="1" x14ac:dyDescent="0.2">
      <c r="A234" s="10">
        <f>'Base de Datos Pagos-Notas'!C231</f>
        <v>0</v>
      </c>
      <c r="B234" s="10">
        <f>'Base de Datos Pagos-Notas'!D231</f>
        <v>0</v>
      </c>
      <c r="C234" s="11">
        <f>'Base de Datos Pagos-Notas'!F231</f>
        <v>0</v>
      </c>
      <c r="D234" s="10" t="str">
        <f t="shared" si="6"/>
        <v>Nota Crédito</v>
      </c>
      <c r="E234" s="11">
        <f>'Base de Datos Pagos-Notas'!L231</f>
        <v>0</v>
      </c>
      <c r="F234" s="12">
        <f>'Base de Datos Pagos-Notas'!M231</f>
        <v>0</v>
      </c>
      <c r="G234" s="12">
        <f>'Base de Datos Pagos-Notas'!N231</f>
        <v>0</v>
      </c>
      <c r="H234" s="12">
        <f>'Base de Datos Pagos-Notas'!O231</f>
        <v>0</v>
      </c>
      <c r="I234" s="12">
        <f>'Base de Datos Pagos-Notas'!P231</f>
        <v>0</v>
      </c>
      <c r="J234" s="12">
        <f>'Base de Datos Pagos-Notas'!Q231</f>
        <v>0</v>
      </c>
      <c r="K234" s="12">
        <f>'Base de Datos Pagos-Notas'!R231</f>
        <v>0</v>
      </c>
      <c r="L234" s="12">
        <f>'Base de Datos Pagos-Notas'!S231</f>
        <v>0</v>
      </c>
      <c r="M234" s="12">
        <f>'Base de Datos Pagos-Notas'!T231</f>
        <v>0</v>
      </c>
      <c r="N234" s="13">
        <f t="shared" si="7"/>
        <v>0</v>
      </c>
    </row>
    <row r="235" spans="1:14" s="20" customFormat="1" ht="12.95" customHeight="1" x14ac:dyDescent="0.2">
      <c r="A235" s="10">
        <f>'Base de Datos Pagos-Notas'!C232</f>
        <v>0</v>
      </c>
      <c r="B235" s="10">
        <f>'Base de Datos Pagos-Notas'!D232</f>
        <v>0</v>
      </c>
      <c r="C235" s="11">
        <f>'Base de Datos Pagos-Notas'!F232</f>
        <v>0</v>
      </c>
      <c r="D235" s="10" t="str">
        <f t="shared" si="6"/>
        <v>Nota Crédito</v>
      </c>
      <c r="E235" s="11">
        <f>'Base de Datos Pagos-Notas'!L232</f>
        <v>0</v>
      </c>
      <c r="F235" s="12">
        <f>'Base de Datos Pagos-Notas'!M232</f>
        <v>0</v>
      </c>
      <c r="G235" s="12">
        <f>'Base de Datos Pagos-Notas'!N232</f>
        <v>0</v>
      </c>
      <c r="H235" s="12">
        <f>'Base de Datos Pagos-Notas'!O232</f>
        <v>0</v>
      </c>
      <c r="I235" s="12">
        <f>'Base de Datos Pagos-Notas'!P232</f>
        <v>0</v>
      </c>
      <c r="J235" s="12">
        <f>'Base de Datos Pagos-Notas'!Q232</f>
        <v>0</v>
      </c>
      <c r="K235" s="12">
        <f>'Base de Datos Pagos-Notas'!R232</f>
        <v>0</v>
      </c>
      <c r="L235" s="12">
        <f>'Base de Datos Pagos-Notas'!S232</f>
        <v>0</v>
      </c>
      <c r="M235" s="12">
        <f>'Base de Datos Pagos-Notas'!T232</f>
        <v>0</v>
      </c>
      <c r="N235" s="13">
        <f t="shared" si="7"/>
        <v>0</v>
      </c>
    </row>
    <row r="236" spans="1:14" s="20" customFormat="1" ht="12.95" customHeight="1" x14ac:dyDescent="0.2">
      <c r="A236" s="10">
        <f>'Base de Datos Pagos-Notas'!C233</f>
        <v>0</v>
      </c>
      <c r="B236" s="10">
        <f>'Base de Datos Pagos-Notas'!D233</f>
        <v>0</v>
      </c>
      <c r="C236" s="11">
        <f>'Base de Datos Pagos-Notas'!F233</f>
        <v>0</v>
      </c>
      <c r="D236" s="10" t="str">
        <f t="shared" si="6"/>
        <v>Nota Crédito</v>
      </c>
      <c r="E236" s="11">
        <f>'Base de Datos Pagos-Notas'!L233</f>
        <v>0</v>
      </c>
      <c r="F236" s="12">
        <f>'Base de Datos Pagos-Notas'!M233</f>
        <v>0</v>
      </c>
      <c r="G236" s="12">
        <f>'Base de Datos Pagos-Notas'!N233</f>
        <v>0</v>
      </c>
      <c r="H236" s="12">
        <f>'Base de Datos Pagos-Notas'!O233</f>
        <v>0</v>
      </c>
      <c r="I236" s="12">
        <f>'Base de Datos Pagos-Notas'!P233</f>
        <v>0</v>
      </c>
      <c r="J236" s="12">
        <f>'Base de Datos Pagos-Notas'!Q233</f>
        <v>0</v>
      </c>
      <c r="K236" s="12">
        <f>'Base de Datos Pagos-Notas'!R233</f>
        <v>0</v>
      </c>
      <c r="L236" s="12">
        <f>'Base de Datos Pagos-Notas'!S233</f>
        <v>0</v>
      </c>
      <c r="M236" s="12">
        <f>'Base de Datos Pagos-Notas'!T233</f>
        <v>0</v>
      </c>
      <c r="N236" s="13">
        <f t="shared" si="7"/>
        <v>0</v>
      </c>
    </row>
    <row r="237" spans="1:14" s="20" customFormat="1" ht="12.95" customHeight="1" x14ac:dyDescent="0.2">
      <c r="A237" s="10">
        <f>'Base de Datos Pagos-Notas'!C234</f>
        <v>0</v>
      </c>
      <c r="B237" s="10">
        <f>'Base de Datos Pagos-Notas'!D234</f>
        <v>0</v>
      </c>
      <c r="C237" s="11">
        <f>'Base de Datos Pagos-Notas'!F234</f>
        <v>0</v>
      </c>
      <c r="D237" s="10" t="str">
        <f t="shared" si="6"/>
        <v>Nota Crédito</v>
      </c>
      <c r="E237" s="11">
        <f>'Base de Datos Pagos-Notas'!L234</f>
        <v>0</v>
      </c>
      <c r="F237" s="12">
        <f>'Base de Datos Pagos-Notas'!M234</f>
        <v>0</v>
      </c>
      <c r="G237" s="12">
        <f>'Base de Datos Pagos-Notas'!N234</f>
        <v>0</v>
      </c>
      <c r="H237" s="12">
        <f>'Base de Datos Pagos-Notas'!O234</f>
        <v>0</v>
      </c>
      <c r="I237" s="12">
        <f>'Base de Datos Pagos-Notas'!P234</f>
        <v>0</v>
      </c>
      <c r="J237" s="12">
        <f>'Base de Datos Pagos-Notas'!Q234</f>
        <v>0</v>
      </c>
      <c r="K237" s="12">
        <f>'Base de Datos Pagos-Notas'!R234</f>
        <v>0</v>
      </c>
      <c r="L237" s="12">
        <f>'Base de Datos Pagos-Notas'!S234</f>
        <v>0</v>
      </c>
      <c r="M237" s="12">
        <f>'Base de Datos Pagos-Notas'!T234</f>
        <v>0</v>
      </c>
      <c r="N237" s="13">
        <f t="shared" si="7"/>
        <v>0</v>
      </c>
    </row>
    <row r="238" spans="1:14" s="20" customFormat="1" ht="12.95" customHeight="1" x14ac:dyDescent="0.2">
      <c r="A238" s="10">
        <f>'Base de Datos Pagos-Notas'!C235</f>
        <v>0</v>
      </c>
      <c r="B238" s="10">
        <f>'Base de Datos Pagos-Notas'!D235</f>
        <v>0</v>
      </c>
      <c r="C238" s="11">
        <f>'Base de Datos Pagos-Notas'!F235</f>
        <v>0</v>
      </c>
      <c r="D238" s="10" t="str">
        <f t="shared" si="6"/>
        <v>Nota Crédito</v>
      </c>
      <c r="E238" s="11">
        <f>'Base de Datos Pagos-Notas'!L235</f>
        <v>0</v>
      </c>
      <c r="F238" s="12">
        <f>'Base de Datos Pagos-Notas'!M235</f>
        <v>0</v>
      </c>
      <c r="G238" s="12">
        <f>'Base de Datos Pagos-Notas'!N235</f>
        <v>0</v>
      </c>
      <c r="H238" s="12">
        <f>'Base de Datos Pagos-Notas'!O235</f>
        <v>0</v>
      </c>
      <c r="I238" s="12">
        <f>'Base de Datos Pagos-Notas'!P235</f>
        <v>0</v>
      </c>
      <c r="J238" s="12">
        <f>'Base de Datos Pagos-Notas'!Q235</f>
        <v>0</v>
      </c>
      <c r="K238" s="12">
        <f>'Base de Datos Pagos-Notas'!R235</f>
        <v>0</v>
      </c>
      <c r="L238" s="12">
        <f>'Base de Datos Pagos-Notas'!S235</f>
        <v>0</v>
      </c>
      <c r="M238" s="12">
        <f>'Base de Datos Pagos-Notas'!T235</f>
        <v>0</v>
      </c>
      <c r="N238" s="13">
        <f t="shared" si="7"/>
        <v>0</v>
      </c>
    </row>
    <row r="239" spans="1:14" s="20" customFormat="1" ht="12.95" customHeight="1" x14ac:dyDescent="0.2">
      <c r="A239" s="10">
        <f>'Base de Datos Pagos-Notas'!C236</f>
        <v>0</v>
      </c>
      <c r="B239" s="10">
        <f>'Base de Datos Pagos-Notas'!D236</f>
        <v>0</v>
      </c>
      <c r="C239" s="11">
        <f>'Base de Datos Pagos-Notas'!F236</f>
        <v>0</v>
      </c>
      <c r="D239" s="10" t="str">
        <f t="shared" si="6"/>
        <v>Nota Crédito</v>
      </c>
      <c r="E239" s="11">
        <f>'Base de Datos Pagos-Notas'!L236</f>
        <v>0</v>
      </c>
      <c r="F239" s="12">
        <f>'Base de Datos Pagos-Notas'!M236</f>
        <v>0</v>
      </c>
      <c r="G239" s="12">
        <f>'Base de Datos Pagos-Notas'!N236</f>
        <v>0</v>
      </c>
      <c r="H239" s="12">
        <f>'Base de Datos Pagos-Notas'!O236</f>
        <v>0</v>
      </c>
      <c r="I239" s="12">
        <f>'Base de Datos Pagos-Notas'!P236</f>
        <v>0</v>
      </c>
      <c r="J239" s="12">
        <f>'Base de Datos Pagos-Notas'!Q236</f>
        <v>0</v>
      </c>
      <c r="K239" s="12">
        <f>'Base de Datos Pagos-Notas'!R236</f>
        <v>0</v>
      </c>
      <c r="L239" s="12">
        <f>'Base de Datos Pagos-Notas'!S236</f>
        <v>0</v>
      </c>
      <c r="M239" s="12">
        <f>'Base de Datos Pagos-Notas'!T236</f>
        <v>0</v>
      </c>
      <c r="N239" s="13">
        <f t="shared" si="7"/>
        <v>0</v>
      </c>
    </row>
    <row r="240" spans="1:14" s="20" customFormat="1" ht="12.95" customHeight="1" x14ac:dyDescent="0.2">
      <c r="A240" s="10">
        <f>'Base de Datos Pagos-Notas'!C237</f>
        <v>0</v>
      </c>
      <c r="B240" s="10">
        <f>'Base de Datos Pagos-Notas'!D237</f>
        <v>0</v>
      </c>
      <c r="C240" s="11">
        <f>'Base de Datos Pagos-Notas'!F237</f>
        <v>0</v>
      </c>
      <c r="D240" s="10" t="str">
        <f t="shared" si="6"/>
        <v>Nota Crédito</v>
      </c>
      <c r="E240" s="11">
        <f>'Base de Datos Pagos-Notas'!L237</f>
        <v>0</v>
      </c>
      <c r="F240" s="12">
        <f>'Base de Datos Pagos-Notas'!M237</f>
        <v>0</v>
      </c>
      <c r="G240" s="12">
        <f>'Base de Datos Pagos-Notas'!N237</f>
        <v>0</v>
      </c>
      <c r="H240" s="12">
        <f>'Base de Datos Pagos-Notas'!O237</f>
        <v>0</v>
      </c>
      <c r="I240" s="12">
        <f>'Base de Datos Pagos-Notas'!P237</f>
        <v>0</v>
      </c>
      <c r="J240" s="12">
        <f>'Base de Datos Pagos-Notas'!Q237</f>
        <v>0</v>
      </c>
      <c r="K240" s="12">
        <f>'Base de Datos Pagos-Notas'!R237</f>
        <v>0</v>
      </c>
      <c r="L240" s="12">
        <f>'Base de Datos Pagos-Notas'!S237</f>
        <v>0</v>
      </c>
      <c r="M240" s="12">
        <f>'Base de Datos Pagos-Notas'!T237</f>
        <v>0</v>
      </c>
      <c r="N240" s="13">
        <f t="shared" si="7"/>
        <v>0</v>
      </c>
    </row>
    <row r="241" spans="1:14" s="20" customFormat="1" ht="12.95" customHeight="1" x14ac:dyDescent="0.2">
      <c r="A241" s="10">
        <f>'Base de Datos Pagos-Notas'!C238</f>
        <v>0</v>
      </c>
      <c r="B241" s="10">
        <f>'Base de Datos Pagos-Notas'!D238</f>
        <v>0</v>
      </c>
      <c r="C241" s="11">
        <f>'Base de Datos Pagos-Notas'!F238</f>
        <v>0</v>
      </c>
      <c r="D241" s="10" t="str">
        <f t="shared" si="6"/>
        <v>Nota Crédito</v>
      </c>
      <c r="E241" s="11">
        <f>'Base de Datos Pagos-Notas'!L238</f>
        <v>0</v>
      </c>
      <c r="F241" s="12">
        <f>'Base de Datos Pagos-Notas'!M238</f>
        <v>0</v>
      </c>
      <c r="G241" s="12">
        <f>'Base de Datos Pagos-Notas'!N238</f>
        <v>0</v>
      </c>
      <c r="H241" s="12">
        <f>'Base de Datos Pagos-Notas'!O238</f>
        <v>0</v>
      </c>
      <c r="I241" s="12">
        <f>'Base de Datos Pagos-Notas'!P238</f>
        <v>0</v>
      </c>
      <c r="J241" s="12">
        <f>'Base de Datos Pagos-Notas'!Q238</f>
        <v>0</v>
      </c>
      <c r="K241" s="12">
        <f>'Base de Datos Pagos-Notas'!R238</f>
        <v>0</v>
      </c>
      <c r="L241" s="12">
        <f>'Base de Datos Pagos-Notas'!S238</f>
        <v>0</v>
      </c>
      <c r="M241" s="12">
        <f>'Base de Datos Pagos-Notas'!T238</f>
        <v>0</v>
      </c>
      <c r="N241" s="13">
        <f t="shared" si="7"/>
        <v>0</v>
      </c>
    </row>
    <row r="242" spans="1:14" s="20" customFormat="1" ht="12.95" customHeight="1" x14ac:dyDescent="0.2">
      <c r="A242" s="10">
        <f>'Base de Datos Pagos-Notas'!C239</f>
        <v>0</v>
      </c>
      <c r="B242" s="10">
        <f>'Base de Datos Pagos-Notas'!D239</f>
        <v>0</v>
      </c>
      <c r="C242" s="11">
        <f>'Base de Datos Pagos-Notas'!F239</f>
        <v>0</v>
      </c>
      <c r="D242" s="10" t="str">
        <f t="shared" si="6"/>
        <v>Nota Crédito</v>
      </c>
      <c r="E242" s="11">
        <f>'Base de Datos Pagos-Notas'!L239</f>
        <v>0</v>
      </c>
      <c r="F242" s="12">
        <f>'Base de Datos Pagos-Notas'!M239</f>
        <v>0</v>
      </c>
      <c r="G242" s="12">
        <f>'Base de Datos Pagos-Notas'!N239</f>
        <v>0</v>
      </c>
      <c r="H242" s="12">
        <f>'Base de Datos Pagos-Notas'!O239</f>
        <v>0</v>
      </c>
      <c r="I242" s="12">
        <f>'Base de Datos Pagos-Notas'!P239</f>
        <v>0</v>
      </c>
      <c r="J242" s="12">
        <f>'Base de Datos Pagos-Notas'!Q239</f>
        <v>0</v>
      </c>
      <c r="K242" s="12">
        <f>'Base de Datos Pagos-Notas'!R239</f>
        <v>0</v>
      </c>
      <c r="L242" s="12">
        <f>'Base de Datos Pagos-Notas'!S239</f>
        <v>0</v>
      </c>
      <c r="M242" s="12">
        <f>'Base de Datos Pagos-Notas'!T239</f>
        <v>0</v>
      </c>
      <c r="N242" s="13">
        <f t="shared" si="7"/>
        <v>0</v>
      </c>
    </row>
    <row r="243" spans="1:14" s="20" customFormat="1" ht="12.95" customHeight="1" x14ac:dyDescent="0.2">
      <c r="A243" s="10">
        <f>'Base de Datos Pagos-Notas'!C240</f>
        <v>0</v>
      </c>
      <c r="B243" s="10">
        <f>'Base de Datos Pagos-Notas'!D240</f>
        <v>0</v>
      </c>
      <c r="C243" s="11">
        <f>'Base de Datos Pagos-Notas'!F240</f>
        <v>0</v>
      </c>
      <c r="D243" s="10" t="str">
        <f t="shared" si="6"/>
        <v>Nota Crédito</v>
      </c>
      <c r="E243" s="11">
        <f>'Base de Datos Pagos-Notas'!L240</f>
        <v>0</v>
      </c>
      <c r="F243" s="12">
        <f>'Base de Datos Pagos-Notas'!M240</f>
        <v>0</v>
      </c>
      <c r="G243" s="12">
        <f>'Base de Datos Pagos-Notas'!N240</f>
        <v>0</v>
      </c>
      <c r="H243" s="12">
        <f>'Base de Datos Pagos-Notas'!O240</f>
        <v>0</v>
      </c>
      <c r="I243" s="12">
        <f>'Base de Datos Pagos-Notas'!P240</f>
        <v>0</v>
      </c>
      <c r="J243" s="12">
        <f>'Base de Datos Pagos-Notas'!Q240</f>
        <v>0</v>
      </c>
      <c r="K243" s="12">
        <f>'Base de Datos Pagos-Notas'!R240</f>
        <v>0</v>
      </c>
      <c r="L243" s="12">
        <f>'Base de Datos Pagos-Notas'!S240</f>
        <v>0</v>
      </c>
      <c r="M243" s="12">
        <f>'Base de Datos Pagos-Notas'!T240</f>
        <v>0</v>
      </c>
      <c r="N243" s="13">
        <f t="shared" si="7"/>
        <v>0</v>
      </c>
    </row>
    <row r="244" spans="1:14" s="20" customFormat="1" ht="12.95" customHeight="1" x14ac:dyDescent="0.2">
      <c r="A244" s="10">
        <f>'Base de Datos Pagos-Notas'!C241</f>
        <v>0</v>
      </c>
      <c r="B244" s="10">
        <f>'Base de Datos Pagos-Notas'!D241</f>
        <v>0</v>
      </c>
      <c r="C244" s="11">
        <f>'Base de Datos Pagos-Notas'!F241</f>
        <v>0</v>
      </c>
      <c r="D244" s="10" t="str">
        <f t="shared" si="6"/>
        <v>Nota Crédito</v>
      </c>
      <c r="E244" s="11">
        <f>'Base de Datos Pagos-Notas'!L241</f>
        <v>0</v>
      </c>
      <c r="F244" s="12">
        <f>'Base de Datos Pagos-Notas'!M241</f>
        <v>0</v>
      </c>
      <c r="G244" s="12">
        <f>'Base de Datos Pagos-Notas'!N241</f>
        <v>0</v>
      </c>
      <c r="H244" s="12">
        <f>'Base de Datos Pagos-Notas'!O241</f>
        <v>0</v>
      </c>
      <c r="I244" s="12">
        <f>'Base de Datos Pagos-Notas'!P241</f>
        <v>0</v>
      </c>
      <c r="J244" s="12">
        <f>'Base de Datos Pagos-Notas'!Q241</f>
        <v>0</v>
      </c>
      <c r="K244" s="12">
        <f>'Base de Datos Pagos-Notas'!R241</f>
        <v>0</v>
      </c>
      <c r="L244" s="12">
        <f>'Base de Datos Pagos-Notas'!S241</f>
        <v>0</v>
      </c>
      <c r="M244" s="12">
        <f>'Base de Datos Pagos-Notas'!T241</f>
        <v>0</v>
      </c>
      <c r="N244" s="13">
        <f t="shared" si="7"/>
        <v>0</v>
      </c>
    </row>
    <row r="245" spans="1:14" s="20" customFormat="1" ht="12.95" customHeight="1" x14ac:dyDescent="0.2">
      <c r="A245" s="10">
        <f>'Base de Datos Pagos-Notas'!C242</f>
        <v>0</v>
      </c>
      <c r="B245" s="10">
        <f>'Base de Datos Pagos-Notas'!D242</f>
        <v>0</v>
      </c>
      <c r="C245" s="11">
        <f>'Base de Datos Pagos-Notas'!F242</f>
        <v>0</v>
      </c>
      <c r="D245" s="10" t="str">
        <f t="shared" si="6"/>
        <v>Nota Crédito</v>
      </c>
      <c r="E245" s="11">
        <f>'Base de Datos Pagos-Notas'!L242</f>
        <v>0</v>
      </c>
      <c r="F245" s="12">
        <f>'Base de Datos Pagos-Notas'!M242</f>
        <v>0</v>
      </c>
      <c r="G245" s="12">
        <f>'Base de Datos Pagos-Notas'!N242</f>
        <v>0</v>
      </c>
      <c r="H245" s="12">
        <f>'Base de Datos Pagos-Notas'!O242</f>
        <v>0</v>
      </c>
      <c r="I245" s="12">
        <f>'Base de Datos Pagos-Notas'!P242</f>
        <v>0</v>
      </c>
      <c r="J245" s="12">
        <f>'Base de Datos Pagos-Notas'!Q242</f>
        <v>0</v>
      </c>
      <c r="K245" s="12">
        <f>'Base de Datos Pagos-Notas'!R242</f>
        <v>0</v>
      </c>
      <c r="L245" s="12">
        <f>'Base de Datos Pagos-Notas'!S242</f>
        <v>0</v>
      </c>
      <c r="M245" s="12">
        <f>'Base de Datos Pagos-Notas'!T242</f>
        <v>0</v>
      </c>
      <c r="N245" s="13">
        <f t="shared" si="7"/>
        <v>0</v>
      </c>
    </row>
    <row r="246" spans="1:14" s="20" customFormat="1" ht="12.95" customHeight="1" x14ac:dyDescent="0.2">
      <c r="A246" s="10">
        <f>'Base de Datos Pagos-Notas'!C243</f>
        <v>0</v>
      </c>
      <c r="B246" s="10">
        <f>'Base de Datos Pagos-Notas'!D243</f>
        <v>0</v>
      </c>
      <c r="C246" s="11">
        <f>'Base de Datos Pagos-Notas'!F243</f>
        <v>0</v>
      </c>
      <c r="D246" s="10" t="str">
        <f t="shared" si="6"/>
        <v>Nota Crédito</v>
      </c>
      <c r="E246" s="11">
        <f>'Base de Datos Pagos-Notas'!L243</f>
        <v>0</v>
      </c>
      <c r="F246" s="12">
        <f>'Base de Datos Pagos-Notas'!M243</f>
        <v>0</v>
      </c>
      <c r="G246" s="12">
        <f>'Base de Datos Pagos-Notas'!N243</f>
        <v>0</v>
      </c>
      <c r="H246" s="12">
        <f>'Base de Datos Pagos-Notas'!O243</f>
        <v>0</v>
      </c>
      <c r="I246" s="12">
        <f>'Base de Datos Pagos-Notas'!P243</f>
        <v>0</v>
      </c>
      <c r="J246" s="12">
        <f>'Base de Datos Pagos-Notas'!Q243</f>
        <v>0</v>
      </c>
      <c r="K246" s="12">
        <f>'Base de Datos Pagos-Notas'!R243</f>
        <v>0</v>
      </c>
      <c r="L246" s="12">
        <f>'Base de Datos Pagos-Notas'!S243</f>
        <v>0</v>
      </c>
      <c r="M246" s="12">
        <f>'Base de Datos Pagos-Notas'!T243</f>
        <v>0</v>
      </c>
      <c r="N246" s="13">
        <f t="shared" si="7"/>
        <v>0</v>
      </c>
    </row>
    <row r="247" spans="1:14" s="20" customFormat="1" ht="12.95" customHeight="1" x14ac:dyDescent="0.2">
      <c r="A247" s="10">
        <f>'Base de Datos Pagos-Notas'!C244</f>
        <v>0</v>
      </c>
      <c r="B247" s="10">
        <f>'Base de Datos Pagos-Notas'!D244</f>
        <v>0</v>
      </c>
      <c r="C247" s="11">
        <f>'Base de Datos Pagos-Notas'!F244</f>
        <v>0</v>
      </c>
      <c r="D247" s="10" t="str">
        <f t="shared" si="6"/>
        <v>Nota Crédito</v>
      </c>
      <c r="E247" s="11">
        <f>'Base de Datos Pagos-Notas'!L244</f>
        <v>0</v>
      </c>
      <c r="F247" s="12">
        <f>'Base de Datos Pagos-Notas'!M244</f>
        <v>0</v>
      </c>
      <c r="G247" s="12">
        <f>'Base de Datos Pagos-Notas'!N244</f>
        <v>0</v>
      </c>
      <c r="H247" s="12">
        <f>'Base de Datos Pagos-Notas'!O244</f>
        <v>0</v>
      </c>
      <c r="I247" s="12">
        <f>'Base de Datos Pagos-Notas'!P244</f>
        <v>0</v>
      </c>
      <c r="J247" s="12">
        <f>'Base de Datos Pagos-Notas'!Q244</f>
        <v>0</v>
      </c>
      <c r="K247" s="12">
        <f>'Base de Datos Pagos-Notas'!R244</f>
        <v>0</v>
      </c>
      <c r="L247" s="12">
        <f>'Base de Datos Pagos-Notas'!S244</f>
        <v>0</v>
      </c>
      <c r="M247" s="12">
        <f>'Base de Datos Pagos-Notas'!T244</f>
        <v>0</v>
      </c>
      <c r="N247" s="13">
        <f t="shared" si="7"/>
        <v>0</v>
      </c>
    </row>
    <row r="248" spans="1:14" s="20" customFormat="1" ht="12.95" customHeight="1" x14ac:dyDescent="0.2">
      <c r="A248" s="10">
        <f>'Base de Datos Pagos-Notas'!C245</f>
        <v>0</v>
      </c>
      <c r="B248" s="10">
        <f>'Base de Datos Pagos-Notas'!D245</f>
        <v>0</v>
      </c>
      <c r="C248" s="11">
        <f>'Base de Datos Pagos-Notas'!F245</f>
        <v>0</v>
      </c>
      <c r="D248" s="10" t="str">
        <f t="shared" si="6"/>
        <v>Nota Crédito</v>
      </c>
      <c r="E248" s="11">
        <f>'Base de Datos Pagos-Notas'!L245</f>
        <v>0</v>
      </c>
      <c r="F248" s="12">
        <f>'Base de Datos Pagos-Notas'!M245</f>
        <v>0</v>
      </c>
      <c r="G248" s="12">
        <f>'Base de Datos Pagos-Notas'!N245</f>
        <v>0</v>
      </c>
      <c r="H248" s="12">
        <f>'Base de Datos Pagos-Notas'!O245</f>
        <v>0</v>
      </c>
      <c r="I248" s="12">
        <f>'Base de Datos Pagos-Notas'!P245</f>
        <v>0</v>
      </c>
      <c r="J248" s="12">
        <f>'Base de Datos Pagos-Notas'!Q245</f>
        <v>0</v>
      </c>
      <c r="K248" s="12">
        <f>'Base de Datos Pagos-Notas'!R245</f>
        <v>0</v>
      </c>
      <c r="L248" s="12">
        <f>'Base de Datos Pagos-Notas'!S245</f>
        <v>0</v>
      </c>
      <c r="M248" s="12">
        <f>'Base de Datos Pagos-Notas'!T245</f>
        <v>0</v>
      </c>
      <c r="N248" s="13">
        <f t="shared" si="7"/>
        <v>0</v>
      </c>
    </row>
    <row r="249" spans="1:14" s="20" customFormat="1" ht="12.95" customHeight="1" x14ac:dyDescent="0.2">
      <c r="A249" s="10">
        <f>'Base de Datos Pagos-Notas'!C246</f>
        <v>0</v>
      </c>
      <c r="B249" s="10">
        <f>'Base de Datos Pagos-Notas'!D246</f>
        <v>0</v>
      </c>
      <c r="C249" s="11">
        <f>'Base de Datos Pagos-Notas'!F246</f>
        <v>0</v>
      </c>
      <c r="D249" s="10" t="str">
        <f t="shared" si="6"/>
        <v>Nota Crédito</v>
      </c>
      <c r="E249" s="11">
        <f>'Base de Datos Pagos-Notas'!L246</f>
        <v>0</v>
      </c>
      <c r="F249" s="12">
        <f>'Base de Datos Pagos-Notas'!M246</f>
        <v>0</v>
      </c>
      <c r="G249" s="12">
        <f>'Base de Datos Pagos-Notas'!N246</f>
        <v>0</v>
      </c>
      <c r="H249" s="12">
        <f>'Base de Datos Pagos-Notas'!O246</f>
        <v>0</v>
      </c>
      <c r="I249" s="12">
        <f>'Base de Datos Pagos-Notas'!P246</f>
        <v>0</v>
      </c>
      <c r="J249" s="12">
        <f>'Base de Datos Pagos-Notas'!Q246</f>
        <v>0</v>
      </c>
      <c r="K249" s="12">
        <f>'Base de Datos Pagos-Notas'!R246</f>
        <v>0</v>
      </c>
      <c r="L249" s="12">
        <f>'Base de Datos Pagos-Notas'!S246</f>
        <v>0</v>
      </c>
      <c r="M249" s="12">
        <f>'Base de Datos Pagos-Notas'!T246</f>
        <v>0</v>
      </c>
      <c r="N249" s="13">
        <f t="shared" si="7"/>
        <v>0</v>
      </c>
    </row>
    <row r="250" spans="1:14" s="20" customFormat="1" ht="12.95" customHeight="1" x14ac:dyDescent="0.2">
      <c r="A250" s="10">
        <f>'Base de Datos Pagos-Notas'!C247</f>
        <v>0</v>
      </c>
      <c r="B250" s="10">
        <f>'Base de Datos Pagos-Notas'!D247</f>
        <v>0</v>
      </c>
      <c r="C250" s="11">
        <f>'Base de Datos Pagos-Notas'!F247</f>
        <v>0</v>
      </c>
      <c r="D250" s="10" t="str">
        <f t="shared" si="6"/>
        <v>Nota Crédito</v>
      </c>
      <c r="E250" s="11">
        <f>'Base de Datos Pagos-Notas'!L247</f>
        <v>0</v>
      </c>
      <c r="F250" s="12">
        <f>'Base de Datos Pagos-Notas'!M247</f>
        <v>0</v>
      </c>
      <c r="G250" s="12">
        <f>'Base de Datos Pagos-Notas'!N247</f>
        <v>0</v>
      </c>
      <c r="H250" s="12">
        <f>'Base de Datos Pagos-Notas'!O247</f>
        <v>0</v>
      </c>
      <c r="I250" s="12">
        <f>'Base de Datos Pagos-Notas'!P247</f>
        <v>0</v>
      </c>
      <c r="J250" s="12">
        <f>'Base de Datos Pagos-Notas'!Q247</f>
        <v>0</v>
      </c>
      <c r="K250" s="12">
        <f>'Base de Datos Pagos-Notas'!R247</f>
        <v>0</v>
      </c>
      <c r="L250" s="12">
        <f>'Base de Datos Pagos-Notas'!S247</f>
        <v>0</v>
      </c>
      <c r="M250" s="12">
        <f>'Base de Datos Pagos-Notas'!T247</f>
        <v>0</v>
      </c>
      <c r="N250" s="13">
        <f t="shared" si="7"/>
        <v>0</v>
      </c>
    </row>
    <row r="251" spans="1:14" s="20" customFormat="1" ht="12.95" customHeight="1" x14ac:dyDescent="0.2">
      <c r="A251" s="10">
        <f>'Base de Datos Pagos-Notas'!C248</f>
        <v>0</v>
      </c>
      <c r="B251" s="10">
        <f>'Base de Datos Pagos-Notas'!D248</f>
        <v>0</v>
      </c>
      <c r="C251" s="11">
        <f>'Base de Datos Pagos-Notas'!F248</f>
        <v>0</v>
      </c>
      <c r="D251" s="10" t="str">
        <f t="shared" si="6"/>
        <v>Nota Crédito</v>
      </c>
      <c r="E251" s="11">
        <f>'Base de Datos Pagos-Notas'!L248</f>
        <v>0</v>
      </c>
      <c r="F251" s="12">
        <f>'Base de Datos Pagos-Notas'!M248</f>
        <v>0</v>
      </c>
      <c r="G251" s="12">
        <f>'Base de Datos Pagos-Notas'!N248</f>
        <v>0</v>
      </c>
      <c r="H251" s="12">
        <f>'Base de Datos Pagos-Notas'!O248</f>
        <v>0</v>
      </c>
      <c r="I251" s="12">
        <f>'Base de Datos Pagos-Notas'!P248</f>
        <v>0</v>
      </c>
      <c r="J251" s="12">
        <f>'Base de Datos Pagos-Notas'!Q248</f>
        <v>0</v>
      </c>
      <c r="K251" s="12">
        <f>'Base de Datos Pagos-Notas'!R248</f>
        <v>0</v>
      </c>
      <c r="L251" s="12">
        <f>'Base de Datos Pagos-Notas'!S248</f>
        <v>0</v>
      </c>
      <c r="M251" s="12">
        <f>'Base de Datos Pagos-Notas'!T248</f>
        <v>0</v>
      </c>
      <c r="N251" s="13">
        <f t="shared" si="7"/>
        <v>0</v>
      </c>
    </row>
    <row r="252" spans="1:14" s="20" customFormat="1" ht="12.95" customHeight="1" x14ac:dyDescent="0.2">
      <c r="A252" s="10">
        <f>'Base de Datos Pagos-Notas'!C249</f>
        <v>0</v>
      </c>
      <c r="B252" s="10">
        <f>'Base de Datos Pagos-Notas'!D249</f>
        <v>0</v>
      </c>
      <c r="C252" s="11">
        <f>'Base de Datos Pagos-Notas'!F249</f>
        <v>0</v>
      </c>
      <c r="D252" s="10" t="str">
        <f t="shared" si="6"/>
        <v>Nota Crédito</v>
      </c>
      <c r="E252" s="11">
        <f>'Base de Datos Pagos-Notas'!L249</f>
        <v>0</v>
      </c>
      <c r="F252" s="12">
        <f>'Base de Datos Pagos-Notas'!M249</f>
        <v>0</v>
      </c>
      <c r="G252" s="12">
        <f>'Base de Datos Pagos-Notas'!N249</f>
        <v>0</v>
      </c>
      <c r="H252" s="12">
        <f>'Base de Datos Pagos-Notas'!O249</f>
        <v>0</v>
      </c>
      <c r="I252" s="12">
        <f>'Base de Datos Pagos-Notas'!P249</f>
        <v>0</v>
      </c>
      <c r="J252" s="12">
        <f>'Base de Datos Pagos-Notas'!Q249</f>
        <v>0</v>
      </c>
      <c r="K252" s="12">
        <f>'Base de Datos Pagos-Notas'!R249</f>
        <v>0</v>
      </c>
      <c r="L252" s="12">
        <f>'Base de Datos Pagos-Notas'!S249</f>
        <v>0</v>
      </c>
      <c r="M252" s="12">
        <f>'Base de Datos Pagos-Notas'!T249</f>
        <v>0</v>
      </c>
      <c r="N252" s="13">
        <f t="shared" si="7"/>
        <v>0</v>
      </c>
    </row>
    <row r="253" spans="1:14" s="20" customFormat="1" ht="12.95" customHeight="1" x14ac:dyDescent="0.2">
      <c r="A253" s="10">
        <f>'Base de Datos Pagos-Notas'!C250</f>
        <v>0</v>
      </c>
      <c r="B253" s="10">
        <f>'Base de Datos Pagos-Notas'!D250</f>
        <v>0</v>
      </c>
      <c r="C253" s="11">
        <f>'Base de Datos Pagos-Notas'!F250</f>
        <v>0</v>
      </c>
      <c r="D253" s="10" t="str">
        <f t="shared" si="6"/>
        <v>Nota Crédito</v>
      </c>
      <c r="E253" s="11">
        <f>'Base de Datos Pagos-Notas'!L250</f>
        <v>0</v>
      </c>
      <c r="F253" s="12">
        <f>'Base de Datos Pagos-Notas'!M250</f>
        <v>0</v>
      </c>
      <c r="G253" s="12">
        <f>'Base de Datos Pagos-Notas'!N250</f>
        <v>0</v>
      </c>
      <c r="H253" s="12">
        <f>'Base de Datos Pagos-Notas'!O250</f>
        <v>0</v>
      </c>
      <c r="I253" s="12">
        <f>'Base de Datos Pagos-Notas'!P250</f>
        <v>0</v>
      </c>
      <c r="J253" s="12">
        <f>'Base de Datos Pagos-Notas'!Q250</f>
        <v>0</v>
      </c>
      <c r="K253" s="12">
        <f>'Base de Datos Pagos-Notas'!R250</f>
        <v>0</v>
      </c>
      <c r="L253" s="12">
        <f>'Base de Datos Pagos-Notas'!S250</f>
        <v>0</v>
      </c>
      <c r="M253" s="12">
        <f>'Base de Datos Pagos-Notas'!T250</f>
        <v>0</v>
      </c>
      <c r="N253" s="13">
        <f t="shared" si="7"/>
        <v>0</v>
      </c>
    </row>
    <row r="254" spans="1:14" s="20" customFormat="1" ht="12.95" customHeight="1" x14ac:dyDescent="0.2">
      <c r="A254" s="10">
        <f>'Base de Datos Pagos-Notas'!C251</f>
        <v>0</v>
      </c>
      <c r="B254" s="10">
        <f>'Base de Datos Pagos-Notas'!D251</f>
        <v>0</v>
      </c>
      <c r="C254" s="11">
        <f>'Base de Datos Pagos-Notas'!F251</f>
        <v>0</v>
      </c>
      <c r="D254" s="10" t="str">
        <f t="shared" si="6"/>
        <v>Nota Crédito</v>
      </c>
      <c r="E254" s="11">
        <f>'Base de Datos Pagos-Notas'!L251</f>
        <v>0</v>
      </c>
      <c r="F254" s="12">
        <f>'Base de Datos Pagos-Notas'!M251</f>
        <v>0</v>
      </c>
      <c r="G254" s="12">
        <f>'Base de Datos Pagos-Notas'!N251</f>
        <v>0</v>
      </c>
      <c r="H254" s="12">
        <f>'Base de Datos Pagos-Notas'!O251</f>
        <v>0</v>
      </c>
      <c r="I254" s="12">
        <f>'Base de Datos Pagos-Notas'!P251</f>
        <v>0</v>
      </c>
      <c r="J254" s="12">
        <f>'Base de Datos Pagos-Notas'!Q251</f>
        <v>0</v>
      </c>
      <c r="K254" s="12">
        <f>'Base de Datos Pagos-Notas'!R251</f>
        <v>0</v>
      </c>
      <c r="L254" s="12">
        <f>'Base de Datos Pagos-Notas'!S251</f>
        <v>0</v>
      </c>
      <c r="M254" s="12">
        <f>'Base de Datos Pagos-Notas'!T251</f>
        <v>0</v>
      </c>
      <c r="N254" s="13">
        <f t="shared" si="7"/>
        <v>0</v>
      </c>
    </row>
    <row r="255" spans="1:14" s="20" customFormat="1" ht="12.95" customHeight="1" x14ac:dyDescent="0.2">
      <c r="A255" s="10">
        <f>'Base de Datos Pagos-Notas'!C252</f>
        <v>0</v>
      </c>
      <c r="B255" s="10">
        <f>'Base de Datos Pagos-Notas'!D252</f>
        <v>0</v>
      </c>
      <c r="C255" s="11">
        <f>'Base de Datos Pagos-Notas'!F252</f>
        <v>0</v>
      </c>
      <c r="D255" s="10" t="str">
        <f t="shared" si="6"/>
        <v>Nota Crédito</v>
      </c>
      <c r="E255" s="11">
        <f>'Base de Datos Pagos-Notas'!L252</f>
        <v>0</v>
      </c>
      <c r="F255" s="12">
        <f>'Base de Datos Pagos-Notas'!M252</f>
        <v>0</v>
      </c>
      <c r="G255" s="12">
        <f>'Base de Datos Pagos-Notas'!N252</f>
        <v>0</v>
      </c>
      <c r="H255" s="12">
        <f>'Base de Datos Pagos-Notas'!O252</f>
        <v>0</v>
      </c>
      <c r="I255" s="12">
        <f>'Base de Datos Pagos-Notas'!P252</f>
        <v>0</v>
      </c>
      <c r="J255" s="12">
        <f>'Base de Datos Pagos-Notas'!Q252</f>
        <v>0</v>
      </c>
      <c r="K255" s="12">
        <f>'Base de Datos Pagos-Notas'!R252</f>
        <v>0</v>
      </c>
      <c r="L255" s="12">
        <f>'Base de Datos Pagos-Notas'!S252</f>
        <v>0</v>
      </c>
      <c r="M255" s="12">
        <f>'Base de Datos Pagos-Notas'!T252</f>
        <v>0</v>
      </c>
      <c r="N255" s="13">
        <f t="shared" si="7"/>
        <v>0</v>
      </c>
    </row>
    <row r="256" spans="1:14" s="20" customFormat="1" ht="12.95" customHeight="1" x14ac:dyDescent="0.2">
      <c r="A256" s="10">
        <f>'Base de Datos Pagos-Notas'!C253</f>
        <v>0</v>
      </c>
      <c r="B256" s="10">
        <f>'Base de Datos Pagos-Notas'!D253</f>
        <v>0</v>
      </c>
      <c r="C256" s="11">
        <f>'Base de Datos Pagos-Notas'!F253</f>
        <v>0</v>
      </c>
      <c r="D256" s="10" t="str">
        <f t="shared" si="6"/>
        <v>Nota Crédito</v>
      </c>
      <c r="E256" s="11">
        <f>'Base de Datos Pagos-Notas'!L253</f>
        <v>0</v>
      </c>
      <c r="F256" s="12">
        <f>'Base de Datos Pagos-Notas'!M253</f>
        <v>0</v>
      </c>
      <c r="G256" s="12">
        <f>'Base de Datos Pagos-Notas'!N253</f>
        <v>0</v>
      </c>
      <c r="H256" s="12">
        <f>'Base de Datos Pagos-Notas'!O253</f>
        <v>0</v>
      </c>
      <c r="I256" s="12">
        <f>'Base de Datos Pagos-Notas'!P253</f>
        <v>0</v>
      </c>
      <c r="J256" s="12">
        <f>'Base de Datos Pagos-Notas'!Q253</f>
        <v>0</v>
      </c>
      <c r="K256" s="12">
        <f>'Base de Datos Pagos-Notas'!R253</f>
        <v>0</v>
      </c>
      <c r="L256" s="12">
        <f>'Base de Datos Pagos-Notas'!S253</f>
        <v>0</v>
      </c>
      <c r="M256" s="12">
        <f>'Base de Datos Pagos-Notas'!T253</f>
        <v>0</v>
      </c>
      <c r="N256" s="13">
        <f t="shared" si="7"/>
        <v>0</v>
      </c>
    </row>
    <row r="257" spans="1:14" s="20" customFormat="1" ht="12.95" customHeight="1" x14ac:dyDescent="0.2">
      <c r="A257" s="10">
        <f>'Base de Datos Pagos-Notas'!C254</f>
        <v>0</v>
      </c>
      <c r="B257" s="10">
        <f>'Base de Datos Pagos-Notas'!D254</f>
        <v>0</v>
      </c>
      <c r="C257" s="11">
        <f>'Base de Datos Pagos-Notas'!F254</f>
        <v>0</v>
      </c>
      <c r="D257" s="10" t="str">
        <f t="shared" si="6"/>
        <v>Nota Crédito</v>
      </c>
      <c r="E257" s="11">
        <f>'Base de Datos Pagos-Notas'!L254</f>
        <v>0</v>
      </c>
      <c r="F257" s="12">
        <f>'Base de Datos Pagos-Notas'!M254</f>
        <v>0</v>
      </c>
      <c r="G257" s="12">
        <f>'Base de Datos Pagos-Notas'!N254</f>
        <v>0</v>
      </c>
      <c r="H257" s="12">
        <f>'Base de Datos Pagos-Notas'!O254</f>
        <v>0</v>
      </c>
      <c r="I257" s="12">
        <f>'Base de Datos Pagos-Notas'!P254</f>
        <v>0</v>
      </c>
      <c r="J257" s="12">
        <f>'Base de Datos Pagos-Notas'!Q254</f>
        <v>0</v>
      </c>
      <c r="K257" s="12">
        <f>'Base de Datos Pagos-Notas'!R254</f>
        <v>0</v>
      </c>
      <c r="L257" s="12">
        <f>'Base de Datos Pagos-Notas'!S254</f>
        <v>0</v>
      </c>
      <c r="M257" s="12">
        <f>'Base de Datos Pagos-Notas'!T254</f>
        <v>0</v>
      </c>
      <c r="N257" s="13">
        <f t="shared" si="7"/>
        <v>0</v>
      </c>
    </row>
    <row r="258" spans="1:14" s="20" customFormat="1" ht="12.95" customHeight="1" x14ac:dyDescent="0.2">
      <c r="A258" s="10">
        <f>'Base de Datos Pagos-Notas'!C255</f>
        <v>0</v>
      </c>
      <c r="B258" s="10">
        <f>'Base de Datos Pagos-Notas'!D255</f>
        <v>0</v>
      </c>
      <c r="C258" s="11">
        <f>'Base de Datos Pagos-Notas'!F255</f>
        <v>0</v>
      </c>
      <c r="D258" s="10" t="str">
        <f t="shared" si="6"/>
        <v>Nota Crédito</v>
      </c>
      <c r="E258" s="11">
        <f>'Base de Datos Pagos-Notas'!L255</f>
        <v>0</v>
      </c>
      <c r="F258" s="12">
        <f>'Base de Datos Pagos-Notas'!M255</f>
        <v>0</v>
      </c>
      <c r="G258" s="12">
        <f>'Base de Datos Pagos-Notas'!N255</f>
        <v>0</v>
      </c>
      <c r="H258" s="12">
        <f>'Base de Datos Pagos-Notas'!O255</f>
        <v>0</v>
      </c>
      <c r="I258" s="12">
        <f>'Base de Datos Pagos-Notas'!P255</f>
        <v>0</v>
      </c>
      <c r="J258" s="12">
        <f>'Base de Datos Pagos-Notas'!Q255</f>
        <v>0</v>
      </c>
      <c r="K258" s="12">
        <f>'Base de Datos Pagos-Notas'!R255</f>
        <v>0</v>
      </c>
      <c r="L258" s="12">
        <f>'Base de Datos Pagos-Notas'!S255</f>
        <v>0</v>
      </c>
      <c r="M258" s="12">
        <f>'Base de Datos Pagos-Notas'!T255</f>
        <v>0</v>
      </c>
      <c r="N258" s="13">
        <f t="shared" si="7"/>
        <v>0</v>
      </c>
    </row>
    <row r="259" spans="1:14" s="20" customFormat="1" ht="12.95" customHeight="1" x14ac:dyDescent="0.2">
      <c r="A259" s="10">
        <f>'Base de Datos Pagos-Notas'!C256</f>
        <v>0</v>
      </c>
      <c r="B259" s="10">
        <f>'Base de Datos Pagos-Notas'!D256</f>
        <v>0</v>
      </c>
      <c r="C259" s="11">
        <f>'Base de Datos Pagos-Notas'!F256</f>
        <v>0</v>
      </c>
      <c r="D259" s="10" t="str">
        <f t="shared" si="6"/>
        <v>Nota Crédito</v>
      </c>
      <c r="E259" s="11">
        <f>'Base de Datos Pagos-Notas'!L256</f>
        <v>0</v>
      </c>
      <c r="F259" s="12">
        <f>'Base de Datos Pagos-Notas'!M256</f>
        <v>0</v>
      </c>
      <c r="G259" s="12">
        <f>'Base de Datos Pagos-Notas'!N256</f>
        <v>0</v>
      </c>
      <c r="H259" s="12">
        <f>'Base de Datos Pagos-Notas'!O256</f>
        <v>0</v>
      </c>
      <c r="I259" s="12">
        <f>'Base de Datos Pagos-Notas'!P256</f>
        <v>0</v>
      </c>
      <c r="J259" s="12">
        <f>'Base de Datos Pagos-Notas'!Q256</f>
        <v>0</v>
      </c>
      <c r="K259" s="12">
        <f>'Base de Datos Pagos-Notas'!R256</f>
        <v>0</v>
      </c>
      <c r="L259" s="12">
        <f>'Base de Datos Pagos-Notas'!S256</f>
        <v>0</v>
      </c>
      <c r="M259" s="12">
        <f>'Base de Datos Pagos-Notas'!T256</f>
        <v>0</v>
      </c>
      <c r="N259" s="13">
        <f t="shared" si="7"/>
        <v>0</v>
      </c>
    </row>
    <row r="260" spans="1:14" s="20" customFormat="1" ht="12.95" customHeight="1" x14ac:dyDescent="0.2">
      <c r="A260" s="10">
        <f>'Base de Datos Pagos-Notas'!C257</f>
        <v>0</v>
      </c>
      <c r="B260" s="10">
        <f>'Base de Datos Pagos-Notas'!D257</f>
        <v>0</v>
      </c>
      <c r="C260" s="11">
        <f>'Base de Datos Pagos-Notas'!F257</f>
        <v>0</v>
      </c>
      <c r="D260" s="10" t="str">
        <f t="shared" si="6"/>
        <v>Nota Crédito</v>
      </c>
      <c r="E260" s="11">
        <f>'Base de Datos Pagos-Notas'!L257</f>
        <v>0</v>
      </c>
      <c r="F260" s="12">
        <f>'Base de Datos Pagos-Notas'!M257</f>
        <v>0</v>
      </c>
      <c r="G260" s="12">
        <f>'Base de Datos Pagos-Notas'!N257</f>
        <v>0</v>
      </c>
      <c r="H260" s="12">
        <f>'Base de Datos Pagos-Notas'!O257</f>
        <v>0</v>
      </c>
      <c r="I260" s="12">
        <f>'Base de Datos Pagos-Notas'!P257</f>
        <v>0</v>
      </c>
      <c r="J260" s="12">
        <f>'Base de Datos Pagos-Notas'!Q257</f>
        <v>0</v>
      </c>
      <c r="K260" s="12">
        <f>'Base de Datos Pagos-Notas'!R257</f>
        <v>0</v>
      </c>
      <c r="L260" s="12">
        <f>'Base de Datos Pagos-Notas'!S257</f>
        <v>0</v>
      </c>
      <c r="M260" s="12">
        <f>'Base de Datos Pagos-Notas'!T257</f>
        <v>0</v>
      </c>
      <c r="N260" s="13">
        <f t="shared" si="7"/>
        <v>0</v>
      </c>
    </row>
    <row r="261" spans="1:14" s="20" customFormat="1" ht="12.95" customHeight="1" x14ac:dyDescent="0.2">
      <c r="A261" s="10">
        <f>'Base de Datos Pagos-Notas'!C258</f>
        <v>0</v>
      </c>
      <c r="B261" s="10">
        <f>'Base de Datos Pagos-Notas'!D258</f>
        <v>0</v>
      </c>
      <c r="C261" s="11">
        <f>'Base de Datos Pagos-Notas'!F258</f>
        <v>0</v>
      </c>
      <c r="D261" s="10" t="str">
        <f t="shared" ref="D261:D278" si="8">IF(E261="1","Pago","Nota Crédito")</f>
        <v>Nota Crédito</v>
      </c>
      <c r="E261" s="11">
        <f>'Base de Datos Pagos-Notas'!L258</f>
        <v>0</v>
      </c>
      <c r="F261" s="12">
        <f>'Base de Datos Pagos-Notas'!M258</f>
        <v>0</v>
      </c>
      <c r="G261" s="12">
        <f>'Base de Datos Pagos-Notas'!N258</f>
        <v>0</v>
      </c>
      <c r="H261" s="12">
        <f>'Base de Datos Pagos-Notas'!O258</f>
        <v>0</v>
      </c>
      <c r="I261" s="12">
        <f>'Base de Datos Pagos-Notas'!P258</f>
        <v>0</v>
      </c>
      <c r="J261" s="12">
        <f>'Base de Datos Pagos-Notas'!Q258</f>
        <v>0</v>
      </c>
      <c r="K261" s="12">
        <f>'Base de Datos Pagos-Notas'!R258</f>
        <v>0</v>
      </c>
      <c r="L261" s="12">
        <f>'Base de Datos Pagos-Notas'!S258</f>
        <v>0</v>
      </c>
      <c r="M261" s="12">
        <f>'Base de Datos Pagos-Notas'!T258</f>
        <v>0</v>
      </c>
      <c r="N261" s="13">
        <f t="shared" ref="N261:N278" si="9">SUM(F261:M261)</f>
        <v>0</v>
      </c>
    </row>
    <row r="262" spans="1:14" s="20" customFormat="1" ht="12.95" customHeight="1" x14ac:dyDescent="0.2">
      <c r="A262" s="10">
        <f>'Base de Datos Pagos-Notas'!C259</f>
        <v>0</v>
      </c>
      <c r="B262" s="10">
        <f>'Base de Datos Pagos-Notas'!D259</f>
        <v>0</v>
      </c>
      <c r="C262" s="11">
        <f>'Base de Datos Pagos-Notas'!F259</f>
        <v>0</v>
      </c>
      <c r="D262" s="10" t="str">
        <f t="shared" si="8"/>
        <v>Nota Crédito</v>
      </c>
      <c r="E262" s="11">
        <f>'Base de Datos Pagos-Notas'!L259</f>
        <v>0</v>
      </c>
      <c r="F262" s="12">
        <f>'Base de Datos Pagos-Notas'!M259</f>
        <v>0</v>
      </c>
      <c r="G262" s="12">
        <f>'Base de Datos Pagos-Notas'!N259</f>
        <v>0</v>
      </c>
      <c r="H262" s="12">
        <f>'Base de Datos Pagos-Notas'!O259</f>
        <v>0</v>
      </c>
      <c r="I262" s="12">
        <f>'Base de Datos Pagos-Notas'!P259</f>
        <v>0</v>
      </c>
      <c r="J262" s="12">
        <f>'Base de Datos Pagos-Notas'!Q259</f>
        <v>0</v>
      </c>
      <c r="K262" s="12">
        <f>'Base de Datos Pagos-Notas'!R259</f>
        <v>0</v>
      </c>
      <c r="L262" s="12">
        <f>'Base de Datos Pagos-Notas'!S259</f>
        <v>0</v>
      </c>
      <c r="M262" s="12">
        <f>'Base de Datos Pagos-Notas'!T259</f>
        <v>0</v>
      </c>
      <c r="N262" s="13">
        <f t="shared" si="9"/>
        <v>0</v>
      </c>
    </row>
    <row r="263" spans="1:14" s="20" customFormat="1" ht="12.95" customHeight="1" x14ac:dyDescent="0.2">
      <c r="A263" s="10">
        <f>'Base de Datos Pagos-Notas'!C260</f>
        <v>0</v>
      </c>
      <c r="B263" s="10">
        <f>'Base de Datos Pagos-Notas'!D260</f>
        <v>0</v>
      </c>
      <c r="C263" s="11">
        <f>'Base de Datos Pagos-Notas'!F260</f>
        <v>0</v>
      </c>
      <c r="D263" s="10" t="str">
        <f t="shared" si="8"/>
        <v>Nota Crédito</v>
      </c>
      <c r="E263" s="11">
        <f>'Base de Datos Pagos-Notas'!L260</f>
        <v>0</v>
      </c>
      <c r="F263" s="12">
        <f>'Base de Datos Pagos-Notas'!M260</f>
        <v>0</v>
      </c>
      <c r="G263" s="12">
        <f>'Base de Datos Pagos-Notas'!N260</f>
        <v>0</v>
      </c>
      <c r="H263" s="12">
        <f>'Base de Datos Pagos-Notas'!O260</f>
        <v>0</v>
      </c>
      <c r="I263" s="12">
        <f>'Base de Datos Pagos-Notas'!P260</f>
        <v>0</v>
      </c>
      <c r="J263" s="12">
        <f>'Base de Datos Pagos-Notas'!Q260</f>
        <v>0</v>
      </c>
      <c r="K263" s="12">
        <f>'Base de Datos Pagos-Notas'!R260</f>
        <v>0</v>
      </c>
      <c r="L263" s="12">
        <f>'Base de Datos Pagos-Notas'!S260</f>
        <v>0</v>
      </c>
      <c r="M263" s="12">
        <f>'Base de Datos Pagos-Notas'!T260</f>
        <v>0</v>
      </c>
      <c r="N263" s="13">
        <f t="shared" si="9"/>
        <v>0</v>
      </c>
    </row>
    <row r="264" spans="1:14" s="20" customFormat="1" ht="12.95" customHeight="1" x14ac:dyDescent="0.2">
      <c r="A264" s="10">
        <f>'Base de Datos Pagos-Notas'!C261</f>
        <v>0</v>
      </c>
      <c r="B264" s="10">
        <f>'Base de Datos Pagos-Notas'!D261</f>
        <v>0</v>
      </c>
      <c r="C264" s="11">
        <f>'Base de Datos Pagos-Notas'!F261</f>
        <v>0</v>
      </c>
      <c r="D264" s="10" t="str">
        <f t="shared" si="8"/>
        <v>Nota Crédito</v>
      </c>
      <c r="E264" s="11">
        <f>'Base de Datos Pagos-Notas'!L261</f>
        <v>0</v>
      </c>
      <c r="F264" s="12">
        <f>'Base de Datos Pagos-Notas'!M261</f>
        <v>0</v>
      </c>
      <c r="G264" s="12">
        <f>'Base de Datos Pagos-Notas'!N261</f>
        <v>0</v>
      </c>
      <c r="H264" s="12">
        <f>'Base de Datos Pagos-Notas'!O261</f>
        <v>0</v>
      </c>
      <c r="I264" s="12">
        <f>'Base de Datos Pagos-Notas'!P261</f>
        <v>0</v>
      </c>
      <c r="J264" s="12">
        <f>'Base de Datos Pagos-Notas'!Q261</f>
        <v>0</v>
      </c>
      <c r="K264" s="12">
        <f>'Base de Datos Pagos-Notas'!R261</f>
        <v>0</v>
      </c>
      <c r="L264" s="12">
        <f>'Base de Datos Pagos-Notas'!S261</f>
        <v>0</v>
      </c>
      <c r="M264" s="12">
        <f>'Base de Datos Pagos-Notas'!T261</f>
        <v>0</v>
      </c>
      <c r="N264" s="13">
        <f t="shared" si="9"/>
        <v>0</v>
      </c>
    </row>
    <row r="265" spans="1:14" s="20" customFormat="1" ht="12.95" customHeight="1" x14ac:dyDescent="0.2">
      <c r="A265" s="10">
        <f>'Base de Datos Pagos-Notas'!C262</f>
        <v>0</v>
      </c>
      <c r="B265" s="10">
        <f>'Base de Datos Pagos-Notas'!D262</f>
        <v>0</v>
      </c>
      <c r="C265" s="11">
        <f>'Base de Datos Pagos-Notas'!F262</f>
        <v>0</v>
      </c>
      <c r="D265" s="10" t="str">
        <f t="shared" si="8"/>
        <v>Nota Crédito</v>
      </c>
      <c r="E265" s="11">
        <f>'Base de Datos Pagos-Notas'!L262</f>
        <v>0</v>
      </c>
      <c r="F265" s="12">
        <f>'Base de Datos Pagos-Notas'!M262</f>
        <v>0</v>
      </c>
      <c r="G265" s="12">
        <f>'Base de Datos Pagos-Notas'!N262</f>
        <v>0</v>
      </c>
      <c r="H265" s="12">
        <f>'Base de Datos Pagos-Notas'!O262</f>
        <v>0</v>
      </c>
      <c r="I265" s="12">
        <f>'Base de Datos Pagos-Notas'!P262</f>
        <v>0</v>
      </c>
      <c r="J265" s="12">
        <f>'Base de Datos Pagos-Notas'!Q262</f>
        <v>0</v>
      </c>
      <c r="K265" s="12">
        <f>'Base de Datos Pagos-Notas'!R262</f>
        <v>0</v>
      </c>
      <c r="L265" s="12">
        <f>'Base de Datos Pagos-Notas'!S262</f>
        <v>0</v>
      </c>
      <c r="M265" s="12">
        <f>'Base de Datos Pagos-Notas'!T262</f>
        <v>0</v>
      </c>
      <c r="N265" s="13">
        <f t="shared" si="9"/>
        <v>0</v>
      </c>
    </row>
    <row r="266" spans="1:14" s="20" customFormat="1" ht="12.95" customHeight="1" x14ac:dyDescent="0.2">
      <c r="A266" s="10">
        <f>'Base de Datos Pagos-Notas'!C263</f>
        <v>0</v>
      </c>
      <c r="B266" s="10">
        <f>'Base de Datos Pagos-Notas'!D263</f>
        <v>0</v>
      </c>
      <c r="C266" s="11">
        <f>'Base de Datos Pagos-Notas'!F263</f>
        <v>0</v>
      </c>
      <c r="D266" s="10" t="str">
        <f t="shared" si="8"/>
        <v>Nota Crédito</v>
      </c>
      <c r="E266" s="11">
        <f>'Base de Datos Pagos-Notas'!L263</f>
        <v>0</v>
      </c>
      <c r="F266" s="12">
        <f>'Base de Datos Pagos-Notas'!M263</f>
        <v>0</v>
      </c>
      <c r="G266" s="12">
        <f>'Base de Datos Pagos-Notas'!N263</f>
        <v>0</v>
      </c>
      <c r="H266" s="12">
        <f>'Base de Datos Pagos-Notas'!O263</f>
        <v>0</v>
      </c>
      <c r="I266" s="12">
        <f>'Base de Datos Pagos-Notas'!P263</f>
        <v>0</v>
      </c>
      <c r="J266" s="12">
        <f>'Base de Datos Pagos-Notas'!Q263</f>
        <v>0</v>
      </c>
      <c r="K266" s="12">
        <f>'Base de Datos Pagos-Notas'!R263</f>
        <v>0</v>
      </c>
      <c r="L266" s="12">
        <f>'Base de Datos Pagos-Notas'!S263</f>
        <v>0</v>
      </c>
      <c r="M266" s="12">
        <f>'Base de Datos Pagos-Notas'!T263</f>
        <v>0</v>
      </c>
      <c r="N266" s="13">
        <f t="shared" si="9"/>
        <v>0</v>
      </c>
    </row>
    <row r="267" spans="1:14" s="20" customFormat="1" ht="12.95" customHeight="1" x14ac:dyDescent="0.2">
      <c r="A267" s="10">
        <f>'Base de Datos Pagos-Notas'!C264</f>
        <v>0</v>
      </c>
      <c r="B267" s="10">
        <f>'Base de Datos Pagos-Notas'!D264</f>
        <v>0</v>
      </c>
      <c r="C267" s="11">
        <f>'Base de Datos Pagos-Notas'!F264</f>
        <v>0</v>
      </c>
      <c r="D267" s="10" t="str">
        <f t="shared" si="8"/>
        <v>Nota Crédito</v>
      </c>
      <c r="E267" s="11">
        <f>'Base de Datos Pagos-Notas'!L264</f>
        <v>0</v>
      </c>
      <c r="F267" s="12">
        <f>'Base de Datos Pagos-Notas'!M264</f>
        <v>0</v>
      </c>
      <c r="G267" s="12">
        <f>'Base de Datos Pagos-Notas'!N264</f>
        <v>0</v>
      </c>
      <c r="H267" s="12">
        <f>'Base de Datos Pagos-Notas'!O264</f>
        <v>0</v>
      </c>
      <c r="I267" s="12">
        <f>'Base de Datos Pagos-Notas'!P264</f>
        <v>0</v>
      </c>
      <c r="J267" s="12">
        <f>'Base de Datos Pagos-Notas'!Q264</f>
        <v>0</v>
      </c>
      <c r="K267" s="12">
        <f>'Base de Datos Pagos-Notas'!R264</f>
        <v>0</v>
      </c>
      <c r="L267" s="12">
        <f>'Base de Datos Pagos-Notas'!S264</f>
        <v>0</v>
      </c>
      <c r="M267" s="12">
        <f>'Base de Datos Pagos-Notas'!T264</f>
        <v>0</v>
      </c>
      <c r="N267" s="13">
        <f t="shared" si="9"/>
        <v>0</v>
      </c>
    </row>
    <row r="268" spans="1:14" s="20" customFormat="1" ht="12.95" customHeight="1" x14ac:dyDescent="0.2">
      <c r="A268" s="10">
        <f>'Base de Datos Pagos-Notas'!C265</f>
        <v>0</v>
      </c>
      <c r="B268" s="10">
        <f>'Base de Datos Pagos-Notas'!D265</f>
        <v>0</v>
      </c>
      <c r="C268" s="11">
        <f>'Base de Datos Pagos-Notas'!F265</f>
        <v>0</v>
      </c>
      <c r="D268" s="10" t="str">
        <f t="shared" si="8"/>
        <v>Nota Crédito</v>
      </c>
      <c r="E268" s="11">
        <f>'Base de Datos Pagos-Notas'!L265</f>
        <v>0</v>
      </c>
      <c r="F268" s="12">
        <f>'Base de Datos Pagos-Notas'!M265</f>
        <v>0</v>
      </c>
      <c r="G268" s="12">
        <f>'Base de Datos Pagos-Notas'!N265</f>
        <v>0</v>
      </c>
      <c r="H268" s="12">
        <f>'Base de Datos Pagos-Notas'!O265</f>
        <v>0</v>
      </c>
      <c r="I268" s="12">
        <f>'Base de Datos Pagos-Notas'!P265</f>
        <v>0</v>
      </c>
      <c r="J268" s="12">
        <f>'Base de Datos Pagos-Notas'!Q265</f>
        <v>0</v>
      </c>
      <c r="K268" s="12">
        <f>'Base de Datos Pagos-Notas'!R265</f>
        <v>0</v>
      </c>
      <c r="L268" s="12">
        <f>'Base de Datos Pagos-Notas'!S265</f>
        <v>0</v>
      </c>
      <c r="M268" s="12">
        <f>'Base de Datos Pagos-Notas'!T265</f>
        <v>0</v>
      </c>
      <c r="N268" s="13">
        <f t="shared" si="9"/>
        <v>0</v>
      </c>
    </row>
    <row r="269" spans="1:14" s="20" customFormat="1" ht="12.95" customHeight="1" x14ac:dyDescent="0.2">
      <c r="A269" s="10">
        <f>'Base de Datos Pagos-Notas'!C266</f>
        <v>0</v>
      </c>
      <c r="B269" s="10">
        <f>'Base de Datos Pagos-Notas'!D266</f>
        <v>0</v>
      </c>
      <c r="C269" s="11">
        <f>'Base de Datos Pagos-Notas'!F266</f>
        <v>0</v>
      </c>
      <c r="D269" s="10" t="str">
        <f t="shared" si="8"/>
        <v>Nota Crédito</v>
      </c>
      <c r="E269" s="11">
        <f>'Base de Datos Pagos-Notas'!L266</f>
        <v>0</v>
      </c>
      <c r="F269" s="12">
        <f>'Base de Datos Pagos-Notas'!M266</f>
        <v>0</v>
      </c>
      <c r="G269" s="12">
        <f>'Base de Datos Pagos-Notas'!N266</f>
        <v>0</v>
      </c>
      <c r="H269" s="12">
        <f>'Base de Datos Pagos-Notas'!O266</f>
        <v>0</v>
      </c>
      <c r="I269" s="12">
        <f>'Base de Datos Pagos-Notas'!P266</f>
        <v>0</v>
      </c>
      <c r="J269" s="12">
        <f>'Base de Datos Pagos-Notas'!Q266</f>
        <v>0</v>
      </c>
      <c r="K269" s="12">
        <f>'Base de Datos Pagos-Notas'!R266</f>
        <v>0</v>
      </c>
      <c r="L269" s="12">
        <f>'Base de Datos Pagos-Notas'!S266</f>
        <v>0</v>
      </c>
      <c r="M269" s="12">
        <f>'Base de Datos Pagos-Notas'!T266</f>
        <v>0</v>
      </c>
      <c r="N269" s="13">
        <f t="shared" si="9"/>
        <v>0</v>
      </c>
    </row>
    <row r="270" spans="1:14" s="20" customFormat="1" ht="12.95" customHeight="1" x14ac:dyDescent="0.2">
      <c r="A270" s="10">
        <f>'Base de Datos Pagos-Notas'!C267</f>
        <v>0</v>
      </c>
      <c r="B270" s="10">
        <f>'Base de Datos Pagos-Notas'!D267</f>
        <v>0</v>
      </c>
      <c r="C270" s="11">
        <f>'Base de Datos Pagos-Notas'!F267</f>
        <v>0</v>
      </c>
      <c r="D270" s="10" t="str">
        <f t="shared" si="8"/>
        <v>Nota Crédito</v>
      </c>
      <c r="E270" s="11">
        <f>'Base de Datos Pagos-Notas'!L267</f>
        <v>0</v>
      </c>
      <c r="F270" s="12">
        <f>'Base de Datos Pagos-Notas'!M267</f>
        <v>0</v>
      </c>
      <c r="G270" s="12">
        <f>'Base de Datos Pagos-Notas'!N267</f>
        <v>0</v>
      </c>
      <c r="H270" s="12">
        <f>'Base de Datos Pagos-Notas'!O267</f>
        <v>0</v>
      </c>
      <c r="I270" s="12">
        <f>'Base de Datos Pagos-Notas'!P267</f>
        <v>0</v>
      </c>
      <c r="J270" s="12">
        <f>'Base de Datos Pagos-Notas'!Q267</f>
        <v>0</v>
      </c>
      <c r="K270" s="12">
        <f>'Base de Datos Pagos-Notas'!R267</f>
        <v>0</v>
      </c>
      <c r="L270" s="12">
        <f>'Base de Datos Pagos-Notas'!S267</f>
        <v>0</v>
      </c>
      <c r="M270" s="12">
        <f>'Base de Datos Pagos-Notas'!T267</f>
        <v>0</v>
      </c>
      <c r="N270" s="13">
        <f t="shared" si="9"/>
        <v>0</v>
      </c>
    </row>
    <row r="271" spans="1:14" s="20" customFormat="1" ht="12.95" customHeight="1" x14ac:dyDescent="0.2">
      <c r="A271" s="10">
        <f>'Base de Datos Pagos-Notas'!C268</f>
        <v>0</v>
      </c>
      <c r="B271" s="10">
        <f>'Base de Datos Pagos-Notas'!D268</f>
        <v>0</v>
      </c>
      <c r="C271" s="11">
        <f>'Base de Datos Pagos-Notas'!F268</f>
        <v>0</v>
      </c>
      <c r="D271" s="10" t="str">
        <f t="shared" si="8"/>
        <v>Nota Crédito</v>
      </c>
      <c r="E271" s="11">
        <f>'Base de Datos Pagos-Notas'!L268</f>
        <v>0</v>
      </c>
      <c r="F271" s="12">
        <f>'Base de Datos Pagos-Notas'!M268</f>
        <v>0</v>
      </c>
      <c r="G271" s="12">
        <f>'Base de Datos Pagos-Notas'!N268</f>
        <v>0</v>
      </c>
      <c r="H271" s="12">
        <f>'Base de Datos Pagos-Notas'!O268</f>
        <v>0</v>
      </c>
      <c r="I271" s="12">
        <f>'Base de Datos Pagos-Notas'!P268</f>
        <v>0</v>
      </c>
      <c r="J271" s="12">
        <f>'Base de Datos Pagos-Notas'!Q268</f>
        <v>0</v>
      </c>
      <c r="K271" s="12">
        <f>'Base de Datos Pagos-Notas'!R268</f>
        <v>0</v>
      </c>
      <c r="L271" s="12">
        <f>'Base de Datos Pagos-Notas'!S268</f>
        <v>0</v>
      </c>
      <c r="M271" s="12">
        <f>'Base de Datos Pagos-Notas'!T268</f>
        <v>0</v>
      </c>
      <c r="N271" s="13">
        <f t="shared" si="9"/>
        <v>0</v>
      </c>
    </row>
    <row r="272" spans="1:14" s="20" customFormat="1" ht="12.95" customHeight="1" x14ac:dyDescent="0.2">
      <c r="A272" s="10">
        <f>'Base de Datos Pagos-Notas'!C269</f>
        <v>0</v>
      </c>
      <c r="B272" s="10">
        <f>'Base de Datos Pagos-Notas'!D269</f>
        <v>0</v>
      </c>
      <c r="C272" s="11">
        <f>'Base de Datos Pagos-Notas'!F269</f>
        <v>0</v>
      </c>
      <c r="D272" s="10" t="str">
        <f t="shared" si="8"/>
        <v>Nota Crédito</v>
      </c>
      <c r="E272" s="11">
        <f>'Base de Datos Pagos-Notas'!L269</f>
        <v>0</v>
      </c>
      <c r="F272" s="12">
        <f>'Base de Datos Pagos-Notas'!M269</f>
        <v>0</v>
      </c>
      <c r="G272" s="12">
        <f>'Base de Datos Pagos-Notas'!N269</f>
        <v>0</v>
      </c>
      <c r="H272" s="12">
        <f>'Base de Datos Pagos-Notas'!O269</f>
        <v>0</v>
      </c>
      <c r="I272" s="12">
        <f>'Base de Datos Pagos-Notas'!P269</f>
        <v>0</v>
      </c>
      <c r="J272" s="12">
        <f>'Base de Datos Pagos-Notas'!Q269</f>
        <v>0</v>
      </c>
      <c r="K272" s="12">
        <f>'Base de Datos Pagos-Notas'!R269</f>
        <v>0</v>
      </c>
      <c r="L272" s="12">
        <f>'Base de Datos Pagos-Notas'!S269</f>
        <v>0</v>
      </c>
      <c r="M272" s="12">
        <f>'Base de Datos Pagos-Notas'!T269</f>
        <v>0</v>
      </c>
      <c r="N272" s="13">
        <f t="shared" si="9"/>
        <v>0</v>
      </c>
    </row>
    <row r="273" spans="1:14" s="20" customFormat="1" ht="12.95" customHeight="1" x14ac:dyDescent="0.2">
      <c r="A273" s="10">
        <f>'Base de Datos Pagos-Notas'!C270</f>
        <v>0</v>
      </c>
      <c r="B273" s="10">
        <f>'Base de Datos Pagos-Notas'!D270</f>
        <v>0</v>
      </c>
      <c r="C273" s="11">
        <f>'Base de Datos Pagos-Notas'!F270</f>
        <v>0</v>
      </c>
      <c r="D273" s="10" t="str">
        <f t="shared" si="8"/>
        <v>Nota Crédito</v>
      </c>
      <c r="E273" s="11">
        <f>'Base de Datos Pagos-Notas'!L270</f>
        <v>0</v>
      </c>
      <c r="F273" s="12">
        <f>'Base de Datos Pagos-Notas'!M270</f>
        <v>0</v>
      </c>
      <c r="G273" s="12">
        <f>'Base de Datos Pagos-Notas'!N270</f>
        <v>0</v>
      </c>
      <c r="H273" s="12">
        <f>'Base de Datos Pagos-Notas'!O270</f>
        <v>0</v>
      </c>
      <c r="I273" s="12">
        <f>'Base de Datos Pagos-Notas'!P270</f>
        <v>0</v>
      </c>
      <c r="J273" s="12">
        <f>'Base de Datos Pagos-Notas'!Q270</f>
        <v>0</v>
      </c>
      <c r="K273" s="12">
        <f>'Base de Datos Pagos-Notas'!R270</f>
        <v>0</v>
      </c>
      <c r="L273" s="12">
        <f>'Base de Datos Pagos-Notas'!S270</f>
        <v>0</v>
      </c>
      <c r="M273" s="12">
        <f>'Base de Datos Pagos-Notas'!T270</f>
        <v>0</v>
      </c>
      <c r="N273" s="13">
        <f t="shared" si="9"/>
        <v>0</v>
      </c>
    </row>
    <row r="274" spans="1:14" s="20" customFormat="1" ht="12.95" customHeight="1" x14ac:dyDescent="0.2">
      <c r="A274" s="10">
        <f>'Base de Datos Pagos-Notas'!C271</f>
        <v>0</v>
      </c>
      <c r="B274" s="10">
        <f>'Base de Datos Pagos-Notas'!D271</f>
        <v>0</v>
      </c>
      <c r="C274" s="11">
        <f>'Base de Datos Pagos-Notas'!F271</f>
        <v>0</v>
      </c>
      <c r="D274" s="10" t="str">
        <f t="shared" si="8"/>
        <v>Nota Crédito</v>
      </c>
      <c r="E274" s="11">
        <f>'Base de Datos Pagos-Notas'!L271</f>
        <v>0</v>
      </c>
      <c r="F274" s="12">
        <f>'Base de Datos Pagos-Notas'!M271</f>
        <v>0</v>
      </c>
      <c r="G274" s="12">
        <f>'Base de Datos Pagos-Notas'!N271</f>
        <v>0</v>
      </c>
      <c r="H274" s="12">
        <f>'Base de Datos Pagos-Notas'!O271</f>
        <v>0</v>
      </c>
      <c r="I274" s="12">
        <f>'Base de Datos Pagos-Notas'!P271</f>
        <v>0</v>
      </c>
      <c r="J274" s="12">
        <f>'Base de Datos Pagos-Notas'!Q271</f>
        <v>0</v>
      </c>
      <c r="K274" s="12">
        <f>'Base de Datos Pagos-Notas'!R271</f>
        <v>0</v>
      </c>
      <c r="L274" s="12">
        <f>'Base de Datos Pagos-Notas'!S271</f>
        <v>0</v>
      </c>
      <c r="M274" s="12">
        <f>'Base de Datos Pagos-Notas'!T271</f>
        <v>0</v>
      </c>
      <c r="N274" s="13">
        <f t="shared" si="9"/>
        <v>0</v>
      </c>
    </row>
    <row r="275" spans="1:14" s="20" customFormat="1" ht="12.95" customHeight="1" x14ac:dyDescent="0.2">
      <c r="A275" s="10">
        <f>'Base de Datos Pagos-Notas'!C272</f>
        <v>0</v>
      </c>
      <c r="B275" s="10">
        <f>'Base de Datos Pagos-Notas'!D272</f>
        <v>0</v>
      </c>
      <c r="C275" s="11">
        <f>'Base de Datos Pagos-Notas'!F272</f>
        <v>0</v>
      </c>
      <c r="D275" s="10" t="str">
        <f t="shared" si="8"/>
        <v>Nota Crédito</v>
      </c>
      <c r="E275" s="11">
        <f>'Base de Datos Pagos-Notas'!L272</f>
        <v>0</v>
      </c>
      <c r="F275" s="12">
        <f>'Base de Datos Pagos-Notas'!M272</f>
        <v>0</v>
      </c>
      <c r="G275" s="12">
        <f>'Base de Datos Pagos-Notas'!N272</f>
        <v>0</v>
      </c>
      <c r="H275" s="12">
        <f>'Base de Datos Pagos-Notas'!O272</f>
        <v>0</v>
      </c>
      <c r="I275" s="12">
        <f>'Base de Datos Pagos-Notas'!P272</f>
        <v>0</v>
      </c>
      <c r="J275" s="12">
        <f>'Base de Datos Pagos-Notas'!Q272</f>
        <v>0</v>
      </c>
      <c r="K275" s="12">
        <f>'Base de Datos Pagos-Notas'!R272</f>
        <v>0</v>
      </c>
      <c r="L275" s="12">
        <f>'Base de Datos Pagos-Notas'!S272</f>
        <v>0</v>
      </c>
      <c r="M275" s="12">
        <f>'Base de Datos Pagos-Notas'!T272</f>
        <v>0</v>
      </c>
      <c r="N275" s="13">
        <f t="shared" si="9"/>
        <v>0</v>
      </c>
    </row>
    <row r="276" spans="1:14" s="20" customFormat="1" ht="12.95" customHeight="1" x14ac:dyDescent="0.2">
      <c r="A276" s="10">
        <f>'Base de Datos Pagos-Notas'!C273</f>
        <v>0</v>
      </c>
      <c r="B276" s="10">
        <f>'Base de Datos Pagos-Notas'!D273</f>
        <v>0</v>
      </c>
      <c r="C276" s="11">
        <f>'Base de Datos Pagos-Notas'!F273</f>
        <v>0</v>
      </c>
      <c r="D276" s="10" t="str">
        <f t="shared" si="8"/>
        <v>Nota Crédito</v>
      </c>
      <c r="E276" s="11">
        <f>'Base de Datos Pagos-Notas'!L273</f>
        <v>0</v>
      </c>
      <c r="F276" s="12">
        <f>'Base de Datos Pagos-Notas'!M273</f>
        <v>0</v>
      </c>
      <c r="G276" s="12">
        <f>'Base de Datos Pagos-Notas'!N273</f>
        <v>0</v>
      </c>
      <c r="H276" s="12">
        <f>'Base de Datos Pagos-Notas'!O273</f>
        <v>0</v>
      </c>
      <c r="I276" s="12">
        <f>'Base de Datos Pagos-Notas'!P273</f>
        <v>0</v>
      </c>
      <c r="J276" s="12">
        <f>'Base de Datos Pagos-Notas'!Q273</f>
        <v>0</v>
      </c>
      <c r="K276" s="12">
        <f>'Base de Datos Pagos-Notas'!R273</f>
        <v>0</v>
      </c>
      <c r="L276" s="12">
        <f>'Base de Datos Pagos-Notas'!S273</f>
        <v>0</v>
      </c>
      <c r="M276" s="12">
        <f>'Base de Datos Pagos-Notas'!T273</f>
        <v>0</v>
      </c>
      <c r="N276" s="13">
        <f t="shared" si="9"/>
        <v>0</v>
      </c>
    </row>
    <row r="277" spans="1:14" s="20" customFormat="1" ht="12.95" customHeight="1" x14ac:dyDescent="0.2">
      <c r="A277" s="10">
        <f>'Base de Datos Pagos-Notas'!C274</f>
        <v>0</v>
      </c>
      <c r="B277" s="10">
        <f>'Base de Datos Pagos-Notas'!D274</f>
        <v>0</v>
      </c>
      <c r="C277" s="11">
        <f>'Base de Datos Pagos-Notas'!F274</f>
        <v>0</v>
      </c>
      <c r="D277" s="10" t="str">
        <f t="shared" si="8"/>
        <v>Nota Crédito</v>
      </c>
      <c r="E277" s="11">
        <f>'Base de Datos Pagos-Notas'!L274</f>
        <v>0</v>
      </c>
      <c r="F277" s="12">
        <f>'Base de Datos Pagos-Notas'!M274</f>
        <v>0</v>
      </c>
      <c r="G277" s="12">
        <f>'Base de Datos Pagos-Notas'!N274</f>
        <v>0</v>
      </c>
      <c r="H277" s="12">
        <f>'Base de Datos Pagos-Notas'!O274</f>
        <v>0</v>
      </c>
      <c r="I277" s="12">
        <f>'Base de Datos Pagos-Notas'!P274</f>
        <v>0</v>
      </c>
      <c r="J277" s="12">
        <f>'Base de Datos Pagos-Notas'!Q274</f>
        <v>0</v>
      </c>
      <c r="K277" s="12">
        <f>'Base de Datos Pagos-Notas'!R274</f>
        <v>0</v>
      </c>
      <c r="L277" s="12">
        <f>'Base de Datos Pagos-Notas'!S274</f>
        <v>0</v>
      </c>
      <c r="M277" s="12">
        <f>'Base de Datos Pagos-Notas'!T274</f>
        <v>0</v>
      </c>
      <c r="N277" s="13">
        <f t="shared" si="9"/>
        <v>0</v>
      </c>
    </row>
    <row r="278" spans="1:14" s="20" customFormat="1" ht="12.95" customHeight="1" x14ac:dyDescent="0.2">
      <c r="A278" s="10">
        <f>'Base de Datos Pagos-Notas'!C275</f>
        <v>0</v>
      </c>
      <c r="B278" s="10">
        <f>'Base de Datos Pagos-Notas'!D275</f>
        <v>0</v>
      </c>
      <c r="C278" s="11">
        <f>'Base de Datos Pagos-Notas'!F275</f>
        <v>0</v>
      </c>
      <c r="D278" s="10" t="str">
        <f t="shared" si="8"/>
        <v>Nota Crédito</v>
      </c>
      <c r="E278" s="11">
        <f>'Base de Datos Pagos-Notas'!L275</f>
        <v>0</v>
      </c>
      <c r="F278" s="12">
        <f>'Base de Datos Pagos-Notas'!M275</f>
        <v>0</v>
      </c>
      <c r="G278" s="12">
        <f>'Base de Datos Pagos-Notas'!N275</f>
        <v>0</v>
      </c>
      <c r="H278" s="12">
        <f>'Base de Datos Pagos-Notas'!O275</f>
        <v>0</v>
      </c>
      <c r="I278" s="12">
        <f>'Base de Datos Pagos-Notas'!P275</f>
        <v>0</v>
      </c>
      <c r="J278" s="12">
        <f>'Base de Datos Pagos-Notas'!Q275</f>
        <v>0</v>
      </c>
      <c r="K278" s="12">
        <f>'Base de Datos Pagos-Notas'!R275</f>
        <v>0</v>
      </c>
      <c r="L278" s="12">
        <f>'Base de Datos Pagos-Notas'!S275</f>
        <v>0</v>
      </c>
      <c r="M278" s="12">
        <f>'Base de Datos Pagos-Notas'!T275</f>
        <v>0</v>
      </c>
      <c r="N278" s="13">
        <f t="shared" si="9"/>
        <v>0</v>
      </c>
    </row>
    <row r="279" spans="1:14" s="20" customFormat="1" ht="12.95" customHeight="1" x14ac:dyDescent="0.2">
      <c r="A279" s="10" t="s">
        <v>65</v>
      </c>
      <c r="B279" s="10"/>
      <c r="C279" s="11"/>
      <c r="D279" s="10"/>
      <c r="E279" s="11"/>
      <c r="F279" s="12"/>
      <c r="G279" s="12"/>
      <c r="H279" s="12"/>
      <c r="I279" s="12"/>
      <c r="J279" s="12"/>
      <c r="K279" s="12"/>
      <c r="L279" s="12"/>
      <c r="M279" s="12"/>
      <c r="N279" s="13"/>
    </row>
    <row r="280" spans="1:14" ht="12.95" customHeight="1" x14ac:dyDescent="0.25">
      <c r="A280" s="10" t="s">
        <v>65</v>
      </c>
      <c r="B280" s="10"/>
      <c r="C280" s="10"/>
      <c r="D280" s="10"/>
      <c r="E280" s="10"/>
      <c r="F280" s="26" t="s">
        <v>58</v>
      </c>
      <c r="G280" s="26" t="s">
        <v>59</v>
      </c>
      <c r="H280" s="26" t="s">
        <v>73</v>
      </c>
      <c r="I280" s="26" t="s">
        <v>60</v>
      </c>
      <c r="J280" s="26" t="s">
        <v>61</v>
      </c>
      <c r="K280" s="26" t="s">
        <v>74</v>
      </c>
      <c r="L280" s="26" t="s">
        <v>75</v>
      </c>
      <c r="M280" s="26" t="s">
        <v>62</v>
      </c>
      <c r="N280" s="26" t="s">
        <v>63</v>
      </c>
    </row>
    <row r="281" spans="1:14" ht="12.95" customHeight="1" x14ac:dyDescent="0.2">
      <c r="A281" s="10" t="s">
        <v>65</v>
      </c>
      <c r="B281" s="10"/>
      <c r="C281" s="10"/>
      <c r="D281" s="25" t="s">
        <v>64</v>
      </c>
      <c r="E281" s="21"/>
      <c r="F281" s="12">
        <f t="shared" ref="F281:N281" si="10">SUM(F5:F278)</f>
        <v>13605180</v>
      </c>
      <c r="G281" s="12">
        <f t="shared" si="10"/>
        <v>211990</v>
      </c>
      <c r="H281" s="12">
        <f t="shared" si="10"/>
        <v>909900</v>
      </c>
      <c r="I281" s="12">
        <f t="shared" si="10"/>
        <v>3160000</v>
      </c>
      <c r="J281" s="12">
        <f t="shared" si="10"/>
        <v>223930</v>
      </c>
      <c r="K281" s="12">
        <f t="shared" si="10"/>
        <v>817700</v>
      </c>
      <c r="L281" s="12">
        <f t="shared" si="10"/>
        <v>4300</v>
      </c>
      <c r="M281" s="12">
        <f t="shared" si="10"/>
        <v>100000</v>
      </c>
      <c r="N281" s="22">
        <f t="shared" si="10"/>
        <v>19033000</v>
      </c>
    </row>
    <row r="282" spans="1:14" x14ac:dyDescent="0.2">
      <c r="A282" s="10" t="s">
        <v>66</v>
      </c>
    </row>
  </sheetData>
  <mergeCells count="3">
    <mergeCell ref="A1:N1"/>
    <mergeCell ref="A2:N2"/>
    <mergeCell ref="A3:N3"/>
  </mergeCells>
  <printOptions horizontalCentered="1" gridLines="1"/>
  <pageMargins left="0.59055118110236227" right="0.59055118110236227" top="0.59055118110236227" bottom="0.59055118110236227" header="0" footer="0"/>
  <pageSetup scale="88" fitToHeight="0" orientation="landscape" horizontalDpi="240" verticalDpi="144" r:id="rId1"/>
  <headerFooter alignWithMargins="0">
    <oddFooter>Página &amp;P de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Base de Datos Maestro</vt:lpstr>
      <vt:lpstr>Base de Datos Pagos-Notas</vt:lpstr>
      <vt:lpstr>Pagos</vt:lpstr>
      <vt:lpstr>Pagos!Área_de_impresión</vt:lpstr>
      <vt:lpstr>Pagos!Títulos_a_imprimir</vt:lpstr>
    </vt:vector>
  </TitlesOfParts>
  <Company>Personal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Ochoa</dc:creator>
  <cp:lastModifiedBy>F8A</cp:lastModifiedBy>
  <cp:lastPrinted>2013-05-31T16:27:42Z</cp:lastPrinted>
  <dcterms:created xsi:type="dcterms:W3CDTF">2005-09-20T16:01:05Z</dcterms:created>
  <dcterms:modified xsi:type="dcterms:W3CDTF">2017-08-11T17:06:12Z</dcterms:modified>
</cp:coreProperties>
</file>